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ede14aa142f41b3" /></Relationships>
</file>

<file path=xl/workbook.xml><?xml version="1.0" encoding="utf-8"?>
<x:workbook xmlns:x="http://schemas.openxmlformats.org/spreadsheetml/2006/main">
  <x:sheets>
    <x:sheet xmlns:r="http://schemas.openxmlformats.org/officeDocument/2006/relationships" name="說明" sheetId="1" r:id="Rdd399963bd644e45"/>
    <x:sheet xmlns:r="http://schemas.openxmlformats.org/officeDocument/2006/relationships" name="希伯來文1000詞" sheetId="2" r:id="R12fa21c93cc841ad"/>
    <x:sheet xmlns:r="http://schemas.openxmlformats.org/officeDocument/2006/relationships" name="希伯來文50課" sheetId="3" r:id="R573f0bb86db44a3f"/>
    <x:sheet xmlns:r="http://schemas.openxmlformats.org/officeDocument/2006/relationships" name="希伯來專名" sheetId="4" r:id="R4c868d7e82f842e0"/>
    <x:sheet xmlns:r="http://schemas.openxmlformats.org/officeDocument/2006/relationships" name="希臘文1000詞" sheetId="5" r:id="R1466abf799d5459f"/>
    <x:sheet xmlns:r="http://schemas.openxmlformats.org/officeDocument/2006/relationships" name="希臘文20組" sheetId="6" r:id="R92b156b915f04b4e"/>
    <x:sheet xmlns:r="http://schemas.openxmlformats.org/officeDocument/2006/relationships" name="希臘專名" sheetId="7" r:id="R85d0eee750404243"/>
    <x:sheet xmlns:r="http://schemas.openxmlformats.org/officeDocument/2006/relationships" name="音標與來源" sheetId="8" r:id="Rf2935203a5ee4e2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2">
    <x:font>
      <x:sz val="11"/>
      <x:name val="Carlito"/>
    </x:font>
    <x:font>
      <x:b/>
      <x:sz val="18"/>
      <x:color rgb="FFFFFFFF"/>
      <x:name val="Aptos Display"/>
    </x:font>
    <x:font>
      <x:i/>
      <x:sz val="10"/>
      <x:color rgb="FF5F6B76"/>
      <x:name val="Aptos"/>
    </x:font>
    <x:font>
      <x:b/>
      <x:sz val="10"/>
      <x:color rgb="FFFFFFFF"/>
      <x:name val="Aptos"/>
    </x:font>
    <x:font>
      <x:sz val="10"/>
      <x:color rgb="FF1F2937"/>
      <x:name val="Aptos"/>
    </x:font>
    <x:font>
      <x:sz val="15"/>
      <x:color rgb="FF1F2937"/>
      <x:name val="SBL Hebrew"/>
    </x:font>
    <x:font>
      <x:sz val="11"/>
      <x:color rgb="FF1F2937"/>
      <x:name val="Charis SIL"/>
    </x:font>
    <x:font>
      <x:sz val="12"/>
      <x:color rgb="FF1F2937"/>
      <x:name val="SBL Hebrew"/>
    </x:font>
    <x:font>
      <x:sz val="13"/>
      <x:color rgb="FF1F2937"/>
      <x:name val="SBL Greek"/>
    </x:font>
    <x:font>
      <x:sz val="11"/>
      <x:color rgb="FF1F2937"/>
      <x:name val="SBL Greek"/>
    </x:font>
    <x:font>
      <x:b/>
      <x:sz val="10"/>
      <x:color rgb="FF1F2937"/>
      <x:name val="Aptos"/>
    </x:font>
    <x:font>
      <x:sz val="14"/>
      <x:color rgb="FF1F2937"/>
      <x:name val="SBL Greek"/>
    </x:font>
  </x:fonts>
  <x:fills count="7">
    <x:fill>
      <x:patternFill patternType="none"/>
    </x:fill>
    <x:fill>
      <x:patternFill patternType="gray125"/>
    </x:fill>
    <x:fill>
      <x:patternFill patternType="solid">
        <x:fgColor rgb="FF18324A"/>
      </x:patternFill>
    </x:fill>
    <x:fill>
      <x:patternFill patternType="solid">
        <x:fgColor rgb="FFEAF2F4"/>
      </x:patternFill>
    </x:fill>
    <x:fill>
      <x:patternFill patternType="solid">
        <x:fgColor rgb="FF2B6777"/>
      </x:patternFill>
    </x:fill>
    <x:fill>
      <x:patternFill patternType="solid">
        <x:fgColor rgb="FFF8FAFB"/>
      </x:patternFill>
    </x:fill>
    <x:fill>
      <x:patternFill patternType="solid">
        <x:fgColor rgb="FFFFF4D6"/>
      </x:patternFill>
    </x:fill>
  </x:fills>
  <x:borders count="10">
    <x:border/>
    <x:border>
      <x:left style="thin">
        <x:color rgb="FFD6DEE3"/>
      </x:left>
      <x:right style="thin">
        <x:color rgb="FFD6DEE3"/>
      </x:right>
      <x:top style="thin">
        <x:color rgb="FFD6DEE3"/>
      </x:top>
      <x:bottom style="thin">
        <x:color rgb="FFD6DEE3"/>
      </x:bottom>
    </x:border>
    <x:border>
      <x:left style="thin">
        <x:color rgb="FFD6DEE3"/>
      </x:left>
      <x:top style="thin">
        <x:color rgb="FFD6DEE3"/>
      </x:top>
    </x:border>
    <x:border>
      <x:top style="thin">
        <x:color rgb="FFD6DEE3"/>
      </x:top>
    </x:border>
    <x:border>
      <x:right style="thin">
        <x:color rgb="FFD6DEE3"/>
      </x:right>
      <x:top style="thin">
        <x:color rgb="FFD6DEE3"/>
      </x:top>
    </x:border>
    <x:border>
      <x:left style="thin">
        <x:color rgb="FFD6DEE3"/>
      </x:left>
    </x:border>
    <x:border>
      <x:right style="thin">
        <x:color rgb="FFD6DEE3"/>
      </x:right>
    </x:border>
    <x:border>
      <x:left style="thin">
        <x:color rgb="FFD6DEE3"/>
      </x:left>
      <x:bottom style="thin">
        <x:color rgb="FFD6DEE3"/>
      </x:bottom>
    </x:border>
    <x:border>
      <x:bottom style="thin">
        <x:color rgb="FFD6DEE3"/>
      </x:bottom>
    </x:border>
    <x:border>
      <x:right style="thin">
        <x:color rgb="FFD6DEE3"/>
      </x:right>
      <x:bottom style="thin">
        <x:color rgb="FFD6DEE3"/>
      </x:bottom>
    </x:border>
  </x:borders>
  <x:cellStyleXfs count="1">
    <x:xf numFmtId="0" fontId="0" fillId="0" borderId="0"/>
  </x:cellStyleXfs>
  <x:cellXfs count="5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3" fillId="4" borderId="0" xfId="0" applyNumberFormat="1" applyFont="1" applyFill="1" applyBorder="1" applyAlignment="1">
      <x:alignment horizontal="center" vertic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vertical="center"/>
    </x:xf>
    <x:xf numFmtId="0" fontId="4" fillId="0" borderId="1" xfId="0" applyNumberFormat="1" applyFont="1" applyFill="1" applyBorder="1" applyAlignment="1">
      <x:alignment vertical="center"/>
    </x:xf>
    <x:xf numFmtId="0" fontId="5" fillId="0" borderId="1" xfId="0" applyNumberFormat="1" applyFont="1" applyFill="1" applyBorder="1" applyAlignment="1">
      <x:alignment vertical="center"/>
    </x:xf>
    <x:xf numFmtId="0" fontId="5" fillId="0" borderId="1" xfId="0" applyNumberFormat="1" applyFont="1" applyFill="1" applyBorder="1" applyAlignment="1">
      <x:alignment horizontal="right" vertical="center"/>
    </x:xf>
    <x:xf numFmtId="0" fontId="6" fillId="0" borderId="1" xfId="0" applyNumberFormat="1" applyFont="1" applyFill="1" applyBorder="1" applyAlignment="1">
      <x:alignment vertical="center"/>
    </x:xf>
    <x:xf numFmtId="0" fontId="4" fillId="0" borderId="1" xfId="0" applyNumberFormat="1" applyFont="1" applyFill="1" applyBorder="1" applyAlignment="1">
      <x:alignment vertical="center" wrapText="1"/>
    </x:xf>
    <x:xf numFmtId="0" fontId="4" fillId="0" borderId="1" xfId="0" applyNumberFormat="1" applyFont="1" applyFill="1" applyBorder="1" applyAlignment="1">
      <x:alignment horizontal="center" vertical="center"/>
    </x:xf>
    <x:xf numFmtId="200" fontId="4" fillId="0" borderId="1" xfId="0" applyNumberFormat="1" applyFont="1" applyFill="1" applyBorder="1" applyAlignment="1">
      <x:alignment horizontal="center" vertical="center"/>
    </x:xf>
    <x:xf numFmtId="0" fontId="7" fillId="0" borderId="1" xfId="0" applyNumberFormat="1" applyFont="1" applyFill="1" applyBorder="1" applyAlignment="1">
      <x:alignment vertical="center"/>
    </x:xf>
    <x:xf numFmtId="0" fontId="7" fillId="0" borderId="1" xfId="0" applyNumberFormat="1" applyFont="1" applyFill="1" applyBorder="1" applyAlignment="1">
      <x:alignment vertical="center" wrapText="1"/>
    </x:xf>
    <x:xf numFmtId="0" fontId="7" fillId="0" borderId="1" xfId="0" applyNumberFormat="1" applyFont="1" applyFill="1" applyBorder="1" applyAlignment="1">
      <x:alignment vertical="top" wrapText="1"/>
    </x:xf>
    <x:xf numFmtId="0" fontId="5" fillId="0" borderId="1" xfId="0" applyNumberFormat="1" applyFont="1" applyFill="1" applyBorder="1" applyAlignment="1">
      <x:alignment vertical="center" wrapText="1"/>
    </x:xf>
    <x:xf numFmtId="0" fontId="6" fillId="0" borderId="1" xfId="0" applyNumberFormat="1" applyFont="1" applyFill="1" applyBorder="1" applyAlignment="1">
      <x:alignment vertical="center" wrapText="1"/>
    </x:xf>
    <x:xf numFmtId="0" fontId="8" fillId="0" borderId="1" xfId="0" applyNumberFormat="1" applyFont="1" applyFill="1" applyBorder="1" applyAlignment="1">
      <x:alignment vertical="center"/>
    </x:xf>
    <x:xf numFmtId="0" fontId="8" fillId="0" borderId="1" xfId="0" applyNumberFormat="1" applyFont="1" applyFill="1" applyBorder="1" applyAlignment="1">
      <x:alignment vertical="center" wrapText="1"/>
    </x:xf>
    <x:xf numFmtId="0" fontId="9" fillId="0" borderId="1" xfId="0" applyNumberFormat="1" applyFont="1" applyFill="1" applyBorder="1" applyAlignment="1">
      <x:alignment vertical="center"/>
    </x:xf>
    <x:xf numFmtId="0" fontId="9" fillId="0" borderId="1" xfId="0" applyNumberFormat="1" applyFont="1" applyFill="1" applyBorder="1" applyAlignment="1">
      <x:alignment vertical="center" wrapText="1"/>
    </x:xf>
    <x:xf numFmtId="0" fontId="9" fillId="0" borderId="1" xfId="0" applyNumberFormat="1" applyFont="1" applyFill="1" applyBorder="1" applyAlignment="1">
      <x:alignment vertical="top" wrapText="1"/>
    </x:xf>
    <x:xf numFmtId="0" fontId="4" fillId="3" borderId="1" xfId="0" applyNumberFormat="1" applyFont="1" applyFill="1" applyBorder="1" applyAlignment="1">
      <x:alignment vertical="center"/>
    </x:xf>
    <x:xf numFmtId="0" fontId="10" fillId="3"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5" borderId="2" xfId="0" applyNumberFormat="1" applyFont="1" applyFill="1" applyBorder="1" applyAlignment="1">
      <x:alignment vertical="top" wrapText="1"/>
    </x:xf>
    <x:xf numFmtId="0" fontId="0" fillId="5" borderId="3" xfId="0" applyNumberFormat="1" applyFont="1" applyFill="1" applyBorder="1" applyAlignment="1">
      <x:alignment vertical="top" wrapText="1"/>
    </x:xf>
    <x:xf numFmtId="0" fontId="0" fillId="5" borderId="4" xfId="0" applyNumberFormat="1" applyFont="1" applyFill="1" applyBorder="1" applyAlignment="1">
      <x:alignment vertical="top" wrapText="1"/>
    </x:xf>
    <x:xf numFmtId="0" fontId="0" fillId="5" borderId="5" xfId="0" applyNumberFormat="1" applyFont="1" applyFill="1" applyBorder="1" applyAlignment="1">
      <x:alignment vertical="top" wrapText="1"/>
    </x:xf>
    <x:xf numFmtId="0" fontId="0" fillId="5" borderId="6" xfId="0" applyNumberFormat="1" applyFont="1" applyFill="1" applyBorder="1" applyAlignment="1">
      <x:alignment vertical="top" wrapText="1"/>
    </x:xf>
    <x:xf numFmtId="0" fontId="0" fillId="5" borderId="7"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9"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6" borderId="2" xfId="0" applyNumberFormat="1" applyFont="1" applyFill="1" applyBorder="1" applyAlignment="1">
      <x:alignment vertical="top" wrapText="1"/>
    </x:xf>
    <x:xf numFmtId="0" fontId="0" fillId="6" borderId="3" xfId="0" applyNumberFormat="1" applyFont="1" applyFill="1" applyBorder="1" applyAlignment="1">
      <x:alignment vertical="top" wrapText="1"/>
    </x:xf>
    <x:xf numFmtId="0" fontId="0" fillId="6" borderId="4" xfId="0" applyNumberFormat="1" applyFont="1" applyFill="1" applyBorder="1" applyAlignment="1">
      <x:alignment vertical="top" wrapText="1"/>
    </x:xf>
    <x:xf numFmtId="0" fontId="0" fillId="6" borderId="5" xfId="0" applyNumberFormat="1" applyFont="1" applyFill="1" applyBorder="1" applyAlignment="1">
      <x:alignment vertical="top" wrapText="1"/>
    </x:xf>
    <x:xf numFmtId="0" fontId="0" fillId="6" borderId="6" xfId="0" applyNumberFormat="1" applyFont="1" applyFill="1" applyBorder="1" applyAlignment="1">
      <x:alignment vertical="top" wrapText="1"/>
    </x:xf>
    <x:xf numFmtId="0" fontId="0" fillId="6" borderId="7" xfId="0" applyNumberFormat="1" applyFont="1" applyFill="1" applyBorder="1" applyAlignment="1">
      <x:alignment vertical="top" wrapText="1"/>
    </x:xf>
    <x:xf numFmtId="0" fontId="0" fillId="6" borderId="8" xfId="0" applyNumberFormat="1" applyFont="1" applyFill="1" applyBorder="1" applyAlignment="1">
      <x:alignment vertical="top" wrapText="1"/>
    </x:xf>
    <x:xf numFmtId="0" fontId="0" fillId="6" borderId="9" xfId="0" applyNumberFormat="1" applyFont="1" applyFill="1" applyBorder="1" applyAlignment="1">
      <x:alignment vertical="top" wrapText="1"/>
    </x:xf>
    <x:xf numFmtId="0" fontId="11" fillId="0" borderId="1" xfId="0" applyNumberFormat="1" applyFont="1" applyFill="1" applyBorder="1" applyAlignment="1">
      <x:alignment vertical="center"/>
    </x:xf>
  </x:cellXfs>
  <x:cellStyles count="1">
    <x:cellStyle name="Normal" xfId="0"/>
  </x:cellStyles>
  <x:dxfs count="6">
    <x:dxf>
      <x:font>
        <x:color rgb="FF2B6777"/>
      </x:font>
      <x:fill>
        <x:patternFill patternType="solid">
          <x:bgColor rgb="FFEAF2F4"/>
        </x:patternFill>
      </x:fill>
    </x:dxf>
    <x:dxf>
      <x:font>
        <x:b/>
        <x:color rgb="FF7A4F01"/>
      </x:font>
      <x:fill>
        <x:patternFill patternType="solid">
          <x:bgColor rgb="FFFFF4D6"/>
        </x:patternFill>
      </x:fill>
    </x:dxf>
    <x:dxf>
      <x:font>
        <x:color rgb="FF9B1C1C"/>
      </x:font>
      <x:fill>
        <x:patternFill patternType="solid">
          <x:bgColor rgb="FFFDECEC"/>
        </x:patternFill>
      </x:fill>
    </x:dxf>
    <x:dxf>
      <x:font>
        <x:color rgb="FF2B6777"/>
      </x:font>
      <x:fill>
        <x:patternFill patternType="solid">
          <x:bgColor rgb="FFEAF2F4"/>
        </x:patternFill>
      </x:fill>
    </x:dxf>
    <x:dxf>
      <x:font>
        <x:b/>
        <x:color rgb="FF7A4F01"/>
      </x:font>
      <x:fill>
        <x:patternFill patternType="solid">
          <x:bgColor rgb="FFFFF4D6"/>
        </x:patternFill>
      </x:fill>
    </x:dxf>
    <x:dxf>
      <x:font>
        <x:color rgb="FF9B1C1C"/>
      </x:font>
      <x:fill>
        <x:patternFill patternType="solid">
          <x:bgColor rgb="FFFDEC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5c31057e17247cc" /><Relationship Type="http://schemas.openxmlformats.org/officeDocument/2006/relationships/theme" Target="/xl/theme/theme1.xml" Id="R3f22ddad121d4967" /><Relationship Type="http://schemas.openxmlformats.org/officeDocument/2006/relationships/sharedStrings" Target="/xl/sharedStrings.xml" Id="R11d21a5033774f8b" /><Relationship Type="http://schemas.openxmlformats.org/officeDocument/2006/relationships/worksheet" Target="/xl/worksheets/sheet1.xml" Id="Rdd399963bd644e45" /><Relationship Type="http://schemas.openxmlformats.org/officeDocument/2006/relationships/worksheet" Target="/xl/worksheets/sheet2.xml" Id="R12fa21c93cc841ad" /><Relationship Type="http://schemas.openxmlformats.org/officeDocument/2006/relationships/worksheet" Target="/xl/worksheets/sheet3.xml" Id="R573f0bb86db44a3f" /><Relationship Type="http://schemas.openxmlformats.org/officeDocument/2006/relationships/worksheet" Target="/xl/worksheets/sheet4.xml" Id="R4c868d7e82f842e0" /><Relationship Type="http://schemas.openxmlformats.org/officeDocument/2006/relationships/worksheet" Target="/xl/worksheets/sheet5.xml" Id="R1466abf799d5459f" /><Relationship Type="http://schemas.openxmlformats.org/officeDocument/2006/relationships/worksheet" Target="/xl/worksheets/sheet6.xml" Id="R92b156b915f04b4e" /><Relationship Type="http://schemas.openxmlformats.org/officeDocument/2006/relationships/worksheet" Target="/xl/worksheets/sheet7.xml" Id="R85d0eee750404243" /><Relationship Type="http://schemas.openxmlformats.org/officeDocument/2006/relationships/worksheet" Target="/xl/worksheets/sheet8.xml" Id="Rf2935203a5ee4e2c" /></Relationships>
</file>

<file path=xl/tables/table1.xml><?xml version="1.0" encoding="utf-8"?>
<x:table xmlns:x="http://schemas.openxmlformats.org/spreadsheetml/2006/main" id="1" name="HebrewVocabularyTable" displayName="HebrewVocabularyTable" ref="A4:R1004" headerRowCount="1" totalsRowCount="0" totalsRowShown="0">
  <x:tableColumns count="18">
    <x:tableColumn id="1" name="總序"/>
    <x:tableColumn id="2" name="課"/>
    <x:tableColumn id="3" name="課內"/>
    <x:tableColumn id="4" name="原文（完整母音）"/>
    <x:tableColumn id="5" name="課本式音標／音譯"/>
    <x:tableColumn id="6" name="無母音索引"/>
    <x:tableColumn id="7" name="英文義"/>
    <x:tableColumn id="8" name="中文義（待填）"/>
    <x:tableColumn id="9" name="排序來源"/>
    <x:tableColumn id="10" name="BBH 章"/>
    <x:tableColumn id="11" name="WLC 詞頻"/>
    <x:tableColumn id="12" name="Strong"/>
    <x:tableColumn id="13" name="詞性"/>
    <x:tableColumn id="14" name="專名／族名"/>
    <x:tableColumn id="15" name="專名類型"/>
    <x:tableColumn id="16" name="詞源核對"/>
    <x:tableColumn id="17" name="音標核對"/>
    <x:tableColumn id="18" name="來源 URL"/>
  </x:tableColumns>
  <x:tableStyleInfo name="TableStyleMedium2" showFirstColumn="0" showLastColumn="0" showRowStripes="1" showColumnStripes="0"/>
</x:table>
</file>

<file path=xl/tables/table2.xml><?xml version="1.0" encoding="utf-8"?>
<x:table xmlns:x="http://schemas.openxmlformats.org/spreadsheetml/2006/main" id="2" name="HebrewLessonTable" displayName="HebrewLessonTable" ref="A4:G54" headerRowCount="1" totalsRowCount="0" totalsRowShown="0">
  <x:tableColumns count="7">
    <x:tableColumn id="1" name="課次"/>
    <x:tableColumn id="2" name="序號範圍"/>
    <x:tableColumn id="3" name="BBH2 詞數"/>
    <x:tableColumn id="4" name="自編詞數"/>
    <x:tableColumn id="5" name="專名／族名"/>
    <x:tableColumn id="6" name="完整性"/>
    <x:tableColumn id="7" name="本課 20 詞（原文／音標）"/>
  </x:tableColumns>
  <x:tableStyleInfo name="TableStyleMedium2" showFirstColumn="0" showLastColumn="0" showRowStripes="1" showColumnStripes="0"/>
</x:table>
</file>

<file path=xl/tables/table3.xml><?xml version="1.0" encoding="utf-8"?>
<x:table xmlns:x="http://schemas.openxmlformats.org/spreadsheetml/2006/main" id="3" name="HebrewNamesTable" displayName="HebrewNamesTable" ref="A4:I139" headerRowCount="1" totalsRowCount="0" totalsRowShown="0">
  <x:tableColumns count="9">
    <x:tableColumn id="1" name="總序"/>
    <x:tableColumn id="2" name="課"/>
    <x:tableColumn id="3" name="原文"/>
    <x:tableColumn id="4" name="課本式音標／音譯"/>
    <x:tableColumn id="5" name="英文義"/>
    <x:tableColumn id="6" name="類型"/>
    <x:tableColumn id="7" name="詞頻／BBG 章"/>
    <x:tableColumn id="8" name="Strong"/>
    <x:tableColumn id="9" name="來源區"/>
  </x:tableColumns>
  <x:tableStyleInfo name="TableStyleMedium2" showFirstColumn="0" showLastColumn="0" showRowStripes="1" showColumnStripes="0"/>
</x:table>
</file>

<file path=xl/tables/table4.xml><?xml version="1.0" encoding="utf-8"?>
<x:table xmlns:x="http://schemas.openxmlformats.org/spreadsheetml/2006/main" id="4" name="GreekVocabularyTable" displayName="GreekVocabularyTable" ref="A4:R1004" headerRowCount="1" totalsRowCount="0" totalsRowShown="0">
  <x:tableColumns count="18">
    <x:tableColumn id="1" name="總序"/>
    <x:tableColumn id="2" name="製作組"/>
    <x:tableColumn id="3" name="組內"/>
    <x:tableColumn id="4" name="課本詞條"/>
    <x:tableColumn id="5" name="詞頭"/>
    <x:tableColumn id="6" name="課本式音標／音譯"/>
    <x:tableColumn id="7" name="英文義"/>
    <x:tableColumn id="8" name="中文義（待填）"/>
    <x:tableColumn id="9" name="BBG 章"/>
    <x:tableColumn id="10" name="來源區"/>
    <x:tableColumn id="11" name="Strong"/>
    <x:tableColumn id="12" name="專名／族名"/>
    <x:tableColumn id="13" name="專名類型"/>
    <x:tableColumn id="14" name="詞典核對"/>
    <x:tableColumn id="15" name="音標核對"/>
    <x:tableColumn id="16" name="PDF 頁"/>
    <x:tableColumn id="17" name="來源 URL"/>
    <x:tableColumn id="18" name="備註"/>
  </x:tableColumns>
  <x:tableStyleInfo name="TableStyleMedium4" showFirstColumn="0" showLastColumn="0" showRowStripes="1" showColumnStripes="0"/>
</x:table>
</file>

<file path=xl/tables/table5.xml><?xml version="1.0" encoding="utf-8"?>
<x:table xmlns:x="http://schemas.openxmlformats.org/spreadsheetml/2006/main" id="5" name="GreekGroupTable" displayName="GreekGroupTable" ref="A4:H24" headerRowCount="1" totalsRowCount="0" totalsRowShown="0">
  <x:tableColumns count="8">
    <x:tableColumn id="1" name="組次"/>
    <x:tableColumn id="2" name="序號範圍"/>
    <x:tableColumn id="3" name="BBG 課序詞"/>
    <x:tableColumn id="4" name="頻率延伸詞"/>
    <x:tableColumn id="5" name="專名／族名"/>
    <x:tableColumn id="6" name="完整性"/>
    <x:tableColumn id="7" name="前 25 詞"/>
    <x:tableColumn id="8" name="後 25 詞"/>
  </x:tableColumns>
  <x:tableStyleInfo name="TableStyleMedium4" showFirstColumn="0" showLastColumn="0" showRowStripes="1" showColumnStripes="0"/>
</x:table>
</file>

<file path=xl/tables/table6.xml><?xml version="1.0" encoding="utf-8"?>
<x:table xmlns:x="http://schemas.openxmlformats.org/spreadsheetml/2006/main" id="6" name="GreekNamesTable" displayName="GreekNamesTable" ref="A4:I60" headerRowCount="1" totalsRowCount="0" totalsRowShown="0">
  <x:tableColumns count="9">
    <x:tableColumn id="1" name="總序"/>
    <x:tableColumn id="2" name="組"/>
    <x:tableColumn id="3" name="原文"/>
    <x:tableColumn id="4" name="課本式音標／音譯"/>
    <x:tableColumn id="5" name="英文義"/>
    <x:tableColumn id="6" name="類型"/>
    <x:tableColumn id="7" name="詞頻／BBG 章"/>
    <x:tableColumn id="8" name="Strong"/>
    <x:tableColumn id="9" name="來源區"/>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ff936eabf284a35" /></Relationships>
</file>

<file path=xl/worksheets/_rels/sheet3.xml.rels>&#65279;<?xml version="1.0" encoding="utf-8"?><Relationships xmlns="http://schemas.openxmlformats.org/package/2006/relationships"><Relationship Type="http://schemas.openxmlformats.org/officeDocument/2006/relationships/table" Target="/xl/tables/table2.xml" Id="Rded0a2fb1e9d4606" /></Relationships>
</file>

<file path=xl/worksheets/_rels/sheet4.xml.rels>&#65279;<?xml version="1.0" encoding="utf-8"?><Relationships xmlns="http://schemas.openxmlformats.org/package/2006/relationships"><Relationship Type="http://schemas.openxmlformats.org/officeDocument/2006/relationships/table" Target="/xl/tables/table3.xml" Id="Re66d45fbbc3747a0" /></Relationships>
</file>

<file path=xl/worksheets/_rels/sheet5.xml.rels>&#65279;<?xml version="1.0" encoding="utf-8"?><Relationships xmlns="http://schemas.openxmlformats.org/package/2006/relationships"><Relationship Type="http://schemas.openxmlformats.org/officeDocument/2006/relationships/table" Target="/xl/tables/table4.xml" Id="Rd87f8df02cce457c" /></Relationships>
</file>

<file path=xl/worksheets/_rels/sheet6.xml.rels>&#65279;<?xml version="1.0" encoding="utf-8"?><Relationships xmlns="http://schemas.openxmlformats.org/package/2006/relationships"><Relationship Type="http://schemas.openxmlformats.org/officeDocument/2006/relationships/table" Target="/xl/tables/table5.xml" Id="R466b8b1543bc4586" /></Relationships>
</file>

<file path=xl/worksheets/_rels/sheet7.xml.rels>&#65279;<?xml version="1.0" encoding="utf-8"?><Relationships xmlns="http://schemas.openxmlformats.org/package/2006/relationships"><Relationship Type="http://schemas.openxmlformats.org/officeDocument/2006/relationships/table" Target="/xl/tables/table6.xml" Id="R4fde80bb66af4bbc" /></Relationships>
</file>

<file path=xl/worksheets/sheet1.xml><?xml version="1.0" encoding="utf-8"?>
<x:worksheet xmlns:x="http://schemas.openxmlformats.org/spreadsheetml/2006/main">
  <x:sheetViews>
    <x:sheetView showGridLines="0" workbookViewId="0"/>
  </x:sheetViews>
  <x:sheetFormatPr defaultRowHeight="15"/>
  <x:cols>
    <x:col min="1" max="1" width="25" hidden="0" customWidth="1"/>
    <x:col min="2" max="2" width="22" hidden="0" customWidth="1"/>
    <x:col min="3" max="3" width="12" hidden="0" customWidth="1"/>
    <x:col min="4" max="4" width="14" hidden="0" customWidth="1"/>
    <x:col min="5" max="5" width="14" hidden="0" customWidth="1"/>
    <x:col min="6" max="6" width="14" hidden="0" customWidth="1"/>
    <x:col min="7" max="7" width="14" hidden="0" customWidth="1"/>
    <x:col min="8" max="8" width="14" hidden="0" customWidth="1"/>
  </x:cols>
  <x:sheetData>
    <x:row r="1" ht="34" customHeight="1">
      <x:c r="A1" s="4" t="str">
        <x:v>原文讀本詞彙總表｜使用說明</x:v>
      </x:c>
      <x:c r="B1" s="4" t="str">
        <x:v>原文讀本詞彙總表｜使用說明</x:v>
      </x:c>
      <x:c r="C1" s="4" t="str">
        <x:v>原文讀本詞彙總表｜使用說明</x:v>
      </x:c>
      <x:c r="D1" s="4" t="str">
        <x:v>原文讀本詞彙總表｜使用說明</x:v>
      </x:c>
      <x:c r="E1" s="4" t="str">
        <x:v>原文讀本詞彙總表｜使用說明</x:v>
      </x:c>
      <x:c r="F1" s="4" t="str">
        <x:v>原文讀本詞彙總表｜使用說明</x:v>
      </x:c>
      <x:c r="G1" s="4" t="str">
        <x:v>原文讀本詞彙總表｜使用說明</x:v>
      </x:c>
      <x:c r="H1" s="4" t="str">
        <x:v>原文讀本詞彙總表｜使用說明</x:v>
      </x:c>
    </x:row>
    <x:row r="2" ht="28" customHeight="1">
      <x:c r="A2" s="7" t="str">
        <x:v>私人授權學習版；本檔處理希伯來文與希臘文詞序、課本式音標及專名複習。</x:v>
      </x:c>
      <x:c r="B2" s="7" t="str">
        <x:v>私人授權學習版；本檔處理希伯來文與希臘文詞序、課本式音標及專名複習。</x:v>
      </x:c>
      <x:c r="C2" s="7" t="str">
        <x:v>私人授權學習版；本檔處理希伯來文與希臘文詞序、課本式音標及專名複習。</x:v>
      </x:c>
      <x:c r="D2" s="7" t="str">
        <x:v>私人授權學習版；本檔處理希伯來文與希臘文詞序、課本式音標及專名複習。</x:v>
      </x:c>
      <x:c r="E2" s="7" t="str">
        <x:v>私人授權學習版；本檔處理希伯來文與希臘文詞序、課本式音標及專名複習。</x:v>
      </x:c>
      <x:c r="F2" s="7" t="str">
        <x:v>私人授權學習版；本檔處理希伯來文與希臘文詞序、課本式音標及專名複習。</x:v>
      </x:c>
      <x:c r="G2" s="7" t="str">
        <x:v>私人授權學習版；本檔處理希伯來文與希臘文詞序、課本式音標及專名複習。</x:v>
      </x:c>
      <x:c r="H2" s="7" t="str">
        <x:v>私人授權學習版；本檔處理希伯來文與希臘文詞序、課本式音標及專名複習。</x:v>
      </x:c>
    </x:row>
    <x:row r="4" ht="30" customHeight="1">
      <x:c r="A4" s="13" t="str">
        <x:v>目前完成狀態</x:v>
      </x:c>
      <x:c r="B4" s="13" t="str">
        <x:v>目前完成狀態</x:v>
      </x:c>
      <x:c r="C4" s="13" t="str">
        <x:v>目前完成狀態</x:v>
      </x:c>
      <x:c r="D4" s="13" t="str">
        <x:v>目前完成狀態</x:v>
      </x:c>
      <x:c r="E4" s="13" t="str">
        <x:v>目前完成狀態</x:v>
      </x:c>
      <x:c r="F4" s="13" t="str">
        <x:v>目前完成狀態</x:v>
      </x:c>
      <x:c r="G4" s="13" t="str">
        <x:v>目前完成狀態</x:v>
      </x:c>
      <x:c r="H4" s="13" t="str">
        <x:v>目前完成狀態</x:v>
      </x:c>
    </x:row>
    <x:row r="5" ht="30" customHeight="1">
      <x:c r="A5" s="34" t="str">
        <x:v>希伯來文總數</x:v>
      </x:c>
      <x:c r="B5" s="21" t="n">
        <x:f>COUNTA('希伯來文1000詞'!$A$5:$A$1004)</x:f>
        <x:v>1000</x:v>
      </x:c>
      <x:c r="D5" s="13" t="str">
        <x:v>編排原則</x:v>
      </x:c>
      <x:c r="E5" s="13" t="str">
        <x:v>編排原則</x:v>
      </x:c>
      <x:c r="F5" s="13" t="str">
        <x:v>編排原則</x:v>
      </x:c>
      <x:c r="G5" s="13" t="str">
        <x:v>編排原則</x:v>
      </x:c>
      <x:c r="H5" s="13" t="str">
        <x:v>編排原則</x:v>
      </x:c>
    </x:row>
    <x:row r="6" ht="28" customHeight="1">
      <x:c r="A6" s="34" t="str">
        <x:v>BBH2 課序</x:v>
      </x:c>
      <x:c r="B6" s="21" t="n">
        <x:f>COUNTIF('希伯來文1000詞'!$I$5:$I$1004,"BBH2 課序")</x:f>
        <x:v>552</x:v>
      </x:c>
      <x:c r="D6" s="38" t="str">
        <x:v>1. 希伯來文每課 20 詞，共 50 課；BBH2 的原始順序優先，完全相同且同義的重複列只計一次。
2. 第 553 詞起，依 WLC／OSHB 實際詞頻補足；人名、地名、民族／國族名、神名與稱號不排除。
3. 同一輔音形若母音或義項不同，保留為不同學習單位；無母音欄只供搜尋，不可取代讀本正文。
4. 希臘文依 Mounce 官方 1000 詞順序；原 PDF 無 BBG 章碼的後段仍維持其頻率次序。
5. 中文義欄目前刻意留白，待依你持有的中文課本逐項核對，不以自動翻譯冒充課本詞義。</x:v>
      </x:c>
      <x:c r="E6" s="39" t="str">
        <x:v>1. 希伯來文每課 20 詞，共 50 課；BBH2 的原始順序優先，完全相同且同義的重複列只計一次。
2. 第 553 詞起，依 WLC／OSHB 實際詞頻補足；人名、地名、民族／國族名、神名與稱號不排除。
3. 同一輔音形若母音或義項不同，保留為不同學習單位；無母音欄只供搜尋，不可取代讀本正文。
4. 希臘文依 Mounce 官方 1000 詞順序；原 PDF 無 BBG 章碼的後段仍維持其頻率次序。
5. 中文義欄目前刻意留白，待依你持有的中文課本逐項核對，不以自動翻譯冒充課本詞義。</x:v>
      </x:c>
      <x:c r="F6" s="39" t="str">
        <x:v>1. 希伯來文每課 20 詞，共 50 課；BBH2 的原始順序優先，完全相同且同義的重複列只計一次。
2. 第 553 詞起，依 WLC／OSHB 實際詞頻補足；人名、地名、民族／國族名、神名與稱號不排除。
3. 同一輔音形若母音或義項不同，保留為不同學習單位；無母音欄只供搜尋，不可取代讀本正文。
4. 希臘文依 Mounce 官方 1000 詞順序；原 PDF 無 BBG 章碼的後段仍維持其頻率次序。
5. 中文義欄目前刻意留白，待依你持有的中文課本逐項核對，不以自動翻譯冒充課本詞義。</x:v>
      </x:c>
      <x:c r="G6" s="39" t="str">
        <x:v>1. 希伯來文每課 20 詞，共 50 課；BBH2 的原始順序優先，完全相同且同義的重複列只計一次。
2. 第 553 詞起，依 WLC／OSHB 實際詞頻補足；人名、地名、民族／國族名、神名與稱號不排除。
3. 同一輔音形若母音或義項不同，保留為不同學習單位；無母音欄只供搜尋，不可取代讀本正文。
4. 希臘文依 Mounce 官方 1000 詞順序；原 PDF 無 BBG 章碼的後段仍維持其頻率次序。
5. 中文義欄目前刻意留白，待依你持有的中文課本逐項核對，不以自動翻譯冒充課本詞義。</x:v>
      </x:c>
      <x:c r="H6" s="40" t="str">
        <x:v>1. 希伯來文每課 20 詞，共 50 課；BBH2 的原始順序優先，完全相同且同義的重複列只計一次。
2. 第 553 詞起，依 WLC／OSHB 實際詞頻補足；人名、地名、民族／國族名、神名與稱號不排除。
3. 同一輔音形若母音或義項不同，保留為不同學習單位；無母音欄只供搜尋，不可取代讀本正文。
4. 希臘文依 Mounce 官方 1000 詞順序；原 PDF 無 BBG 章碼的後段仍維持其頻率次序。
5. 中文義欄目前刻意留白，待依你持有的中文課本逐項核對，不以自動翻譯冒充課本詞義。</x:v>
      </x:c>
    </x:row>
    <x:row r="7" ht="28" customHeight="1">
      <x:c r="A7" s="34" t="str">
        <x:v>自編延伸</x:v>
      </x:c>
      <x:c r="B7" s="21" t="n">
        <x:f>COUNTIF('希伯來文1000詞'!$I$5:$I$1004,"自編延伸")</x:f>
        <x:v>448</x:v>
      </x:c>
      <x:c r="D7" s="41" t="str">
        <x:v>1. 希伯來文每課 20 詞，共 50 課；BBH2 的原始順序優先，完全相同且同義的重複列只計一次。
2. 第 553 詞起，依 WLC／OSHB 實際詞頻補足；人名、地名、民族／國族名、神名與稱號不排除。
3. 同一輔音形若母音或義項不同，保留為不同學習單位；無母音欄只供搜尋，不可取代讀本正文。
4. 希臘文依 Mounce 官方 1000 詞順序；原 PDF 無 BBG 章碼的後段仍維持其頻率次序。
5. 中文義欄目前刻意留白，待依你持有的中文課本逐項核對，不以自動翻譯冒充課本詞義。</x:v>
      </x:c>
      <x:c r="E7" s="37" t="str">
        <x:v>1. 希伯來文每課 20 詞，共 50 課；BBH2 的原始順序優先，完全相同且同義的重複列只計一次。
2. 第 553 詞起，依 WLC／OSHB 實際詞頻補足；人名、地名、民族／國族名、神名與稱號不排除。
3. 同一輔音形若母音或義項不同，保留為不同學習單位；無母音欄只供搜尋，不可取代讀本正文。
4. 希臘文依 Mounce 官方 1000 詞順序；原 PDF 無 BBG 章碼的後段仍維持其頻率次序。
5. 中文義欄目前刻意留白，待依你持有的中文課本逐項核對，不以自動翻譯冒充課本詞義。</x:v>
      </x:c>
      <x:c r="F7" s="37" t="str">
        <x:v>1. 希伯來文每課 20 詞，共 50 課；BBH2 的原始順序優先，完全相同且同義的重複列只計一次。
2. 第 553 詞起，依 WLC／OSHB 實際詞頻補足；人名、地名、民族／國族名、神名與稱號不排除。
3. 同一輔音形若母音或義項不同，保留為不同學習單位；無母音欄只供搜尋，不可取代讀本正文。
4. 希臘文依 Mounce 官方 1000 詞順序；原 PDF 無 BBG 章碼的後段仍維持其頻率次序。
5. 中文義欄目前刻意留白，待依你持有的中文課本逐項核對，不以自動翻譯冒充課本詞義。</x:v>
      </x:c>
      <x:c r="G7" s="37" t="str">
        <x:v>1. 希伯來文每課 20 詞，共 50 課；BBH2 的原始順序優先，完全相同且同義的重複列只計一次。
2. 第 553 詞起，依 WLC／OSHB 實際詞頻補足；人名、地名、民族／國族名、神名與稱號不排除。
3. 同一輔音形若母音或義項不同，保留為不同學習單位；無母音欄只供搜尋，不可取代讀本正文。
4. 希臘文依 Mounce 官方 1000 詞順序；原 PDF 無 BBG 章碼的後段仍維持其頻率次序。
5. 中文義欄目前刻意留白，待依你持有的中文課本逐項核對，不以自動翻譯冒充課本詞義。</x:v>
      </x:c>
      <x:c r="H7" s="42" t="str">
        <x:v>1. 希伯來文每課 20 詞，共 50 課；BBH2 的原始順序優先，完全相同且同義的重複列只計一次。
2. 第 553 詞起，依 WLC／OSHB 實際詞頻補足；人名、地名、民族／國族名、神名與稱號不排除。
3. 同一輔音形若母音或義項不同，保留為不同學習單位；無母音欄只供搜尋，不可取代讀本正文。
4. 希臘文依 Mounce 官方 1000 詞順序；原 PDF 無 BBG 章碼的後段仍維持其頻率次序。
5. 中文義欄目前刻意留白，待依你持有的中文課本逐項核對，不以自動翻譯冒充課本詞義。</x:v>
      </x:c>
    </x:row>
    <x:row r="8" ht="28" customHeight="1">
      <x:c r="A8" s="34" t="str">
        <x:v>希伯來專名／族名</x:v>
      </x:c>
      <x:c r="B8" s="21" t="n">
        <x:f>COUNTIF('希伯來文1000詞'!$N$5:$N$1004,"是")</x:f>
        <x:v>135</x:v>
      </x:c>
      <x:c r="D8" s="41" t="str">
        <x:v>1. 希伯來文每課 20 詞，共 50 課；BBH2 的原始順序優先，完全相同且同義的重複列只計一次。
2. 第 553 詞起，依 WLC／OSHB 實際詞頻補足；人名、地名、民族／國族名、神名與稱號不排除。
3. 同一輔音形若母音或義項不同，保留為不同學習單位；無母音欄只供搜尋，不可取代讀本正文。
4. 希臘文依 Mounce 官方 1000 詞順序；原 PDF 無 BBG 章碼的後段仍維持其頻率次序。
5. 中文義欄目前刻意留白，待依你持有的中文課本逐項核對，不以自動翻譯冒充課本詞義。</x:v>
      </x:c>
      <x:c r="E8" s="37" t="str">
        <x:v>1. 希伯來文每課 20 詞，共 50 課；BBH2 的原始順序優先，完全相同且同義的重複列只計一次。
2. 第 553 詞起，依 WLC／OSHB 實際詞頻補足；人名、地名、民族／國族名、神名與稱號不排除。
3. 同一輔音形若母音或義項不同，保留為不同學習單位；無母音欄只供搜尋，不可取代讀本正文。
4. 希臘文依 Mounce 官方 1000 詞順序；原 PDF 無 BBG 章碼的後段仍維持其頻率次序。
5. 中文義欄目前刻意留白，待依你持有的中文課本逐項核對，不以自動翻譯冒充課本詞義。</x:v>
      </x:c>
      <x:c r="F8" s="37" t="str">
        <x:v>1. 希伯來文每課 20 詞，共 50 課；BBH2 的原始順序優先，完全相同且同義的重複列只計一次。
2. 第 553 詞起，依 WLC／OSHB 實際詞頻補足；人名、地名、民族／國族名、神名與稱號不排除。
3. 同一輔音形若母音或義項不同，保留為不同學習單位；無母音欄只供搜尋，不可取代讀本正文。
4. 希臘文依 Mounce 官方 1000 詞順序；原 PDF 無 BBG 章碼的後段仍維持其頻率次序。
5. 中文義欄目前刻意留白，待依你持有的中文課本逐項核對，不以自動翻譯冒充課本詞義。</x:v>
      </x:c>
      <x:c r="G8" s="37" t="str">
        <x:v>1. 希伯來文每課 20 詞，共 50 課；BBH2 的原始順序優先，完全相同且同義的重複列只計一次。
2. 第 553 詞起，依 WLC／OSHB 實際詞頻補足；人名、地名、民族／國族名、神名與稱號不排除。
3. 同一輔音形若母音或義項不同，保留為不同學習單位；無母音欄只供搜尋，不可取代讀本正文。
4. 希臘文依 Mounce 官方 1000 詞順序；原 PDF 無 BBG 章碼的後段仍維持其頻率次序。
5. 中文義欄目前刻意留白，待依你持有的中文課本逐項核對，不以自動翻譯冒充課本詞義。</x:v>
      </x:c>
      <x:c r="H8" s="42" t="str">
        <x:v>1. 希伯來文每課 20 詞，共 50 課；BBH2 的原始順序優先，完全相同且同義的重複列只計一次。
2. 第 553 詞起，依 WLC／OSHB 實際詞頻補足；人名、地名、民族／國族名、神名與稱號不排除。
3. 同一輔音形若母音或義項不同，保留為不同學習單位；無母音欄只供搜尋，不可取代讀本正文。
4. 希臘文依 Mounce 官方 1000 詞順序；原 PDF 無 BBG 章碼的後段仍維持其頻率次序。
5. 中文義欄目前刻意留白，待依你持有的中文課本逐項核對，不以自動翻譯冒充課本詞義。</x:v>
      </x:c>
    </x:row>
    <x:row r="9" ht="28" customHeight="1">
      <x:c r="A9" s="34" t="str">
        <x:v>希臘文總數</x:v>
      </x:c>
      <x:c r="B9" s="21" t="n">
        <x:f>COUNTA('希臘文1000詞'!$A$5:$A$1004)</x:f>
        <x:v>1000</x:v>
      </x:c>
      <x:c r="D9" s="41" t="str">
        <x:v>1. 希伯來文每課 20 詞，共 50 課；BBH2 的原始順序優先，完全相同且同義的重複列只計一次。
2. 第 553 詞起，依 WLC／OSHB 實際詞頻補足；人名、地名、民族／國族名、神名與稱號不排除。
3. 同一輔音形若母音或義項不同，保留為不同學習單位；無母音欄只供搜尋，不可取代讀本正文。
4. 希臘文依 Mounce 官方 1000 詞順序；原 PDF 無 BBG 章碼的後段仍維持其頻率次序。
5. 中文義欄目前刻意留白，待依你持有的中文課本逐項核對，不以自動翻譯冒充課本詞義。</x:v>
      </x:c>
      <x:c r="E9" s="37" t="str">
        <x:v>1. 希伯來文每課 20 詞，共 50 課；BBH2 的原始順序優先，完全相同且同義的重複列只計一次。
2. 第 553 詞起，依 WLC／OSHB 實際詞頻補足；人名、地名、民族／國族名、神名與稱號不排除。
3. 同一輔音形若母音或義項不同，保留為不同學習單位；無母音欄只供搜尋，不可取代讀本正文。
4. 希臘文依 Mounce 官方 1000 詞順序；原 PDF 無 BBG 章碼的後段仍維持其頻率次序。
5. 中文義欄目前刻意留白，待依你持有的中文課本逐項核對，不以自動翻譯冒充課本詞義。</x:v>
      </x:c>
      <x:c r="F9" s="37" t="str">
        <x:v>1. 希伯來文每課 20 詞，共 50 課；BBH2 的原始順序優先，完全相同且同義的重複列只計一次。
2. 第 553 詞起，依 WLC／OSHB 實際詞頻補足；人名、地名、民族／國族名、神名與稱號不排除。
3. 同一輔音形若母音或義項不同，保留為不同學習單位；無母音欄只供搜尋，不可取代讀本正文。
4. 希臘文依 Mounce 官方 1000 詞順序；原 PDF 無 BBG 章碼的後段仍維持其頻率次序。
5. 中文義欄目前刻意留白，待依你持有的中文課本逐項核對，不以自動翻譯冒充課本詞義。</x:v>
      </x:c>
      <x:c r="G9" s="37" t="str">
        <x:v>1. 希伯來文每課 20 詞，共 50 課；BBH2 的原始順序優先，完全相同且同義的重複列只計一次。
2. 第 553 詞起，依 WLC／OSHB 實際詞頻補足；人名、地名、民族／國族名、神名與稱號不排除。
3. 同一輔音形若母音或義項不同，保留為不同學習單位；無母音欄只供搜尋，不可取代讀本正文。
4. 希臘文依 Mounce 官方 1000 詞順序；原 PDF 無 BBG 章碼的後段仍維持其頻率次序。
5. 中文義欄目前刻意留白，待依你持有的中文課本逐項核對，不以自動翻譯冒充課本詞義。</x:v>
      </x:c>
      <x:c r="H9" s="42" t="str">
        <x:v>1. 希伯來文每課 20 詞，共 50 課；BBH2 的原始順序優先，完全相同且同義的重複列只計一次。
2. 第 553 詞起，依 WLC／OSHB 實際詞頻補足；人名、地名、民族／國族名、神名與稱號不排除。
3. 同一輔音形若母音或義項不同，保留為不同學習單位；無母音欄只供搜尋，不可取代讀本正文。
4. 希臘文依 Mounce 官方 1000 詞順序；原 PDF 無 BBG 章碼的後段仍維持其頻率次序。
5. 中文義欄目前刻意留白，待依你持有的中文課本逐項核對，不以自動翻譯冒充課本詞義。</x:v>
      </x:c>
    </x:row>
    <x:row r="10" ht="28" customHeight="1">
      <x:c r="A10" s="34" t="str">
        <x:v>希臘專名／族名</x:v>
      </x:c>
      <x:c r="B10" s="21" t="n">
        <x:f>COUNTIF('希臘文1000詞'!$L$5:$L$1004,"是")</x:f>
        <x:v>56</x:v>
      </x:c>
      <x:c r="D10" s="41" t="str">
        <x:v>1. 希伯來文每課 20 詞，共 50 課；BBH2 的原始順序優先，完全相同且同義的重複列只計一次。
2. 第 553 詞起，依 WLC／OSHB 實際詞頻補足；人名、地名、民族／國族名、神名與稱號不排除。
3. 同一輔音形若母音或義項不同，保留為不同學習單位；無母音欄只供搜尋，不可取代讀本正文。
4. 希臘文依 Mounce 官方 1000 詞順序；原 PDF 無 BBG 章碼的後段仍維持其頻率次序。
5. 中文義欄目前刻意留白，待依你持有的中文課本逐項核對，不以自動翻譯冒充課本詞義。</x:v>
      </x:c>
      <x:c r="E10" s="37" t="str">
        <x:v>1. 希伯來文每課 20 詞，共 50 課；BBH2 的原始順序優先，完全相同且同義的重複列只計一次。
2. 第 553 詞起，依 WLC／OSHB 實際詞頻補足；人名、地名、民族／國族名、神名與稱號不排除。
3. 同一輔音形若母音或義項不同，保留為不同學習單位；無母音欄只供搜尋，不可取代讀本正文。
4. 希臘文依 Mounce 官方 1000 詞順序；原 PDF 無 BBG 章碼的後段仍維持其頻率次序。
5. 中文義欄目前刻意留白，待依你持有的中文課本逐項核對，不以自動翻譯冒充課本詞義。</x:v>
      </x:c>
      <x:c r="F10" s="37" t="str">
        <x:v>1. 希伯來文每課 20 詞，共 50 課；BBH2 的原始順序優先，完全相同且同義的重複列只計一次。
2. 第 553 詞起，依 WLC／OSHB 實際詞頻補足；人名、地名、民族／國族名、神名與稱號不排除。
3. 同一輔音形若母音或義項不同，保留為不同學習單位；無母音欄只供搜尋，不可取代讀本正文。
4. 希臘文依 Mounce 官方 1000 詞順序；原 PDF 無 BBG 章碼的後段仍維持其頻率次序。
5. 中文義欄目前刻意留白，待依你持有的中文課本逐項核對，不以自動翻譯冒充課本詞義。</x:v>
      </x:c>
      <x:c r="G10" s="37" t="str">
        <x:v>1. 希伯來文每課 20 詞，共 50 課；BBH2 的原始順序優先，完全相同且同義的重複列只計一次。
2. 第 553 詞起，依 WLC／OSHB 實際詞頻補足；人名、地名、民族／國族名、神名與稱號不排除。
3. 同一輔音形若母音或義項不同，保留為不同學習單位；無母音欄只供搜尋，不可取代讀本正文。
4. 希臘文依 Mounce 官方 1000 詞順序；原 PDF 無 BBG 章碼的後段仍維持其頻率次序。
5. 中文義欄目前刻意留白，待依你持有的中文課本逐項核對，不以自動翻譯冒充課本詞義。</x:v>
      </x:c>
      <x:c r="H10" s="42" t="str">
        <x:v>1. 希伯來文每課 20 詞，共 50 課；BBH2 的原始順序優先，完全相同且同義的重複列只計一次。
2. 第 553 詞起，依 WLC／OSHB 實際詞頻補足；人名、地名、民族／國族名、神名與稱號不排除。
3. 同一輔音形若母音或義項不同，保留為不同學習單位；無母音欄只供搜尋，不可取代讀本正文。
4. 希臘文依 Mounce 官方 1000 詞順序；原 PDF 無 BBG 章碼的後段仍維持其頻率次序。
5. 中文義欄目前刻意留白，待依你持有的中文課本逐項核對，不以自動翻譯冒充課本詞義。</x:v>
      </x:c>
    </x:row>
    <x:row r="11" ht="28" customHeight="1">
      <x:c r="D11" s="41" t="str">
        <x:v>1. 希伯來文每課 20 詞，共 50 課；BBH2 的原始順序優先，完全相同且同義的重複列只計一次。
2. 第 553 詞起，依 WLC／OSHB 實際詞頻補足；人名、地名、民族／國族名、神名與稱號不排除。
3. 同一輔音形若母音或義項不同，保留為不同學習單位；無母音欄只供搜尋，不可取代讀本正文。
4. 希臘文依 Mounce 官方 1000 詞順序；原 PDF 無 BBG 章碼的後段仍維持其頻率次序。
5. 中文義欄目前刻意留白，待依你持有的中文課本逐項核對，不以自動翻譯冒充課本詞義。</x:v>
      </x:c>
      <x:c r="E11" s="37" t="str">
        <x:v>1. 希伯來文每課 20 詞，共 50 課；BBH2 的原始順序優先，完全相同且同義的重複列只計一次。
2. 第 553 詞起，依 WLC／OSHB 實際詞頻補足；人名、地名、民族／國族名、神名與稱號不排除。
3. 同一輔音形若母音或義項不同，保留為不同學習單位；無母音欄只供搜尋，不可取代讀本正文。
4. 希臘文依 Mounce 官方 1000 詞順序；原 PDF 無 BBG 章碼的後段仍維持其頻率次序。
5. 中文義欄目前刻意留白，待依你持有的中文課本逐項核對，不以自動翻譯冒充課本詞義。</x:v>
      </x:c>
      <x:c r="F11" s="37" t="str">
        <x:v>1. 希伯來文每課 20 詞，共 50 課；BBH2 的原始順序優先，完全相同且同義的重複列只計一次。
2. 第 553 詞起，依 WLC／OSHB 實際詞頻補足；人名、地名、民族／國族名、神名與稱號不排除。
3. 同一輔音形若母音或義項不同，保留為不同學習單位；無母音欄只供搜尋，不可取代讀本正文。
4. 希臘文依 Mounce 官方 1000 詞順序；原 PDF 無 BBG 章碼的後段仍維持其頻率次序。
5. 中文義欄目前刻意留白，待依你持有的中文課本逐項核對，不以自動翻譯冒充課本詞義。</x:v>
      </x:c>
      <x:c r="G11" s="37" t="str">
        <x:v>1. 希伯來文每課 20 詞，共 50 課；BBH2 的原始順序優先，完全相同且同義的重複列只計一次。
2. 第 553 詞起，依 WLC／OSHB 實際詞頻補足；人名、地名、民族／國族名、神名與稱號不排除。
3. 同一輔音形若母音或義項不同，保留為不同學習單位；無母音欄只供搜尋，不可取代讀本正文。
4. 希臘文依 Mounce 官方 1000 詞順序；原 PDF 無 BBG 章碼的後段仍維持其頻率次序。
5. 中文義欄目前刻意留白，待依你持有的中文課本逐項核對，不以自動翻譯冒充課本詞義。</x:v>
      </x:c>
      <x:c r="H11" s="42" t="str">
        <x:v>1. 希伯來文每課 20 詞，共 50 課；BBH2 的原始順序優先，完全相同且同義的重複列只計一次。
2. 第 553 詞起，依 WLC／OSHB 實際詞頻補足；人名、地名、民族／國族名、神名與稱號不排除。
3. 同一輔音形若母音或義項不同，保留為不同學習單位；無母音欄只供搜尋，不可取代讀本正文。
4. 希臘文依 Mounce 官方 1000 詞順序；原 PDF 無 BBG 章碼的後段仍維持其頻率次序。
5. 中文義欄目前刻意留白，待依你持有的中文課本逐項核對，不以自動翻譯冒充課本詞義。</x:v>
      </x:c>
    </x:row>
    <x:row r="12" ht="28" customHeight="1">
      <x:c r="D12" s="41" t="str">
        <x:v>1. 希伯來文每課 20 詞，共 50 課；BBH2 的原始順序優先，完全相同且同義的重複列只計一次。
2. 第 553 詞起，依 WLC／OSHB 實際詞頻補足；人名、地名、民族／國族名、神名與稱號不排除。
3. 同一輔音形若母音或義項不同，保留為不同學習單位；無母音欄只供搜尋，不可取代讀本正文。
4. 希臘文依 Mounce 官方 1000 詞順序；原 PDF 無 BBG 章碼的後段仍維持其頻率次序。
5. 中文義欄目前刻意留白，待依你持有的中文課本逐項核對，不以自動翻譯冒充課本詞義。</x:v>
      </x:c>
      <x:c r="E12" s="37" t="str">
        <x:v>1. 希伯來文每課 20 詞，共 50 課；BBH2 的原始順序優先，完全相同且同義的重複列只計一次。
2. 第 553 詞起，依 WLC／OSHB 實際詞頻補足；人名、地名、民族／國族名、神名與稱號不排除。
3. 同一輔音形若母音或義項不同，保留為不同學習單位；無母音欄只供搜尋，不可取代讀本正文。
4. 希臘文依 Mounce 官方 1000 詞順序；原 PDF 無 BBG 章碼的後段仍維持其頻率次序。
5. 中文義欄目前刻意留白，待依你持有的中文課本逐項核對，不以自動翻譯冒充課本詞義。</x:v>
      </x:c>
      <x:c r="F12" s="37" t="str">
        <x:v>1. 希伯來文每課 20 詞，共 50 課；BBH2 的原始順序優先，完全相同且同義的重複列只計一次。
2. 第 553 詞起，依 WLC／OSHB 實際詞頻補足；人名、地名、民族／國族名、神名與稱號不排除。
3. 同一輔音形若母音或義項不同，保留為不同學習單位；無母音欄只供搜尋，不可取代讀本正文。
4. 希臘文依 Mounce 官方 1000 詞順序；原 PDF 無 BBG 章碼的後段仍維持其頻率次序。
5. 中文義欄目前刻意留白，待依你持有的中文課本逐項核對，不以自動翻譯冒充課本詞義。</x:v>
      </x:c>
      <x:c r="G12" s="37" t="str">
        <x:v>1. 希伯來文每課 20 詞，共 50 課；BBH2 的原始順序優先，完全相同且同義的重複列只計一次。
2. 第 553 詞起，依 WLC／OSHB 實際詞頻補足；人名、地名、民族／國族名、神名與稱號不排除。
3. 同一輔音形若母音或義項不同，保留為不同學習單位；無母音欄只供搜尋，不可取代讀本正文。
4. 希臘文依 Mounce 官方 1000 詞順序；原 PDF 無 BBG 章碼的後段仍維持其頻率次序。
5. 中文義欄目前刻意留白，待依你持有的中文課本逐項核對，不以自動翻譯冒充課本詞義。</x:v>
      </x:c>
      <x:c r="H12" s="42" t="str">
        <x:v>1. 希伯來文每課 20 詞，共 50 課；BBH2 的原始順序優先，完全相同且同義的重複列只計一次。
2. 第 553 詞起，依 WLC／OSHB 實際詞頻補足；人名、地名、民族／國族名、神名與稱號不排除。
3. 同一輔音形若母音或義項不同，保留為不同學習單位；無母音欄只供搜尋，不可取代讀本正文。
4. 希臘文依 Mounce 官方 1000 詞順序；原 PDF 無 BBG 章碼的後段仍維持其頻率次序。
5. 中文義欄目前刻意留白，待依你持有的中文課本逐項核對，不以自動翻譯冒充課本詞義。</x:v>
      </x:c>
    </x:row>
    <x:row r="13" ht="28" customHeight="1">
      <x:c r="D13" s="43" t="str">
        <x:v>1. 希伯來文每課 20 詞，共 50 課；BBH2 的原始順序優先，完全相同且同義的重複列只計一次。
2. 第 553 詞起，依 WLC／OSHB 實際詞頻補足；人名、地名、民族／國族名、神名與稱號不排除。
3. 同一輔音形若母音或義項不同，保留為不同學習單位；無母音欄只供搜尋，不可取代讀本正文。
4. 希臘文依 Mounce 官方 1000 詞順序；原 PDF 無 BBG 章碼的後段仍維持其頻率次序。
5. 中文義欄目前刻意留白，待依你持有的中文課本逐項核對，不以自動翻譯冒充課本詞義。</x:v>
      </x:c>
      <x:c r="E13" s="44" t="str">
        <x:v>1. 希伯來文每課 20 詞，共 50 課；BBH2 的原始順序優先，完全相同且同義的重複列只計一次。
2. 第 553 詞起，依 WLC／OSHB 實際詞頻補足；人名、地名、民族／國族名、神名與稱號不排除。
3. 同一輔音形若母音或義項不同，保留為不同學習單位；無母音欄只供搜尋，不可取代讀本正文。
4. 希臘文依 Mounce 官方 1000 詞順序；原 PDF 無 BBG 章碼的後段仍維持其頻率次序。
5. 中文義欄目前刻意留白，待依你持有的中文課本逐項核對，不以自動翻譯冒充課本詞義。</x:v>
      </x:c>
      <x:c r="F13" s="44" t="str">
        <x:v>1. 希伯來文每課 20 詞，共 50 課；BBH2 的原始順序優先，完全相同且同義的重複列只計一次。
2. 第 553 詞起，依 WLC／OSHB 實際詞頻補足；人名、地名、民族／國族名、神名與稱號不排除。
3. 同一輔音形若母音或義項不同，保留為不同學習單位；無母音欄只供搜尋，不可取代讀本正文。
4. 希臘文依 Mounce 官方 1000 詞順序；原 PDF 無 BBG 章碼的後段仍維持其頻率次序。
5. 中文義欄目前刻意留白，待依你持有的中文課本逐項核對，不以自動翻譯冒充課本詞義。</x:v>
      </x:c>
      <x:c r="G13" s="44" t="str">
        <x:v>1. 希伯來文每課 20 詞，共 50 課；BBH2 的原始順序優先，完全相同且同義的重複列只計一次。
2. 第 553 詞起，依 WLC／OSHB 實際詞頻補足；人名、地名、民族／國族名、神名與稱號不排除。
3. 同一輔音形若母音或義項不同，保留為不同學習單位；無母音欄只供搜尋，不可取代讀本正文。
4. 希臘文依 Mounce 官方 1000 詞順序；原 PDF 無 BBG 章碼的後段仍維持其頻率次序。
5. 中文義欄目前刻意留白，待依你持有的中文課本逐項核對，不以自動翻譯冒充課本詞義。</x:v>
      </x:c>
      <x:c r="H13" s="45" t="str">
        <x:v>1. 希伯來文每課 20 詞，共 50 課；BBH2 的原始順序優先，完全相同且同義的重複列只計一次。
2. 第 553 詞起，依 WLC／OSHB 實際詞頻補足；人名、地名、民族／國族名、神名與稱號不排除。
3. 同一輔音形若母音或義項不同，保留為不同學習單位；無母音欄只供搜尋，不可取代讀本正文。
4. 希臘文依 Mounce 官方 1000 詞順序；原 PDF 無 BBG 章碼的後段仍維持其頻率次序。
5. 中文義欄目前刻意留白，待依你持有的中文課本逐項核對，不以自動翻譯冒充課本詞義。</x:v>
      </x:c>
    </x:row>
    <x:row r="15" ht="30" customHeight="1">
      <x:c r="A15" s="13" t="str">
        <x:v>核對標記怎麼看</x:v>
      </x:c>
      <x:c r="B15" s="13" t="str">
        <x:v>核對標記怎麼看</x:v>
      </x:c>
      <x:c r="C15" s="13" t="str">
        <x:v>核對標記怎麼看</x:v>
      </x:c>
      <x:c r="D15" s="13" t="str">
        <x:v>核對標記怎麼看</x:v>
      </x:c>
      <x:c r="E15" s="13" t="str">
        <x:v>核對標記怎麼看</x:v>
      </x:c>
      <x:c r="F15" s="13" t="str">
        <x:v>核對標記怎麼看</x:v>
      </x:c>
      <x:c r="G15" s="13" t="str">
        <x:v>核對標記怎麼看</x:v>
      </x:c>
      <x:c r="H15" s="13" t="str">
        <x:v>核對標記怎麼看</x:v>
      </x:c>
    </x:row>
    <x:row r="16" ht="24" customHeight="1">
      <x:c r="A16" s="47"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B16" s="48"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C16" s="48"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D16" s="48"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E16" s="48"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F16" s="48"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G16" s="48"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H16" s="49"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row>
    <x:row r="17" ht="24" customHeight="1">
      <x:c r="A17" s="50"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B17" s="46"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C17" s="46"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D17" s="46"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E17" s="46"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F17" s="46"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G17" s="46"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H17" s="51"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row>
    <x:row r="18" ht="24" customHeight="1">
      <x:c r="A18" s="50"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B18" s="46"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C18" s="46"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D18" s="46"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E18" s="46"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F18" s="46"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G18" s="46"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H18" s="51"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row>
    <x:row r="19" ht="24" customHeight="1">
      <x:c r="A19" s="50"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B19" s="46"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C19" s="46"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D19" s="46"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E19" s="46"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F19" s="46"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G19" s="46"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H19" s="51"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row>
    <x:row r="20" ht="24" customHeight="1">
      <x:c r="A20" s="50"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B20" s="46"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C20" s="46"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D20" s="46"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E20" s="46"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F20" s="46"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G20" s="46"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H20" s="51"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row>
    <x:row r="21" ht="24" customHeight="1">
      <x:c r="A21" s="50"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B21" s="46"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C21" s="46"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D21" s="46"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E21" s="46"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F21" s="46"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G21" s="46"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H21" s="51"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row>
    <x:row r="22" ht="24" customHeight="1">
      <x:c r="A22" s="52"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B22" s="53"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C22" s="53"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D22" s="53"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E22" s="53"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F22" s="53"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G22" s="53"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c r="H22" s="54" t="str">
        <x:v>• source_and_lexicon_matched：課本來源與詞典詞頭均已匹配。
• source_verified：課本列已核實，但 Strong 對應暫不強配。
• lemma_frequency_verified：延伸詞的詞頭、Strong 與 WLC／OSHB 詞頻已匹配。
• source_verified_lexicon_pending：Mounce PDF 詞條已核實，詞典對應仍待人工複核。
• rule_generated_exception_review：希伯來音譯依 BBH 規則生成，qamets-hatuf、shewa、神名等例外需逐詞聽讀複核。
• rule_generated_from_official_table：希臘音譯依 Mounce 官方標準／Erasmian 字母表生成。</x:v>
      </x:c>
    </x:row>
    <x:row r="24" ht="30" customHeight="1">
      <x:c r="A24" s="13" t="str">
        <x:v>資料來源</x:v>
      </x:c>
      <x:c r="B24" s="13" t="str">
        <x:v>資料來源</x:v>
      </x:c>
      <x:c r="C24" s="13" t="str">
        <x:v>資料來源</x:v>
      </x:c>
      <x:c r="D24" s="13" t="str">
        <x:v>資料來源</x:v>
      </x:c>
      <x:c r="E24" s="13" t="str">
        <x:v>資料來源</x:v>
      </x:c>
      <x:c r="F24" s="13" t="str">
        <x:v>資料來源</x:v>
      </x:c>
      <x:c r="G24" s="13" t="str">
        <x:v>資料來源</x:v>
      </x:c>
      <x:c r="H24" s="13" t="str">
        <x:v>資料來源</x:v>
      </x:c>
    </x:row>
    <x:row r="25">
      <x:c r="A25" s="16" t="str">
        <x:v>BBH2 伴讀詞表</x:v>
      </x:c>
      <x:c r="B25" s="20" t="str">
        <x:v>https://hebrewsyntax.org/bbh2new/</x:v>
      </x:c>
      <x:c r="C25" s="20"/>
      <x:c r="D25" s="20"/>
      <x:c r="E25" s="20"/>
      <x:c r="F25" s="20"/>
      <x:c r="G25" s="20"/>
      <x:c r="H25" s="20"/>
    </x:row>
    <x:row r="26">
      <x:c r="A26" s="16" t="str">
        <x:v>WLC／OSHB 詞頻與形態</x:v>
      </x:c>
      <x:c r="B26" s="20" t="str">
        <x:v>https://github.com/openscriptures/morphhb</x:v>
      </x:c>
      <x:c r="C26" s="20"/>
      <x:c r="D26" s="20"/>
      <x:c r="E26" s="20"/>
      <x:c r="F26" s="20"/>
      <x:c r="G26" s="20"/>
      <x:c r="H26" s="20"/>
    </x:row>
    <x:row r="27">
      <x:c r="A27" s="16" t="str">
        <x:v>Open Scriptures Strong 詞典</x:v>
      </x:c>
      <x:c r="B27" s="20" t="str">
        <x:v>https://github.com/openscriptures/strongs</x:v>
      </x:c>
      <x:c r="C27" s="20"/>
      <x:c r="D27" s="20"/>
      <x:c r="E27" s="20"/>
      <x:c r="F27" s="20"/>
      <x:c r="G27" s="20"/>
      <x:c r="H27" s="20"/>
    </x:row>
    <x:row r="28">
      <x:c r="A28" s="16" t="str">
        <x:v>Mounce 官方 1000 詞 PDF</x:v>
      </x:c>
      <x:c r="B28" s="20" t="str">
        <x:v>https://doxa.billmounce.com/Flashcards%20%28BBG%29.pdf</x:v>
      </x:c>
      <x:c r="C28" s="20"/>
      <x:c r="D28" s="20"/>
      <x:c r="E28" s="20"/>
      <x:c r="F28" s="20"/>
      <x:c r="G28" s="20"/>
      <x:c r="H28" s="20"/>
    </x:row>
    <x:row r="29">
      <x:c r="A29" s="16" t="str">
        <x:v>BBH2 輔音／音譯規則</x:v>
      </x:c>
      <x:c r="B29" s="20" t="str">
        <x:v>https://hebrewsyntax.org/bbh2new/01_overheads_color.pdf</x:v>
      </x:c>
      <x:c r="C29" s="20"/>
      <x:c r="D29" s="20"/>
      <x:c r="E29" s="20"/>
      <x:c r="F29" s="20"/>
      <x:c r="G29" s="20"/>
      <x:c r="H29" s="20"/>
    </x:row>
    <x:row r="30">
      <x:c r="A30" s="16" t="str">
        <x:v>Mounce 標準／Erasmian 發音表</x:v>
      </x:c>
      <x:c r="B30" s="20" t="str">
        <x:v>https://www.billmounce.com/greek-alphabet</x:v>
      </x:c>
      <x:c r="C30" s="20"/>
      <x:c r="D30" s="20"/>
      <x:c r="E30" s="20"/>
      <x:c r="F30" s="20"/>
      <x:c r="G30" s="20"/>
      <x:c r="H30" s="20"/>
    </x:row>
  </x:sheetData>
  <x:mergeCells>
    <x:mergeCell ref="A1:H1"/>
    <x:mergeCell ref="A2:H2"/>
    <x:mergeCell ref="A4:H4"/>
    <x:mergeCell ref="D5:H5"/>
    <x:mergeCell ref="D6:H13"/>
    <x:mergeCell ref="A15:H15"/>
    <x:mergeCell ref="A16:H22"/>
    <x:mergeCell ref="A24:H24"/>
    <x:mergeCell ref="B25:H25"/>
    <x:mergeCell ref="B26:H26"/>
    <x:mergeCell ref="B27:H27"/>
    <x:mergeCell ref="B28:H28"/>
    <x:mergeCell ref="B29:H29"/>
    <x:mergeCell ref="B30:H3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7" hidden="0" customWidth="1"/>
    <x:col min="3" max="3" width="7" hidden="0" customWidth="1"/>
    <x:col min="4" max="4" width="20" hidden="0" customWidth="1"/>
    <x:col min="5" max="5" width="22" hidden="0" customWidth="1"/>
    <x:col min="6" max="6" width="15" hidden="0" customWidth="1"/>
    <x:col min="7" max="7" width="38" hidden="0" customWidth="1"/>
    <x:col min="8" max="8" width="20" hidden="0" customWidth="1"/>
    <x:col min="9" max="9" width="14" hidden="0" customWidth="1"/>
    <x:col min="10" max="10" width="9" hidden="0" customWidth="1"/>
    <x:col min="11" max="11" width="11" hidden="0" customWidth="1"/>
    <x:col min="12" max="12" width="11" hidden="0" customWidth="1"/>
    <x:col min="13" max="13" width="13" hidden="0" customWidth="1"/>
    <x:col min="14" max="14" width="12" hidden="0" customWidth="1"/>
    <x:col min="15" max="15" width="18" hidden="0" customWidth="1"/>
    <x:col min="16" max="16" width="24" hidden="0" customWidth="1"/>
    <x:col min="17" max="17" width="30" hidden="0" customWidth="1"/>
    <x:col min="18" max="18" width="40" hidden="0" customWidth="1"/>
  </x:cols>
  <x:sheetData>
    <x:row r="1" ht="34" customHeight="1">
      <x:c r="A1" s="4" t="str">
        <x:v>希伯來文 1000 詞｜50 課 × 20 詞</x:v>
      </x:c>
      <x:c r="B1" s="4" t="str">
        <x:v>希伯來文 1000 詞｜50 課 × 20 詞</x:v>
      </x:c>
      <x:c r="C1" s="4" t="str">
        <x:v>希伯來文 1000 詞｜50 課 × 20 詞</x:v>
      </x:c>
      <x:c r="D1" s="4" t="str">
        <x:v>希伯來文 1000 詞｜50 課 × 20 詞</x:v>
      </x:c>
      <x:c r="E1" s="4" t="str">
        <x:v>希伯來文 1000 詞｜50 課 × 20 詞</x:v>
      </x:c>
      <x:c r="F1" s="4" t="str">
        <x:v>希伯來文 1000 詞｜50 課 × 20 詞</x:v>
      </x:c>
      <x:c r="G1" s="4" t="str">
        <x:v>希伯來文 1000 詞｜50 課 × 20 詞</x:v>
      </x:c>
      <x:c r="H1" s="4" t="str">
        <x:v>希伯來文 1000 詞｜50 課 × 20 詞</x:v>
      </x:c>
      <x:c r="I1" s="4" t="str">
        <x:v>希伯來文 1000 詞｜50 課 × 20 詞</x:v>
      </x:c>
      <x:c r="J1" s="4" t="str">
        <x:v>希伯來文 1000 詞｜50 課 × 20 詞</x:v>
      </x:c>
      <x:c r="K1" s="4" t="str">
        <x:v>希伯來文 1000 詞｜50 課 × 20 詞</x:v>
      </x:c>
      <x:c r="L1" s="4" t="str">
        <x:v>希伯來文 1000 詞｜50 課 × 20 詞</x:v>
      </x:c>
      <x:c r="M1" s="4" t="str">
        <x:v>希伯來文 1000 詞｜50 課 × 20 詞</x:v>
      </x:c>
      <x:c r="N1" s="4" t="str">
        <x:v>希伯來文 1000 詞｜50 課 × 20 詞</x:v>
      </x:c>
      <x:c r="O1" s="4" t="str">
        <x:v>希伯來文 1000 詞｜50 課 × 20 詞</x:v>
      </x:c>
      <x:c r="P1" s="4" t="str">
        <x:v>希伯來文 1000 詞｜50 課 × 20 詞</x:v>
      </x:c>
      <x:c r="Q1" s="4" t="str">
        <x:v>希伯來文 1000 詞｜50 課 × 20 詞</x:v>
      </x:c>
      <x:c r="R1" s="4" t="str">
        <x:v>希伯來文 1000 詞｜50 課 × 20 詞</x:v>
      </x:c>
    </x:row>
    <x:row r="2" ht="28" customHeight="1">
      <x:c r="A2" s="7" t="str">
        <x:v>第 1–552 詞保留 BBH2 伴讀詞表課序（刪除 2 筆完全重複）；第 553–1000 詞依 WLC／OSHB 詞頻自編延伸。母音同形異義詞保留為不同學習單位。</x:v>
      </x:c>
      <x:c r="B2" s="7" t="str">
        <x:v>第 1–552 詞保留 BBH2 伴讀詞表課序（刪除 2 筆完全重複）；第 553–1000 詞依 WLC／OSHB 詞頻自編延伸。母音同形異義詞保留為不同學習單位。</x:v>
      </x:c>
      <x:c r="C2" s="7" t="str">
        <x:v>第 1–552 詞保留 BBH2 伴讀詞表課序（刪除 2 筆完全重複）；第 553–1000 詞依 WLC／OSHB 詞頻自編延伸。母音同形異義詞保留為不同學習單位。</x:v>
      </x:c>
      <x:c r="D2" s="7" t="str">
        <x:v>第 1–552 詞保留 BBH2 伴讀詞表課序（刪除 2 筆完全重複）；第 553–1000 詞依 WLC／OSHB 詞頻自編延伸。母音同形異義詞保留為不同學習單位。</x:v>
      </x:c>
      <x:c r="E2" s="7" t="str">
        <x:v>第 1–552 詞保留 BBH2 伴讀詞表課序（刪除 2 筆完全重複）；第 553–1000 詞依 WLC／OSHB 詞頻自編延伸。母音同形異義詞保留為不同學習單位。</x:v>
      </x:c>
      <x:c r="F2" s="7" t="str">
        <x:v>第 1–552 詞保留 BBH2 伴讀詞表課序（刪除 2 筆完全重複）；第 553–1000 詞依 WLC／OSHB 詞頻自編延伸。母音同形異義詞保留為不同學習單位。</x:v>
      </x:c>
      <x:c r="G2" s="7" t="str">
        <x:v>第 1–552 詞保留 BBH2 伴讀詞表課序（刪除 2 筆完全重複）；第 553–1000 詞依 WLC／OSHB 詞頻自編延伸。母音同形異義詞保留為不同學習單位。</x:v>
      </x:c>
      <x:c r="H2" s="7" t="str">
        <x:v>第 1–552 詞保留 BBH2 伴讀詞表課序（刪除 2 筆完全重複）；第 553–1000 詞依 WLC／OSHB 詞頻自編延伸。母音同形異義詞保留為不同學習單位。</x:v>
      </x:c>
      <x:c r="I2" s="7" t="str">
        <x:v>第 1–552 詞保留 BBH2 伴讀詞表課序（刪除 2 筆完全重複）；第 553–1000 詞依 WLC／OSHB 詞頻自編延伸。母音同形異義詞保留為不同學習單位。</x:v>
      </x:c>
      <x:c r="J2" s="7" t="str">
        <x:v>第 1–552 詞保留 BBH2 伴讀詞表課序（刪除 2 筆完全重複）；第 553–1000 詞依 WLC／OSHB 詞頻自編延伸。母音同形異義詞保留為不同學習單位。</x:v>
      </x:c>
      <x:c r="K2" s="7" t="str">
        <x:v>第 1–552 詞保留 BBH2 伴讀詞表課序（刪除 2 筆完全重複）；第 553–1000 詞依 WLC／OSHB 詞頻自編延伸。母音同形異義詞保留為不同學習單位。</x:v>
      </x:c>
      <x:c r="L2" s="7" t="str">
        <x:v>第 1–552 詞保留 BBH2 伴讀詞表課序（刪除 2 筆完全重複）；第 553–1000 詞依 WLC／OSHB 詞頻自編延伸。母音同形異義詞保留為不同學習單位。</x:v>
      </x:c>
      <x:c r="M2" s="7" t="str">
        <x:v>第 1–552 詞保留 BBH2 伴讀詞表課序（刪除 2 筆完全重複）；第 553–1000 詞依 WLC／OSHB 詞頻自編延伸。母音同形異義詞保留為不同學習單位。</x:v>
      </x:c>
      <x:c r="N2" s="7" t="str">
        <x:v>第 1–552 詞保留 BBH2 伴讀詞表課序（刪除 2 筆完全重複）；第 553–1000 詞依 WLC／OSHB 詞頻自編延伸。母音同形異義詞保留為不同學習單位。</x:v>
      </x:c>
      <x:c r="O2" s="7" t="str">
        <x:v>第 1–552 詞保留 BBH2 伴讀詞表課序（刪除 2 筆完全重複）；第 553–1000 詞依 WLC／OSHB 詞頻自編延伸。母音同形異義詞保留為不同學習單位。</x:v>
      </x:c>
      <x:c r="P2" s="7" t="str">
        <x:v>第 1–552 詞保留 BBH2 伴讀詞表課序（刪除 2 筆完全重複）；第 553–1000 詞依 WLC／OSHB 詞頻自編延伸。母音同形異義詞保留為不同學習單位。</x:v>
      </x:c>
      <x:c r="Q2" s="7" t="str">
        <x:v>第 1–552 詞保留 BBH2 伴讀詞表課序（刪除 2 筆完全重複）；第 553–1000 詞依 WLC／OSHB 詞頻自編延伸。母音同形異義詞保留為不同學習單位。</x:v>
      </x:c>
      <x:c r="R2" s="7" t="str">
        <x:v>第 1–552 詞保留 BBH2 伴讀詞表課序（刪除 2 筆完全重複）；第 553–1000 詞依 WLC／OSHB 詞頻自編延伸。母音同形異義詞保留為不同學習單位。</x:v>
      </x:c>
    </x:row>
    <x:row r="4" ht="30" customHeight="1">
      <x:c r="A4" s="13" t="str">
        <x:v>總序</x:v>
      </x:c>
      <x:c r="B4" s="13" t="str">
        <x:v>課</x:v>
      </x:c>
      <x:c r="C4" s="13" t="str">
        <x:v>課內</x:v>
      </x:c>
      <x:c r="D4" s="13" t="str">
        <x:v>原文（完整母音）</x:v>
      </x:c>
      <x:c r="E4" s="13" t="str">
        <x:v>課本式音標／音譯</x:v>
      </x:c>
      <x:c r="F4" s="13" t="str">
        <x:v>無母音索引</x:v>
      </x:c>
      <x:c r="G4" s="13" t="str">
        <x:v>英文義</x:v>
      </x:c>
      <x:c r="H4" s="13" t="str">
        <x:v>中文義（待填）</x:v>
      </x:c>
      <x:c r="I4" s="13" t="str">
        <x:v>排序來源</x:v>
      </x:c>
      <x:c r="J4" s="13" t="str">
        <x:v>BBH 章</x:v>
      </x:c>
      <x:c r="K4" s="13" t="str">
        <x:v>WLC 詞頻</x:v>
      </x:c>
      <x:c r="L4" s="13" t="str">
        <x:v>Strong</x:v>
      </x:c>
      <x:c r="M4" s="13" t="str">
        <x:v>詞性</x:v>
      </x:c>
      <x:c r="N4" s="13" t="str">
        <x:v>專名／族名</x:v>
      </x:c>
      <x:c r="O4" s="13" t="str">
        <x:v>專名類型</x:v>
      </x:c>
      <x:c r="P4" s="13" t="str">
        <x:v>詞源核對</x:v>
      </x:c>
      <x:c r="Q4" s="13" t="str">
        <x:v>音標核對</x:v>
      </x:c>
      <x:c r="R4" s="13" t="str">
        <x:v>來源 URL</x:v>
      </x:c>
    </x:row>
    <x:row r="5" ht="28" customHeight="1">
      <x:c r="A5" s="21" t="n">
        <x:v>1</x:v>
      </x:c>
      <x:c r="B5" s="21" t="n">
        <x:f>ROUNDUP(A5/20,0)</x:f>
        <x:v>1</x:v>
      </x:c>
      <x:c r="C5" s="21" t="n">
        <x:f>MOD(A5-1,20)+1</x:f>
        <x:v>1</x:v>
      </x:c>
      <x:c r="D5" s="18" t="str">
        <x:v>אָדָם</x:v>
      </x:c>
      <x:c r="E5" s="19" t="str">
        <x:v>ʾāḏām</x:v>
      </x:c>
      <x:c r="F5" s="16" t="str">
        <x:v>אדם</x:v>
      </x:c>
      <x:c r="G5" s="20" t="str">
        <x:v>man, mankind, Adam</x:v>
      </x:c>
      <x:c r="H5" s="20" t="str"/>
      <x:c r="I5" s="21" t="str">
        <x:v>BBH2 課序</x:v>
      </x:c>
      <x:c r="J5" s="21" t="n">
        <x:v>3</x:v>
      </x:c>
      <x:c r="K5" s="22" t="n">
        <x:v>552</x:v>
      </x:c>
      <x:c r="L5" s="21" t="str">
        <x:v>H120</x:v>
      </x:c>
      <x:c r="M5" s="21" t="str">
        <x:v>noun</x:v>
      </x:c>
      <x:c r="N5" s="21" t="str">
        <x:v>是</x:v>
      </x:c>
      <x:c r="O5" s="21" t="str">
        <x:v>人名</x:v>
      </x:c>
      <x:c r="P5" s="21" t="str">
        <x:v>source_and_lexicon_matched</x:v>
      </x:c>
      <x:c r="Q5" s="21" t="str">
        <x:v>rule_generated_exception_review</x:v>
      </x:c>
      <x:c r="R5" s="20" t="str">
        <x:v>https://hebrewsyntax.org/bbh2new/</x:v>
      </x:c>
    </x:row>
    <x:row r="6" ht="28" customHeight="1">
      <x:c r="A6" s="21" t="n">
        <x:v>2</x:v>
      </x:c>
      <x:c r="B6" s="21" t="n">
        <x:f>ROUNDUP(A6/20,0)</x:f>
        <x:v>1</x:v>
      </x:c>
      <x:c r="C6" s="21" t="n">
        <x:f>MOD(A6-1,20)+1</x:f>
        <x:v>2</x:v>
      </x:c>
      <x:c r="D6" s="18" t="str">
        <x:v>אֶ֫רֶץ</x:v>
      </x:c>
      <x:c r="E6" s="19" t="str">
        <x:v>ʾereṣ</x:v>
      </x:c>
      <x:c r="F6" s="16" t="str">
        <x:v>ארץ</x:v>
      </x:c>
      <x:c r="G6" s="20" t="str">
        <x:v>land, earth, ground [F]</x:v>
      </x:c>
      <x:c r="H6" s="20" t="str"/>
      <x:c r="I6" s="21" t="str">
        <x:v>BBH2 課序</x:v>
      </x:c>
      <x:c r="J6" s="21" t="n">
        <x:v>3</x:v>
      </x:c>
      <x:c r="K6" s="22" t="n">
        <x:v>2505</x:v>
      </x:c>
      <x:c r="L6" s="21" t="str">
        <x:v>H776</x:v>
      </x:c>
      <x:c r="M6" s="21" t="str">
        <x:v>noun</x:v>
      </x:c>
      <x:c r="N6" s="21" t="str">
        <x:v>否</x:v>
      </x:c>
      <x:c r="O6" s="21" t="str"/>
      <x:c r="P6" s="21" t="str">
        <x:v>source_and_lexicon_matched</x:v>
      </x:c>
      <x:c r="Q6" s="21" t="str">
        <x:v>rule_generated_exception_review</x:v>
      </x:c>
      <x:c r="R6" s="20" t="str">
        <x:v>https://hebrewsyntax.org/bbh2new/</x:v>
      </x:c>
    </x:row>
    <x:row r="7" ht="28" customHeight="1">
      <x:c r="A7" s="21" t="n">
        <x:v>3</x:v>
      </x:c>
      <x:c r="B7" s="21" t="n">
        <x:f>ROUNDUP(A7/20,0)</x:f>
        <x:v>1</x:v>
      </x:c>
      <x:c r="C7" s="21" t="n">
        <x:f>MOD(A7-1,20)+1</x:f>
        <x:v>3</x:v>
      </x:c>
      <x:c r="D7" s="18" t="str">
        <x:v>אֱלֹהִים</x:v>
      </x:c>
      <x:c r="E7" s="19" t="str">
        <x:v>ʾĕlōhîm</x:v>
      </x:c>
      <x:c r="F7" s="16" t="str">
        <x:v>אלהים</x:v>
      </x:c>
      <x:c r="G7" s="20" t="str">
        <x:v>God, gods</x:v>
      </x:c>
      <x:c r="H7" s="20" t="str"/>
      <x:c r="I7" s="21" t="str">
        <x:v>BBH2 課序</x:v>
      </x:c>
      <x:c r="J7" s="21" t="n">
        <x:v>3</x:v>
      </x:c>
      <x:c r="K7" s="22" t="n">
        <x:v>2600</x:v>
      </x:c>
      <x:c r="L7" s="21" t="str">
        <x:v>H430</x:v>
      </x:c>
      <x:c r="M7" s="21" t="str">
        <x:v>noun</x:v>
      </x:c>
      <x:c r="N7" s="21" t="str">
        <x:v>是</x:v>
      </x:c>
      <x:c r="O7" s="21" t="str">
        <x:v>神名／稱號</x:v>
      </x:c>
      <x:c r="P7" s="21" t="str">
        <x:v>source_and_lexicon_matched</x:v>
      </x:c>
      <x:c r="Q7" s="21" t="str">
        <x:v>rule_generated_exception_review</x:v>
      </x:c>
      <x:c r="R7" s="20" t="str">
        <x:v>https://hebrewsyntax.org/bbh2new/</x:v>
      </x:c>
    </x:row>
    <x:row r="8" ht="28" customHeight="1">
      <x:c r="A8" s="21" t="n">
        <x:v>4</x:v>
      </x:c>
      <x:c r="B8" s="21" t="n">
        <x:f>ROUNDUP(A8/20,0)</x:f>
        <x:v>1</x:v>
      </x:c>
      <x:c r="C8" s="21" t="n">
        <x:f>MOD(A8-1,20)+1</x:f>
        <x:v>4</x:v>
      </x:c>
      <x:c r="D8" s="18" t="str">
        <x:v>אָב</x:v>
      </x:c>
      <x:c r="E8" s="19" t="str">
        <x:v>ʾāḇ</x:v>
      </x:c>
      <x:c r="F8" s="16" t="str">
        <x:v>אב</x:v>
      </x:c>
      <x:c r="G8" s="20" t="str">
        <x:v>father, ancestor</x:v>
      </x:c>
      <x:c r="H8" s="20" t="str"/>
      <x:c r="I8" s="21" t="str">
        <x:v>BBH2 課序</x:v>
      </x:c>
      <x:c r="J8" s="21" t="n">
        <x:v>3</x:v>
      </x:c>
      <x:c r="K8" s="22" t="n">
        <x:v>1213</x:v>
      </x:c>
      <x:c r="L8" s="21" t="str">
        <x:v>H1</x:v>
      </x:c>
      <x:c r="M8" s="21" t="str">
        <x:v>noun</x:v>
      </x:c>
      <x:c r="N8" s="21" t="str">
        <x:v>否</x:v>
      </x:c>
      <x:c r="O8" s="21" t="str"/>
      <x:c r="P8" s="21" t="str">
        <x:v>source_and_lexicon_matched</x:v>
      </x:c>
      <x:c r="Q8" s="21" t="str">
        <x:v>rule_generated_exception_review</x:v>
      </x:c>
      <x:c r="R8" s="20" t="str">
        <x:v>https://hebrewsyntax.org/bbh2new/</x:v>
      </x:c>
    </x:row>
    <x:row r="9" ht="28" customHeight="1">
      <x:c r="A9" s="21" t="n">
        <x:v>5</x:v>
      </x:c>
      <x:c r="B9" s="21" t="n">
        <x:f>ROUNDUP(A9/20,0)</x:f>
        <x:v>1</x:v>
      </x:c>
      <x:c r="C9" s="21" t="n">
        <x:f>MOD(A9-1,20)+1</x:f>
        <x:v>5</x:v>
      </x:c>
      <x:c r="D9" s="18" t="str">
        <x:v>אֵל</x:v>
      </x:c>
      <x:c r="E9" s="19" t="str">
        <x:v>ʾēl</x:v>
      </x:c>
      <x:c r="F9" s="16" t="str">
        <x:v>אל</x:v>
      </x:c>
      <x:c r="G9" s="20" t="str">
        <x:v>God, god</x:v>
      </x:c>
      <x:c r="H9" s="20" t="str"/>
      <x:c r="I9" s="21" t="str">
        <x:v>BBH2 課序</x:v>
      </x:c>
      <x:c r="J9" s="21" t="n">
        <x:v>3</x:v>
      </x:c>
      <x:c r="K9" s="22" t="n">
        <x:v>245</x:v>
      </x:c>
      <x:c r="L9" s="21" t="str">
        <x:v>H410</x:v>
      </x:c>
      <x:c r="M9" s="21" t="str">
        <x:v>noun</x:v>
      </x:c>
      <x:c r="N9" s="21" t="str">
        <x:v>是</x:v>
      </x:c>
      <x:c r="O9" s="21" t="str">
        <x:v>神名／稱號</x:v>
      </x:c>
      <x:c r="P9" s="21" t="str">
        <x:v>source_and_lexicon_matched</x:v>
      </x:c>
      <x:c r="Q9" s="21" t="str">
        <x:v>rule_generated_exception_review</x:v>
      </x:c>
      <x:c r="R9" s="20" t="str">
        <x:v>https://hebrewsyntax.org/bbh2new/</x:v>
      </x:c>
    </x:row>
    <x:row r="10" ht="28" customHeight="1">
      <x:c r="A10" s="21" t="n">
        <x:v>6</x:v>
      </x:c>
      <x:c r="B10" s="21" t="n">
        <x:f>ROUNDUP(A10/20,0)</x:f>
        <x:v>1</x:v>
      </x:c>
      <x:c r="C10" s="21" t="n">
        <x:f>MOD(A10-1,20)+1</x:f>
        <x:v>6</x:v>
      </x:c>
      <x:c r="D10" s="18" t="str">
        <x:v>בֵּן</x:v>
      </x:c>
      <x:c r="E10" s="19" t="str">
        <x:v>bēn</x:v>
      </x:c>
      <x:c r="F10" s="16" t="str">
        <x:v>בן</x:v>
      </x:c>
      <x:c r="G10" s="20" t="str">
        <x:v>son</x:v>
      </x:c>
      <x:c r="H10" s="20" t="str"/>
      <x:c r="I10" s="21" t="str">
        <x:v>BBH2 課序</x:v>
      </x:c>
      <x:c r="J10" s="21" t="n">
        <x:v>3</x:v>
      </x:c>
      <x:c r="K10" s="22" t="n">
        <x:v>4942</x:v>
      </x:c>
      <x:c r="L10" s="21" t="str">
        <x:v>H1121</x:v>
      </x:c>
      <x:c r="M10" s="21" t="str">
        <x:v>noun</x:v>
      </x:c>
      <x:c r="N10" s="21" t="str">
        <x:v>否</x:v>
      </x:c>
      <x:c r="O10" s="21" t="str"/>
      <x:c r="P10" s="21" t="str">
        <x:v>source_and_lexicon_matched</x:v>
      </x:c>
      <x:c r="Q10" s="21" t="str">
        <x:v>rule_generated_exception_review</x:v>
      </x:c>
      <x:c r="R10" s="20" t="str">
        <x:v>https://hebrewsyntax.org/bbh2new/</x:v>
      </x:c>
    </x:row>
    <x:row r="11" ht="28" customHeight="1">
      <x:c r="A11" s="21" t="n">
        <x:v>7</x:v>
      </x:c>
      <x:c r="B11" s="21" t="n">
        <x:f>ROUNDUP(A11/20,0)</x:f>
        <x:v>1</x:v>
      </x:c>
      <x:c r="C11" s="21" t="n">
        <x:f>MOD(A11-1,20)+1</x:f>
        <x:v>7</x:v>
      </x:c>
      <x:c r="D11" s="18" t="str">
        <x:v>בַּ֫יִת</x:v>
      </x:c>
      <x:c r="E11" s="19" t="str">
        <x:v>bayiṯ</x:v>
      </x:c>
      <x:c r="F11" s="16" t="str">
        <x:v>בית</x:v>
      </x:c>
      <x:c r="G11" s="20" t="str">
        <x:v>house, household</x:v>
      </x:c>
      <x:c r="H11" s="20" t="str"/>
      <x:c r="I11" s="21" t="str">
        <x:v>BBH2 課序</x:v>
      </x:c>
      <x:c r="J11" s="21" t="n">
        <x:v>3</x:v>
      </x:c>
      <x:c r="K11" s="22" t="n">
        <x:v>2056</x:v>
      </x:c>
      <x:c r="L11" s="21" t="str">
        <x:v>H1004</x:v>
      </x:c>
      <x:c r="M11" s="21" t="str">
        <x:v>noun</x:v>
      </x:c>
      <x:c r="N11" s="21" t="str">
        <x:v>否</x:v>
      </x:c>
      <x:c r="O11" s="21" t="str"/>
      <x:c r="P11" s="21" t="str">
        <x:v>source_and_lexicon_matched</x:v>
      </x:c>
      <x:c r="Q11" s="21" t="str">
        <x:v>rule_generated_exception_review</x:v>
      </x:c>
      <x:c r="R11" s="20" t="str">
        <x:v>https://hebrewsyntax.org/bbh2new/</x:v>
      </x:c>
    </x:row>
    <x:row r="12" ht="28" customHeight="1">
      <x:c r="A12" s="21" t="n">
        <x:v>8</x:v>
      </x:c>
      <x:c r="B12" s="21" t="n">
        <x:f>ROUNDUP(A12/20,0)</x:f>
        <x:v>1</x:v>
      </x:c>
      <x:c r="C12" s="21" t="n">
        <x:f>MOD(A12-1,20)+1</x:f>
        <x:v>8</x:v>
      </x:c>
      <x:c r="D12" s="18" t="str">
        <x:v>דָּבָר</x:v>
      </x:c>
      <x:c r="E12" s="19" t="str">
        <x:v>dāḇār</x:v>
      </x:c>
      <x:c r="F12" s="16" t="str">
        <x:v>דבר</x:v>
      </x:c>
      <x:c r="G12" s="20" t="str">
        <x:v>word, matter, thing</x:v>
      </x:c>
      <x:c r="H12" s="20" t="str"/>
      <x:c r="I12" s="21" t="str">
        <x:v>BBH2 課序</x:v>
      </x:c>
      <x:c r="J12" s="21" t="n">
        <x:v>3</x:v>
      </x:c>
      <x:c r="K12" s="22" t="n">
        <x:v>1455</x:v>
      </x:c>
      <x:c r="L12" s="21" t="str">
        <x:v>H1697</x:v>
      </x:c>
      <x:c r="M12" s="21" t="str">
        <x:v>noun</x:v>
      </x:c>
      <x:c r="N12" s="21" t="str">
        <x:v>否</x:v>
      </x:c>
      <x:c r="O12" s="21" t="str"/>
      <x:c r="P12" s="21" t="str">
        <x:v>source_and_lexicon_matched</x:v>
      </x:c>
      <x:c r="Q12" s="21" t="str">
        <x:v>rule_generated_exception_review</x:v>
      </x:c>
      <x:c r="R12" s="20" t="str">
        <x:v>https://hebrewsyntax.org/bbh2new/</x:v>
      </x:c>
    </x:row>
    <x:row r="13" ht="28" customHeight="1">
      <x:c r="A13" s="21" t="n">
        <x:v>9</x:v>
      </x:c>
      <x:c r="B13" s="21" t="n">
        <x:f>ROUNDUP(A13/20,0)</x:f>
        <x:v>1</x:v>
      </x:c>
      <x:c r="C13" s="21" t="n">
        <x:f>MOD(A13-1,20)+1</x:f>
        <x:v>9</x:v>
      </x:c>
      <x:c r="D13" s="18" t="str">
        <x:v>יוֹם</x:v>
      </x:c>
      <x:c r="E13" s="19" t="str">
        <x:v>yôm</x:v>
      </x:c>
      <x:c r="F13" s="16" t="str">
        <x:v>יום</x:v>
      </x:c>
      <x:c r="G13" s="20" t="str">
        <x:v>day</x:v>
      </x:c>
      <x:c r="H13" s="20" t="str"/>
      <x:c r="I13" s="21" t="str">
        <x:v>BBH2 課序</x:v>
      </x:c>
      <x:c r="J13" s="21" t="n">
        <x:v>3</x:v>
      </x:c>
      <x:c r="K13" s="22" t="n">
        <x:v>2304</x:v>
      </x:c>
      <x:c r="L13" s="21" t="str">
        <x:v>H3117</x:v>
      </x:c>
      <x:c r="M13" s="21" t="str">
        <x:v>noun</x:v>
      </x:c>
      <x:c r="N13" s="21" t="str">
        <x:v>否</x:v>
      </x:c>
      <x:c r="O13" s="21" t="str"/>
      <x:c r="P13" s="21" t="str">
        <x:v>source_and_lexicon_matched</x:v>
      </x:c>
      <x:c r="Q13" s="21" t="str">
        <x:v>rule_generated_exception_review</x:v>
      </x:c>
      <x:c r="R13" s="20" t="str">
        <x:v>https://hebrewsyntax.org/bbh2new/</x:v>
      </x:c>
    </x:row>
    <x:row r="14" ht="28" customHeight="1">
      <x:c r="A14" s="21" t="n">
        <x:v>10</x:v>
      </x:c>
      <x:c r="B14" s="21" t="n">
        <x:f>ROUNDUP(A14/20,0)</x:f>
        <x:v>1</x:v>
      </x:c>
      <x:c r="C14" s="21" t="n">
        <x:f>MOD(A14-1,20)+1</x:f>
        <x:v>10</x:v>
      </x:c>
      <x:c r="D14" s="18" t="str">
        <x:v>יִשְׂרָאֵל</x:v>
      </x:c>
      <x:c r="E14" s="19" t="str">
        <x:v>yiśrāʾēl</x:v>
      </x:c>
      <x:c r="F14" s="16" t="str">
        <x:v>ישראל</x:v>
      </x:c>
      <x:c r="G14" s="20" t="str">
        <x:v>Israel</x:v>
      </x:c>
      <x:c r="H14" s="20" t="str"/>
      <x:c r="I14" s="21" t="str">
        <x:v>BBH2 課序</x:v>
      </x:c>
      <x:c r="J14" s="21" t="n">
        <x:v>3</x:v>
      </x:c>
      <x:c r="K14" s="22" t="n">
        <x:v>2507</x:v>
      </x:c>
      <x:c r="L14" s="21" t="str">
        <x:v>H3478</x:v>
      </x:c>
      <x:c r="M14" s="21" t="str">
        <x:v>proper_name</x:v>
      </x:c>
      <x:c r="N14" s="21" t="str">
        <x:v>是</x:v>
      </x:c>
      <x:c r="O14" s="21" t="str">
        <x:v>人名、民族／國族</x:v>
      </x:c>
      <x:c r="P14" s="21" t="str">
        <x:v>source_and_lexicon_matched</x:v>
      </x:c>
      <x:c r="Q14" s="21" t="str">
        <x:v>rule_generated_exception_review</x:v>
      </x:c>
      <x:c r="R14" s="20" t="str">
        <x:v>https://hebrewsyntax.org/bbh2new/</x:v>
      </x:c>
    </x:row>
    <x:row r="15" ht="28" customHeight="1">
      <x:c r="A15" s="21" t="n">
        <x:v>11</x:v>
      </x:c>
      <x:c r="B15" s="21" t="n">
        <x:f>ROUNDUP(A15/20,0)</x:f>
        <x:v>1</x:v>
      </x:c>
      <x:c r="C15" s="21" t="n">
        <x:f>MOD(A15-1,20)+1</x:f>
        <x:v>11</x:v>
      </x:c>
      <x:c r="D15" s="18" t="str">
        <x:v>יְרוּשָׁלַ֫םִ</x:v>
      </x:c>
      <x:c r="E15" s="19" t="str">
        <x:v>yərûšālayim</x:v>
      </x:c>
      <x:c r="F15" s="16" t="str">
        <x:v>ירושלם</x:v>
      </x:c>
      <x:c r="G15" s="20" t="str">
        <x:v>Jerusalem</x:v>
      </x:c>
      <x:c r="H15" s="20" t="str"/>
      <x:c r="I15" s="21" t="str">
        <x:v>BBH2 課序</x:v>
      </x:c>
      <x:c r="J15" s="21" t="n">
        <x:v>3</x:v>
      </x:c>
      <x:c r="K15" s="22" t="n">
        <x:v>643</x:v>
      </x:c>
      <x:c r="L15" s="21" t="str">
        <x:v>H3389</x:v>
      </x:c>
      <x:c r="M15" s="21" t="str">
        <x:v>proper_name</x:v>
      </x:c>
      <x:c r="N15" s="21" t="str">
        <x:v>是</x:v>
      </x:c>
      <x:c r="O15" s="21" t="str">
        <x:v>地名</x:v>
      </x:c>
      <x:c r="P15" s="21" t="str">
        <x:v>source_and_lexicon_matched</x:v>
      </x:c>
      <x:c r="Q15" s="21" t="str">
        <x:v>rule_generated_exception_review</x:v>
      </x:c>
      <x:c r="R15" s="20" t="str">
        <x:v>https://hebrewsyntax.org/bbh2new/</x:v>
      </x:c>
    </x:row>
    <x:row r="16" ht="28" customHeight="1">
      <x:c r="A16" s="21" t="n">
        <x:v>12</x:v>
      </x:c>
      <x:c r="B16" s="21" t="n">
        <x:f>ROUNDUP(A16/20,0)</x:f>
        <x:v>1</x:v>
      </x:c>
      <x:c r="C16" s="21" t="n">
        <x:f>MOD(A16-1,20)+1</x:f>
        <x:v>12</x:v>
      </x:c>
      <x:c r="D16" s="18" t="str">
        <x:v>יְרוּשָׁלַ֫יִם</x:v>
      </x:c>
      <x:c r="E16" s="19" t="str">
        <x:v>yərûšālayim</x:v>
      </x:c>
      <x:c r="F16" s="16" t="str">
        <x:v>ירושלים</x:v>
      </x:c>
      <x:c r="G16" s="20" t="str">
        <x:v>Jerusalem</x:v>
      </x:c>
      <x:c r="H16" s="20" t="str"/>
      <x:c r="I16" s="21" t="str">
        <x:v>BBH2 課序</x:v>
      </x:c>
      <x:c r="J16" s="21" t="n">
        <x:v>3</x:v>
      </x:c>
      <x:c r="K16" s="22" t="n">
        <x:v>643</x:v>
      </x:c>
      <x:c r="L16" s="21" t="str">
        <x:v>H3389</x:v>
      </x:c>
      <x:c r="M16" s="21" t="str">
        <x:v>proper_name</x:v>
      </x:c>
      <x:c r="N16" s="21" t="str">
        <x:v>是</x:v>
      </x:c>
      <x:c r="O16" s="21" t="str">
        <x:v>地名</x:v>
      </x:c>
      <x:c r="P16" s="21" t="str">
        <x:v>source_and_lexicon_matched</x:v>
      </x:c>
      <x:c r="Q16" s="21" t="str">
        <x:v>rule_generated_exception_review</x:v>
      </x:c>
      <x:c r="R16" s="20" t="str">
        <x:v>https://hebrewsyntax.org/bbh2new/</x:v>
      </x:c>
    </x:row>
    <x:row r="17" ht="28" customHeight="1">
      <x:c r="A17" s="21" t="n">
        <x:v>13</x:v>
      </x:c>
      <x:c r="B17" s="21" t="n">
        <x:f>ROUNDUP(A17/20,0)</x:f>
        <x:v>1</x:v>
      </x:c>
      <x:c r="C17" s="21" t="n">
        <x:f>MOD(A17-1,20)+1</x:f>
        <x:v>13</x:v>
      </x:c>
      <x:c r="D17" s="18" t="str">
        <x:v>יְהוָה</x:v>
      </x:c>
      <x:c r="E17" s="19" t="str">
        <x:v>yhwh</x:v>
      </x:c>
      <x:c r="F17" s="16" t="str">
        <x:v>יהוה</x:v>
      </x:c>
      <x:c r="G17" s="20" t="str">
        <x:v>Yahweh, Lord</x:v>
      </x:c>
      <x:c r="H17" s="20" t="str"/>
      <x:c r="I17" s="21" t="str">
        <x:v>BBH2 課序</x:v>
      </x:c>
      <x:c r="J17" s="21" t="n">
        <x:v>3</x:v>
      </x:c>
      <x:c r="K17" s="22" t="n">
        <x:v>6521</x:v>
      </x:c>
      <x:c r="L17" s="21" t="str">
        <x:v>H3068</x:v>
      </x:c>
      <x:c r="M17" s="21" t="str">
        <x:v>proper_name</x:v>
      </x:c>
      <x:c r="N17" s="21" t="str">
        <x:v>是</x:v>
      </x:c>
      <x:c r="O17" s="21" t="str">
        <x:v>神名／稱號</x:v>
      </x:c>
      <x:c r="P17" s="21" t="str">
        <x:v>source_and_lexicon_matched</x:v>
      </x:c>
      <x:c r="Q17" s="21" t="str">
        <x:v>rule_generated_exception_review</x:v>
      </x:c>
      <x:c r="R17" s="20" t="str">
        <x:v>https://hebrewsyntax.org/bbh2new/</x:v>
      </x:c>
    </x:row>
    <x:row r="18" ht="28" customHeight="1">
      <x:c r="A18" s="21" t="n">
        <x:v>14</x:v>
      </x:c>
      <x:c r="B18" s="21" t="n">
        <x:f>ROUNDUP(A18/20,0)</x:f>
        <x:v>1</x:v>
      </x:c>
      <x:c r="C18" s="21" t="n">
        <x:f>MOD(A18-1,20)+1</x:f>
        <x:v>14</x:v>
      </x:c>
      <x:c r="D18" s="18" t="str">
        <x:v>מִצְרַ֫יִם</x:v>
      </x:c>
      <x:c r="E18" s="19" t="str">
        <x:v>miṣrayim</x:v>
      </x:c>
      <x:c r="F18" s="16" t="str">
        <x:v>מצרים</x:v>
      </x:c>
      <x:c r="G18" s="20" t="str">
        <x:v>Egypt</x:v>
      </x:c>
      <x:c r="H18" s="20" t="str"/>
      <x:c r="I18" s="21" t="str">
        <x:v>BBH2 課序</x:v>
      </x:c>
      <x:c r="J18" s="21" t="n">
        <x:v>3</x:v>
      </x:c>
      <x:c r="K18" s="22" t="n">
        <x:v>635</x:v>
      </x:c>
      <x:c r="L18" s="21" t="str">
        <x:v>H4714</x:v>
      </x:c>
      <x:c r="M18" s="21" t="str">
        <x:v>proper_name</x:v>
      </x:c>
      <x:c r="N18" s="21" t="str">
        <x:v>是</x:v>
      </x:c>
      <x:c r="O18" s="21" t="str">
        <x:v>地名</x:v>
      </x:c>
      <x:c r="P18" s="21" t="str">
        <x:v>source_and_lexicon_matched</x:v>
      </x:c>
      <x:c r="Q18" s="21" t="str">
        <x:v>rule_generated_exception_review</x:v>
      </x:c>
      <x:c r="R18" s="20" t="str">
        <x:v>https://hebrewsyntax.org/bbh2new/</x:v>
      </x:c>
    </x:row>
    <x:row r="19" ht="28" customHeight="1">
      <x:c r="A19" s="21" t="n">
        <x:v>15</x:v>
      </x:c>
      <x:c r="B19" s="21" t="n">
        <x:f>ROUNDUP(A19/20,0)</x:f>
        <x:v>1</x:v>
      </x:c>
      <x:c r="C19" s="21" t="n">
        <x:f>MOD(A19-1,20)+1</x:f>
        <x:v>15</x:v>
      </x:c>
      <x:c r="D19" s="18" t="str">
        <x:v>מֹשֶׁה</x:v>
      </x:c>
      <x:c r="E19" s="19" t="str">
        <x:v>mōšê</x:v>
      </x:c>
      <x:c r="F19" s="16" t="str">
        <x:v>משה</x:v>
      </x:c>
      <x:c r="G19" s="20" t="str">
        <x:v>Moses</x:v>
      </x:c>
      <x:c r="H19" s="20" t="str"/>
      <x:c r="I19" s="21" t="str">
        <x:v>BBH2 課序</x:v>
      </x:c>
      <x:c r="J19" s="21" t="n">
        <x:v>3</x:v>
      </x:c>
      <x:c r="K19" s="22" t="n">
        <x:v>766</x:v>
      </x:c>
      <x:c r="L19" s="21" t="str">
        <x:v>H4872</x:v>
      </x:c>
      <x:c r="M19" s="21" t="str">
        <x:v>proper_name</x:v>
      </x:c>
      <x:c r="N19" s="21" t="str">
        <x:v>是</x:v>
      </x:c>
      <x:c r="O19" s="21" t="str">
        <x:v>人名</x:v>
      </x:c>
      <x:c r="P19" s="21" t="str">
        <x:v>source_and_lexicon_matched</x:v>
      </x:c>
      <x:c r="Q19" s="21" t="str">
        <x:v>rule_generated_exception_review</x:v>
      </x:c>
      <x:c r="R19" s="20" t="str">
        <x:v>https://hebrewsyntax.org/bbh2new/</x:v>
      </x:c>
    </x:row>
    <x:row r="20" ht="28" customHeight="1">
      <x:c r="A20" s="21" t="n">
        <x:v>16</x:v>
      </x:c>
      <x:c r="B20" s="21" t="n">
        <x:f>ROUNDUP(A20/20,0)</x:f>
        <x:v>1</x:v>
      </x:c>
      <x:c r="C20" s="21" t="n">
        <x:f>MOD(A20-1,20)+1</x:f>
        <x:v>16</x:v>
      </x:c>
      <x:c r="D20" s="18" t="str">
        <x:v>מֶ֫לֶךְ</x:v>
      </x:c>
      <x:c r="E20" s="19" t="str">
        <x:v>meleḵ</x:v>
      </x:c>
      <x:c r="F20" s="16" t="str">
        <x:v>מלך</x:v>
      </x:c>
      <x:c r="G20" s="20" t="str">
        <x:v>king, ruler</x:v>
      </x:c>
      <x:c r="H20" s="20" t="str"/>
      <x:c r="I20" s="21" t="str">
        <x:v>BBH2 課序</x:v>
      </x:c>
      <x:c r="J20" s="21" t="n">
        <x:v>3</x:v>
      </x:c>
      <x:c r="K20" s="22" t="n">
        <x:v>2526</x:v>
      </x:c>
      <x:c r="L20" s="21" t="str">
        <x:v>H4428</x:v>
      </x:c>
      <x:c r="M20" s="21" t="str">
        <x:v>noun</x:v>
      </x:c>
      <x:c r="N20" s="21" t="str">
        <x:v>否</x:v>
      </x:c>
      <x:c r="O20" s="21" t="str"/>
      <x:c r="P20" s="21" t="str">
        <x:v>source_and_lexicon_matched</x:v>
      </x:c>
      <x:c r="Q20" s="21" t="str">
        <x:v>rule_generated_exception_review</x:v>
      </x:c>
      <x:c r="R20" s="20" t="str">
        <x:v>https://hebrewsyntax.org/bbh2new/</x:v>
      </x:c>
    </x:row>
    <x:row r="21" ht="28" customHeight="1">
      <x:c r="A21" s="21" t="n">
        <x:v>17</x:v>
      </x:c>
      <x:c r="B21" s="21" t="n">
        <x:f>ROUNDUP(A21/20,0)</x:f>
        <x:v>1</x:v>
      </x:c>
      <x:c r="C21" s="21" t="n">
        <x:f>MOD(A21-1,20)+1</x:f>
        <x:v>17</x:v>
      </x:c>
      <x:c r="D21" s="18" t="str">
        <x:v>סוּס</x:v>
      </x:c>
      <x:c r="E21" s="19" t="str">
        <x:v>sûs</x:v>
      </x:c>
      <x:c r="F21" s="16" t="str">
        <x:v>סוס</x:v>
      </x:c>
      <x:c r="G21" s="20" t="str">
        <x:v>horse</x:v>
      </x:c>
      <x:c r="H21" s="20" t="str"/>
      <x:c r="I21" s="21" t="str">
        <x:v>BBH2 課序</x:v>
      </x:c>
      <x:c r="J21" s="21" t="n">
        <x:v>3</x:v>
      </x:c>
      <x:c r="K21" s="22" t="n">
        <x:v>141</x:v>
      </x:c>
      <x:c r="L21" s="21" t="str">
        <x:v>H5483</x:v>
      </x:c>
      <x:c r="M21" s="21" t="str">
        <x:v>noun</x:v>
      </x:c>
      <x:c r="N21" s="21" t="str">
        <x:v>否</x:v>
      </x:c>
      <x:c r="O21" s="21" t="str"/>
      <x:c r="P21" s="21" t="str">
        <x:v>source_and_lexicon_matched</x:v>
      </x:c>
      <x:c r="Q21" s="21" t="str">
        <x:v>rule_generated_exception_review</x:v>
      </x:c>
      <x:c r="R21" s="20" t="str">
        <x:v>https://hebrewsyntax.org/bbh2new/</x:v>
      </x:c>
    </x:row>
    <x:row r="22" ht="28" customHeight="1">
      <x:c r="A22" s="21" t="n">
        <x:v>18</x:v>
      </x:c>
      <x:c r="B22" s="21" t="n">
        <x:f>ROUNDUP(A22/20,0)</x:f>
        <x:v>1</x:v>
      </x:c>
      <x:c r="C22" s="21" t="n">
        <x:f>MOD(A22-1,20)+1</x:f>
        <x:v>18</x:v>
      </x:c>
      <x:c r="D22" s="18" t="str">
        <x:v>עֶ֫בֶד</x:v>
      </x:c>
      <x:c r="E22" s="19" t="str">
        <x:v>ʿeḇeḏ</x:v>
      </x:c>
      <x:c r="F22" s="16" t="str">
        <x:v>עבד</x:v>
      </x:c>
      <x:c r="G22" s="20" t="str">
        <x:v>slave, servant</x:v>
      </x:c>
      <x:c r="H22" s="20" t="str"/>
      <x:c r="I22" s="21" t="str">
        <x:v>BBH2 課序</x:v>
      </x:c>
      <x:c r="J22" s="21" t="n">
        <x:v>3</x:v>
      </x:c>
      <x:c r="K22" s="22" t="n">
        <x:v>803</x:v>
      </x:c>
      <x:c r="L22" s="21" t="str">
        <x:v>H5650</x:v>
      </x:c>
      <x:c r="M22" s="21" t="str">
        <x:v>noun</x:v>
      </x:c>
      <x:c r="N22" s="21" t="str">
        <x:v>否</x:v>
      </x:c>
      <x:c r="O22" s="21" t="str"/>
      <x:c r="P22" s="21" t="str">
        <x:v>source_and_lexicon_matched</x:v>
      </x:c>
      <x:c r="Q22" s="21" t="str">
        <x:v>rule_generated_exception_review</x:v>
      </x:c>
      <x:c r="R22" s="20" t="str">
        <x:v>https://hebrewsyntax.org/bbh2new/</x:v>
      </x:c>
    </x:row>
    <x:row r="23" ht="28" customHeight="1">
      <x:c r="A23" s="21" t="n">
        <x:v>19</x:v>
      </x:c>
      <x:c r="B23" s="21" t="n">
        <x:f>ROUNDUP(A23/20,0)</x:f>
        <x:v>1</x:v>
      </x:c>
      <x:c r="C23" s="21" t="n">
        <x:f>MOD(A23-1,20)+1</x:f>
        <x:v>19</x:v>
      </x:c>
      <x:c r="D23" s="18" t="str">
        <x:v>פַּרְעֹה</x:v>
      </x:c>
      <x:c r="E23" s="19" t="str">
        <x:v>parʿô</x:v>
      </x:c>
      <x:c r="F23" s="16" t="str">
        <x:v>פרעה</x:v>
      </x:c>
      <x:c r="G23" s="20" t="str">
        <x:v>Pharaoh</x:v>
      </x:c>
      <x:c r="H23" s="20" t="str"/>
      <x:c r="I23" s="21" t="str">
        <x:v>BBH2 課序</x:v>
      </x:c>
      <x:c r="J23" s="21" t="n">
        <x:v>3</x:v>
      </x:c>
      <x:c r="K23" s="22" t="n">
        <x:v>268</x:v>
      </x:c>
      <x:c r="L23" s="21" t="str">
        <x:v>H6547</x:v>
      </x:c>
      <x:c r="M23" s="21" t="str">
        <x:v>proper_name</x:v>
      </x:c>
      <x:c r="N23" s="21" t="str">
        <x:v>是</x:v>
      </x:c>
      <x:c r="O23" s="21" t="str">
        <x:v>人名</x:v>
      </x:c>
      <x:c r="P23" s="21" t="str">
        <x:v>source_and_lexicon_matched</x:v>
      </x:c>
      <x:c r="Q23" s="21" t="str">
        <x:v>rule_generated_exception_review</x:v>
      </x:c>
      <x:c r="R23" s="20" t="str">
        <x:v>https://hebrewsyntax.org/bbh2new/</x:v>
      </x:c>
    </x:row>
    <x:row r="24" ht="28" customHeight="1">
      <x:c r="A24" s="21" t="n">
        <x:v>20</x:v>
      </x:c>
      <x:c r="B24" s="21" t="n">
        <x:f>ROUNDUP(A24/20,0)</x:f>
        <x:v>1</x:v>
      </x:c>
      <x:c r="C24" s="21" t="n">
        <x:f>MOD(A24-1,20)+1</x:f>
        <x:v>20</x:v>
      </x:c>
      <x:c r="D24" s="18" t="str">
        <x:v>שָׁנָה</x:v>
      </x:c>
      <x:c r="E24" s="19" t="str">
        <x:v>šānâ</x:v>
      </x:c>
      <x:c r="F24" s="16" t="str">
        <x:v>שנה</x:v>
      </x:c>
      <x:c r="G24" s="20" t="str">
        <x:v>year</x:v>
      </x:c>
      <x:c r="H24" s="20" t="str"/>
      <x:c r="I24" s="21" t="str">
        <x:v>BBH2 課序</x:v>
      </x:c>
      <x:c r="J24" s="21" t="n">
        <x:v>3</x:v>
      </x:c>
      <x:c r="K24" s="22" t="n">
        <x:v>880</x:v>
      </x:c>
      <x:c r="L24" s="21" t="str">
        <x:v>H8141</x:v>
      </x:c>
      <x:c r="M24" s="21" t="str">
        <x:v>noun</x:v>
      </x:c>
      <x:c r="N24" s="21" t="str">
        <x:v>否</x:v>
      </x:c>
      <x:c r="O24" s="21" t="str"/>
      <x:c r="P24" s="21" t="str">
        <x:v>source_and_lexicon_matched</x:v>
      </x:c>
      <x:c r="Q24" s="21" t="str">
        <x:v>rule_generated_exception_review</x:v>
      </x:c>
      <x:c r="R24" s="20" t="str">
        <x:v>https://hebrewsyntax.org/bbh2new/</x:v>
      </x:c>
    </x:row>
    <x:row r="25" ht="28" customHeight="1">
      <x:c r="A25" s="21" t="n">
        <x:v>21</x:v>
      </x:c>
      <x:c r="B25" s="21" t="n">
        <x:f>ROUNDUP(A25/20,0)</x:f>
        <x:v>2</x:v>
      </x:c>
      <x:c r="C25" s="21" t="n">
        <x:f>MOD(A25-1,20)+1</x:f>
        <x:v>1</x:v>
      </x:c>
      <x:c r="D25" s="18" t="str">
        <x:v>שֵׁם</x:v>
      </x:c>
      <x:c r="E25" s="19" t="str">
        <x:v>šēm</x:v>
      </x:c>
      <x:c r="F25" s="16" t="str">
        <x:v>שם</x:v>
      </x:c>
      <x:c r="G25" s="20" t="str">
        <x:v>name, reputation</x:v>
      </x:c>
      <x:c r="H25" s="20" t="str"/>
      <x:c r="I25" s="21" t="str">
        <x:v>BBH2 課序</x:v>
      </x:c>
      <x:c r="J25" s="21" t="n">
        <x:v>3</x:v>
      </x:c>
      <x:c r="K25" s="22" t="n">
        <x:v>864</x:v>
      </x:c>
      <x:c r="L25" s="21" t="str">
        <x:v>H8034</x:v>
      </x:c>
      <x:c r="M25" s="21" t="str">
        <x:v>noun</x:v>
      </x:c>
      <x:c r="N25" s="21" t="str">
        <x:v>否</x:v>
      </x:c>
      <x:c r="O25" s="21" t="str"/>
      <x:c r="P25" s="21" t="str">
        <x:v>source_and_lexicon_matched</x:v>
      </x:c>
      <x:c r="Q25" s="21" t="str">
        <x:v>rule_generated_exception_review</x:v>
      </x:c>
      <x:c r="R25" s="20" t="str">
        <x:v>https://hebrewsyntax.org/bbh2new/</x:v>
      </x:c>
    </x:row>
    <x:row r="26" ht="28" customHeight="1">
      <x:c r="A26" s="21" t="n">
        <x:v>22</x:v>
      </x:c>
      <x:c r="B26" s="21" t="n">
        <x:f>ROUNDUP(A26/20,0)</x:f>
        <x:v>2</x:v>
      </x:c>
      <x:c r="C26" s="21" t="n">
        <x:f>MOD(A26-1,20)+1</x:f>
        <x:v>2</x:v>
      </x:c>
      <x:c r="D26" s="18" t="str">
        <x:v>אֲדֹנָי</x:v>
      </x:c>
      <x:c r="E26" s="19" t="str">
        <x:v>ʾăḏōnāy</x:v>
      </x:c>
      <x:c r="F26" s="16" t="str">
        <x:v>אדני</x:v>
      </x:c>
      <x:c r="G26" s="20" t="str">
        <x:v>Lord</x:v>
      </x:c>
      <x:c r="H26" s="20" t="str"/>
      <x:c r="I26" s="21" t="str">
        <x:v>BBH2 課序</x:v>
      </x:c>
      <x:c r="J26" s="21" t="n">
        <x:v>4</x:v>
      </x:c>
      <x:c r="K26" s="22" t="n">
        <x:v>445</x:v>
      </x:c>
      <x:c r="L26" s="21" t="str">
        <x:v>H136</x:v>
      </x:c>
      <x:c r="M26" s="21" t="str">
        <x:v>noun</x:v>
      </x:c>
      <x:c r="N26" s="21" t="str">
        <x:v>是</x:v>
      </x:c>
      <x:c r="O26" s="21" t="str">
        <x:v>神名／稱號</x:v>
      </x:c>
      <x:c r="P26" s="21" t="str">
        <x:v>source_and_lexicon_matched</x:v>
      </x:c>
      <x:c r="Q26" s="21" t="str">
        <x:v>rule_generated_exception_review</x:v>
      </x:c>
      <x:c r="R26" s="20" t="str">
        <x:v>https://hebrewsyntax.org/bbh2new/</x:v>
      </x:c>
    </x:row>
    <x:row r="27" ht="28" customHeight="1">
      <x:c r="A27" s="21" t="n">
        <x:v>23</x:v>
      </x:c>
      <x:c r="B27" s="21" t="n">
        <x:f>ROUNDUP(A27/20,0)</x:f>
        <x:v>2</x:v>
      </x:c>
      <x:c r="C27" s="21" t="n">
        <x:f>MOD(A27-1,20)+1</x:f>
        <x:v>3</x:v>
      </x:c>
      <x:c r="D27" s="18" t="str">
        <x:v>אָדוֹן</x:v>
      </x:c>
      <x:c r="E27" s="19" t="str">
        <x:v>ʾāḏôn</x:v>
      </x:c>
      <x:c r="F27" s="16" t="str">
        <x:v>אדון</x:v>
      </x:c>
      <x:c r="G27" s="20" t="str">
        <x:v>lord, master</x:v>
      </x:c>
      <x:c r="H27" s="20" t="str"/>
      <x:c r="I27" s="21" t="str">
        <x:v>BBH2 課序</x:v>
      </x:c>
      <x:c r="J27" s="21" t="n">
        <x:v>4</x:v>
      </x:c>
      <x:c r="K27" s="22" t="n">
        <x:v>329</x:v>
      </x:c>
      <x:c r="L27" s="21" t="str">
        <x:v>H113</x:v>
      </x:c>
      <x:c r="M27" s="21" t="str">
        <x:v>noun</x:v>
      </x:c>
      <x:c r="N27" s="21" t="str">
        <x:v>否</x:v>
      </x:c>
      <x:c r="O27" s="21" t="str"/>
      <x:c r="P27" s="21" t="str">
        <x:v>source_and_lexicon_matched</x:v>
      </x:c>
      <x:c r="Q27" s="21" t="str">
        <x:v>rule_generated_exception_review</x:v>
      </x:c>
      <x:c r="R27" s="20" t="str">
        <x:v>https://hebrewsyntax.org/bbh2new/</x:v>
      </x:c>
    </x:row>
    <x:row r="28" ht="28" customHeight="1">
      <x:c r="A28" s="21" t="n">
        <x:v>24</x:v>
      </x:c>
      <x:c r="B28" s="21" t="n">
        <x:f>ROUNDUP(A28/20,0)</x:f>
        <x:v>2</x:v>
      </x:c>
      <x:c r="C28" s="21" t="n">
        <x:f>MOD(A28-1,20)+1</x:f>
        <x:v>4</x:v>
      </x:c>
      <x:c r="D28" s="18" t="str">
        <x:v>אָח</x:v>
      </x:c>
      <x:c r="E28" s="19" t="str">
        <x:v>ʾāḥ</x:v>
      </x:c>
      <x:c r="F28" s="16" t="str">
        <x:v>אח</x:v>
      </x:c>
      <x:c r="G28" s="20" t="str">
        <x:v>brother</x:v>
      </x:c>
      <x:c r="H28" s="20" t="str"/>
      <x:c r="I28" s="21" t="str">
        <x:v>BBH2 課序</x:v>
      </x:c>
      <x:c r="J28" s="21" t="n">
        <x:v>4</x:v>
      </x:c>
      <x:c r="K28" s="22" t="n">
        <x:v>630</x:v>
      </x:c>
      <x:c r="L28" s="21" t="str">
        <x:v>H251</x:v>
      </x:c>
      <x:c r="M28" s="21" t="str">
        <x:v>noun</x:v>
      </x:c>
      <x:c r="N28" s="21" t="str">
        <x:v>否</x:v>
      </x:c>
      <x:c r="O28" s="21" t="str"/>
      <x:c r="P28" s="21" t="str">
        <x:v>source_and_lexicon_matched</x:v>
      </x:c>
      <x:c r="Q28" s="21" t="str">
        <x:v>rule_generated_exception_review</x:v>
      </x:c>
      <x:c r="R28" s="20" t="str">
        <x:v>https://hebrewsyntax.org/bbh2new/</x:v>
      </x:c>
    </x:row>
    <x:row r="29" ht="28" customHeight="1">
      <x:c r="A29" s="21" t="n">
        <x:v>25</x:v>
      </x:c>
      <x:c r="B29" s="21" t="n">
        <x:f>ROUNDUP(A29/20,0)</x:f>
        <x:v>2</x:v>
      </x:c>
      <x:c r="C29" s="21" t="n">
        <x:f>MOD(A29-1,20)+1</x:f>
        <x:v>5</x:v>
      </x:c>
      <x:c r="D29" s="18" t="str">
        <x:v>אַחִים</x:v>
      </x:c>
      <x:c r="E29" s="19" t="str">
        <x:v>ʾaḥîm</x:v>
      </x:c>
      <x:c r="F29" s="16" t="str">
        <x:v>אחים</x:v>
      </x:c>
      <x:c r="G29" s="20" t="str">
        <x:v>brothers [plural of אָח]</x:v>
      </x:c>
      <x:c r="H29" s="20" t="str"/>
      <x:c r="I29" s="21" t="str">
        <x:v>BBH2 課序</x:v>
      </x:c>
      <x:c r="J29" s="21" t="n">
        <x:v>4</x:v>
      </x:c>
      <x:c r="K29" s="22" t="n">
        <x:v>630</x:v>
      </x:c>
      <x:c r="L29" s="21" t="str">
        <x:v>H251</x:v>
      </x:c>
      <x:c r="M29" s="21" t="str">
        <x:v>noun</x:v>
      </x:c>
      <x:c r="N29" s="21" t="str">
        <x:v>否</x:v>
      </x:c>
      <x:c r="O29" s="21" t="str"/>
      <x:c r="P29" s="21" t="str">
        <x:v>source_and_lexicon_matched</x:v>
      </x:c>
      <x:c r="Q29" s="21" t="str">
        <x:v>rule_generated_exception_review</x:v>
      </x:c>
      <x:c r="R29" s="20" t="str">
        <x:v>https://hebrewsyntax.org/bbh2new/</x:v>
      </x:c>
    </x:row>
    <x:row r="30" ht="28" customHeight="1">
      <x:c r="A30" s="21" t="n">
        <x:v>26</x:v>
      </x:c>
      <x:c r="B30" s="21" t="n">
        <x:f>ROUNDUP(A30/20,0)</x:f>
        <x:v>2</x:v>
      </x:c>
      <x:c r="C30" s="21" t="n">
        <x:f>MOD(A30-1,20)+1</x:f>
        <x:v>6</x:v>
      </x:c>
      <x:c r="D30" s="18" t="str">
        <x:v>אִישׁ</x:v>
      </x:c>
      <x:c r="E30" s="19" t="str">
        <x:v>ʾîš</x:v>
      </x:c>
      <x:c r="F30" s="16" t="str">
        <x:v>איש</x:v>
      </x:c>
      <x:c r="G30" s="20" t="str">
        <x:v>man, husband</x:v>
      </x:c>
      <x:c r="H30" s="20" t="str"/>
      <x:c r="I30" s="21" t="str">
        <x:v>BBH2 課序</x:v>
      </x:c>
      <x:c r="J30" s="21" t="n">
        <x:v>4</x:v>
      </x:c>
      <x:c r="K30" s="22" t="n">
        <x:v>2187</x:v>
      </x:c>
      <x:c r="L30" s="21" t="str">
        <x:v>H376</x:v>
      </x:c>
      <x:c r="M30" s="21" t="str">
        <x:v>noun</x:v>
      </x:c>
      <x:c r="N30" s="21" t="str">
        <x:v>否</x:v>
      </x:c>
      <x:c r="O30" s="21" t="str"/>
      <x:c r="P30" s="21" t="str">
        <x:v>source_and_lexicon_matched</x:v>
      </x:c>
      <x:c r="Q30" s="21" t="str">
        <x:v>rule_generated_exception_review</x:v>
      </x:c>
      <x:c r="R30" s="20" t="str">
        <x:v>https://hebrewsyntax.org/bbh2new/</x:v>
      </x:c>
    </x:row>
    <x:row r="31" ht="28" customHeight="1">
      <x:c r="A31" s="21" t="n">
        <x:v>27</x:v>
      </x:c>
      <x:c r="B31" s="21" t="n">
        <x:f>ROUNDUP(A31/20,0)</x:f>
        <x:v>2</x:v>
      </x:c>
      <x:c r="C31" s="21" t="n">
        <x:f>MOD(A31-1,20)+1</x:f>
        <x:v>7</x:v>
      </x:c>
      <x:c r="D31" s="18" t="str">
        <x:v>אֲנָשִׁים</x:v>
      </x:c>
      <x:c r="E31" s="19" t="str">
        <x:v>ʾănāšîm</x:v>
      </x:c>
      <x:c r="F31" s="16" t="str">
        <x:v>אנשים</x:v>
      </x:c>
      <x:c r="G31" s="20" t="str">
        <x:v>men, husbands</x:v>
      </x:c>
      <x:c r="H31" s="20" t="str"/>
      <x:c r="I31" s="21" t="str">
        <x:v>BBH2 課序</x:v>
      </x:c>
      <x:c r="J31" s="21" t="n">
        <x:v>4</x:v>
      </x:c>
      <x:c r="K31" s="22" t="n">
        <x:v>2187</x:v>
      </x:c>
      <x:c r="L31" s="21" t="str">
        <x:v>H376</x:v>
      </x:c>
      <x:c r="M31" s="21" t="str">
        <x:v>noun</x:v>
      </x:c>
      <x:c r="N31" s="21" t="str">
        <x:v>否</x:v>
      </x:c>
      <x:c r="O31" s="21" t="str"/>
      <x:c r="P31" s="21" t="str">
        <x:v>source_and_lexicon_matched</x:v>
      </x:c>
      <x:c r="Q31" s="21" t="str">
        <x:v>rule_generated_exception_review</x:v>
      </x:c>
      <x:c r="R31" s="20" t="str">
        <x:v>https://hebrewsyntax.org/bbh2new/</x:v>
      </x:c>
    </x:row>
    <x:row r="32" ht="28" customHeight="1">
      <x:c r="A32" s="21" t="n">
        <x:v>28</x:v>
      </x:c>
      <x:c r="B32" s="21" t="n">
        <x:f>ROUNDUP(A32/20,0)</x:f>
        <x:v>2</x:v>
      </x:c>
      <x:c r="C32" s="21" t="n">
        <x:f>MOD(A32-1,20)+1</x:f>
        <x:v>8</x:v>
      </x:c>
      <x:c r="D32" s="18" t="str">
        <x:v>אִשָּׁה</x:v>
      </x:c>
      <x:c r="E32" s="19" t="str">
        <x:v>ʾiššâ</x:v>
      </x:c>
      <x:c r="F32" s="16" t="str">
        <x:v>אשה</x:v>
      </x:c>
      <x:c r="G32" s="20" t="str">
        <x:v>woman, wife</x:v>
      </x:c>
      <x:c r="H32" s="20" t="str"/>
      <x:c r="I32" s="21" t="str">
        <x:v>BBH2 課序</x:v>
      </x:c>
      <x:c r="J32" s="21" t="n">
        <x:v>4</x:v>
      </x:c>
      <x:c r="K32" s="22" t="n">
        <x:v>781</x:v>
      </x:c>
      <x:c r="L32" s="21" t="str">
        <x:v>H802</x:v>
      </x:c>
      <x:c r="M32" s="21" t="str">
        <x:v>noun</x:v>
      </x:c>
      <x:c r="N32" s="21" t="str">
        <x:v>否</x:v>
      </x:c>
      <x:c r="O32" s="21" t="str"/>
      <x:c r="P32" s="21" t="str">
        <x:v>source_and_lexicon_matched</x:v>
      </x:c>
      <x:c r="Q32" s="21" t="str">
        <x:v>rule_generated_exception_review</x:v>
      </x:c>
      <x:c r="R32" s="20" t="str">
        <x:v>https://hebrewsyntax.org/bbh2new/</x:v>
      </x:c>
    </x:row>
    <x:row r="33" ht="28" customHeight="1">
      <x:c r="A33" s="21" t="n">
        <x:v>29</x:v>
      </x:c>
      <x:c r="B33" s="21" t="n">
        <x:f>ROUNDUP(A33/20,0)</x:f>
        <x:v>2</x:v>
      </x:c>
      <x:c r="C33" s="21" t="n">
        <x:f>MOD(A33-1,20)+1</x:f>
        <x:v>9</x:v>
      </x:c>
      <x:c r="D33" s="18" t="str">
        <x:v>נָשִׁים</x:v>
      </x:c>
      <x:c r="E33" s="19" t="str">
        <x:v>nāšîm</x:v>
      </x:c>
      <x:c r="F33" s="16" t="str">
        <x:v>נשים</x:v>
      </x:c>
      <x:c r="G33" s="20" t="str">
        <x:v>women, wives</x:v>
      </x:c>
      <x:c r="H33" s="20" t="str"/>
      <x:c r="I33" s="21" t="str">
        <x:v>BBH2 課序</x:v>
      </x:c>
      <x:c r="J33" s="21" t="n">
        <x:v>4</x:v>
      </x:c>
      <x:c r="K33" s="22" t="n">
        <x:v>781</x:v>
      </x:c>
      <x:c r="L33" s="21" t="str">
        <x:v>H802</x:v>
      </x:c>
      <x:c r="M33" s="21" t="str">
        <x:v>noun</x:v>
      </x:c>
      <x:c r="N33" s="21" t="str">
        <x:v>否</x:v>
      </x:c>
      <x:c r="O33" s="21" t="str"/>
      <x:c r="P33" s="21" t="str">
        <x:v>source_and_lexicon_matched</x:v>
      </x:c>
      <x:c r="Q33" s="21" t="str">
        <x:v>rule_generated_exception_review</x:v>
      </x:c>
      <x:c r="R33" s="20" t="str">
        <x:v>https://hebrewsyntax.org/bbh2new/</x:v>
      </x:c>
    </x:row>
    <x:row r="34" ht="28" customHeight="1">
      <x:c r="A34" s="21" t="n">
        <x:v>30</x:v>
      </x:c>
      <x:c r="B34" s="21" t="n">
        <x:f>ROUNDUP(A34/20,0)</x:f>
        <x:v>2</x:v>
      </x:c>
      <x:c r="C34" s="21" t="n">
        <x:f>MOD(A34-1,20)+1</x:f>
        <x:v>10</x:v>
      </x:c>
      <x:c r="D34" s="18" t="str">
        <x:v>בַּת</x:v>
      </x:c>
      <x:c r="E34" s="19" t="str">
        <x:v>baṯ</x:v>
      </x:c>
      <x:c r="F34" s="16" t="str">
        <x:v>בת</x:v>
      </x:c>
      <x:c r="G34" s="20" t="str">
        <x:v>daughter [F]</x:v>
      </x:c>
      <x:c r="H34" s="20" t="str"/>
      <x:c r="I34" s="21" t="str">
        <x:v>BBH2 課序</x:v>
      </x:c>
      <x:c r="J34" s="21" t="n">
        <x:v>4</x:v>
      </x:c>
      <x:c r="K34" s="22" t="n">
        <x:v>590</x:v>
      </x:c>
      <x:c r="L34" s="21" t="str">
        <x:v>H1323</x:v>
      </x:c>
      <x:c r="M34" s="21" t="str">
        <x:v>noun</x:v>
      </x:c>
      <x:c r="N34" s="21" t="str">
        <x:v>否</x:v>
      </x:c>
      <x:c r="O34" s="21" t="str"/>
      <x:c r="P34" s="21" t="str">
        <x:v>source_and_lexicon_matched</x:v>
      </x:c>
      <x:c r="Q34" s="21" t="str">
        <x:v>rule_generated_exception_review</x:v>
      </x:c>
      <x:c r="R34" s="20" t="str">
        <x:v>https://hebrewsyntax.org/bbh2new/</x:v>
      </x:c>
    </x:row>
    <x:row r="35" ht="28" customHeight="1">
      <x:c r="A35" s="21" t="n">
        <x:v>31</x:v>
      </x:c>
      <x:c r="B35" s="21" t="n">
        <x:f>ROUNDUP(A35/20,0)</x:f>
        <x:v>2</x:v>
      </x:c>
      <x:c r="C35" s="21" t="n">
        <x:f>MOD(A35-1,20)+1</x:f>
        <x:v>11</x:v>
      </x:c>
      <x:c r="D35" s="18" t="str">
        <x:v>בָּנוֹת</x:v>
      </x:c>
      <x:c r="E35" s="19" t="str">
        <x:v>bānôṯ</x:v>
      </x:c>
      <x:c r="F35" s="16" t="str">
        <x:v>בנות</x:v>
      </x:c>
      <x:c r="G35" s="20" t="str">
        <x:v>daughters</x:v>
      </x:c>
      <x:c r="H35" s="20" t="str"/>
      <x:c r="I35" s="21" t="str">
        <x:v>BBH2 課序</x:v>
      </x:c>
      <x:c r="J35" s="21" t="n">
        <x:v>4</x:v>
      </x:c>
      <x:c r="K35" s="22" t="n">
        <x:v>590</x:v>
      </x:c>
      <x:c r="L35" s="21" t="str">
        <x:v>H1323</x:v>
      </x:c>
      <x:c r="M35" s="21" t="str">
        <x:v>noun</x:v>
      </x:c>
      <x:c r="N35" s="21" t="str">
        <x:v>否</x:v>
      </x:c>
      <x:c r="O35" s="21" t="str"/>
      <x:c r="P35" s="21" t="str">
        <x:v>source_and_lexicon_matched</x:v>
      </x:c>
      <x:c r="Q35" s="21" t="str">
        <x:v>rule_generated_exception_review</x:v>
      </x:c>
      <x:c r="R35" s="20" t="str">
        <x:v>https://hebrewsyntax.org/bbh2new/</x:v>
      </x:c>
    </x:row>
    <x:row r="36" ht="28" customHeight="1">
      <x:c r="A36" s="21" t="n">
        <x:v>32</x:v>
      </x:c>
      <x:c r="B36" s="21" t="n">
        <x:f>ROUNDUP(A36/20,0)</x:f>
        <x:v>2</x:v>
      </x:c>
      <x:c r="C36" s="21" t="n">
        <x:f>MOD(A36-1,20)+1</x:f>
        <x:v>12</x:v>
      </x:c>
      <x:c r="D36" s="18" t="str">
        <x:v>גּוֹי</x:v>
      </x:c>
      <x:c r="E36" s="19" t="str">
        <x:v>gôy</x:v>
      </x:c>
      <x:c r="F36" s="16" t="str">
        <x:v>גוי</x:v>
      </x:c>
      <x:c r="G36" s="20" t="str">
        <x:v>nation, people</x:v>
      </x:c>
      <x:c r="H36" s="20" t="str"/>
      <x:c r="I36" s="21" t="str">
        <x:v>BBH2 課序</x:v>
      </x:c>
      <x:c r="J36" s="21" t="n">
        <x:v>4</x:v>
      </x:c>
      <x:c r="K36" s="22" t="n">
        <x:v>567</x:v>
      </x:c>
      <x:c r="L36" s="21" t="str">
        <x:v>H1471</x:v>
      </x:c>
      <x:c r="M36" s="21" t="str">
        <x:v>noun</x:v>
      </x:c>
      <x:c r="N36" s="21" t="str">
        <x:v>否</x:v>
      </x:c>
      <x:c r="O36" s="21" t="str"/>
      <x:c r="P36" s="21" t="str">
        <x:v>source_and_lexicon_matched</x:v>
      </x:c>
      <x:c r="Q36" s="21" t="str">
        <x:v>rule_generated_exception_review</x:v>
      </x:c>
      <x:c r="R36" s="20" t="str">
        <x:v>https://hebrewsyntax.org/bbh2new/</x:v>
      </x:c>
    </x:row>
    <x:row r="37" ht="28" customHeight="1">
      <x:c r="A37" s="21" t="n">
        <x:v>33</x:v>
      </x:c>
      <x:c r="B37" s="21" t="n">
        <x:f>ROUNDUP(A37/20,0)</x:f>
        <x:v>2</x:v>
      </x:c>
      <x:c r="C37" s="21" t="n">
        <x:f>MOD(A37-1,20)+1</x:f>
        <x:v>13</x:v>
      </x:c>
      <x:c r="D37" s="18" t="str">
        <x:v>דֶּ֫רֶךְ</x:v>
      </x:c>
      <x:c r="E37" s="19" t="str">
        <x:v>dereḵ</x:v>
      </x:c>
      <x:c r="F37" s="16" t="str">
        <x:v>דרך</x:v>
      </x:c>
      <x:c r="G37" s="20" t="str">
        <x:v>way, road, journey [M/F]</x:v>
      </x:c>
      <x:c r="H37" s="20" t="str"/>
      <x:c r="I37" s="21" t="str">
        <x:v>BBH2 課序</x:v>
      </x:c>
      <x:c r="J37" s="21" t="n">
        <x:v>4</x:v>
      </x:c>
      <x:c r="K37" s="22" t="n">
        <x:v>712</x:v>
      </x:c>
      <x:c r="L37" s="21" t="str">
        <x:v>H1870</x:v>
      </x:c>
      <x:c r="M37" s="21" t="str">
        <x:v>noun</x:v>
      </x:c>
      <x:c r="N37" s="21" t="str">
        <x:v>否</x:v>
      </x:c>
      <x:c r="O37" s="21" t="str"/>
      <x:c r="P37" s="21" t="str">
        <x:v>source_and_lexicon_matched</x:v>
      </x:c>
      <x:c r="Q37" s="21" t="str">
        <x:v>rule_generated_exception_review</x:v>
      </x:c>
      <x:c r="R37" s="20" t="str">
        <x:v>https://hebrewsyntax.org/bbh2new/</x:v>
      </x:c>
    </x:row>
    <x:row r="38" ht="28" customHeight="1">
      <x:c r="A38" s="21" t="n">
        <x:v>34</x:v>
      </x:c>
      <x:c r="B38" s="21" t="n">
        <x:f>ROUNDUP(A38/20,0)</x:f>
        <x:v>2</x:v>
      </x:c>
      <x:c r="C38" s="21" t="n">
        <x:f>MOD(A38-1,20)+1</x:f>
        <x:v>14</x:v>
      </x:c>
      <x:c r="D38" s="18" t="str">
        <x:v>הַר</x:v>
      </x:c>
      <x:c r="E38" s="19" t="str">
        <x:v>har</x:v>
      </x:c>
      <x:c r="F38" s="16" t="str">
        <x:v>הר</x:v>
      </x:c>
      <x:c r="G38" s="20" t="str">
        <x:v>mountain, hill, hill country</x:v>
      </x:c>
      <x:c r="H38" s="20" t="str"/>
      <x:c r="I38" s="21" t="str">
        <x:v>BBH2 課序</x:v>
      </x:c>
      <x:c r="J38" s="21" t="n">
        <x:v>4</x:v>
      </x:c>
      <x:c r="K38" s="22" t="n">
        <x:v>547</x:v>
      </x:c>
      <x:c r="L38" s="21" t="str">
        <x:v>H2022</x:v>
      </x:c>
      <x:c r="M38" s="21" t="str">
        <x:v>noun</x:v>
      </x:c>
      <x:c r="N38" s="21" t="str">
        <x:v>否</x:v>
      </x:c>
      <x:c r="O38" s="21" t="str"/>
      <x:c r="P38" s="21" t="str">
        <x:v>source_and_lexicon_matched</x:v>
      </x:c>
      <x:c r="Q38" s="21" t="str">
        <x:v>rule_generated_exception_review</x:v>
      </x:c>
      <x:c r="R38" s="20" t="str">
        <x:v>https://hebrewsyntax.org/bbh2new/</x:v>
      </x:c>
    </x:row>
    <x:row r="39" ht="28" customHeight="1">
      <x:c r="A39" s="21" t="n">
        <x:v>35</x:v>
      </x:c>
      <x:c r="B39" s="21" t="n">
        <x:f>ROUNDUP(A39/20,0)</x:f>
        <x:v>2</x:v>
      </x:c>
      <x:c r="C39" s="21" t="n">
        <x:f>MOD(A39-1,20)+1</x:f>
        <x:v>15</x:v>
      </x:c>
      <x:c r="D39" s="18" t="str">
        <x:v>הָרִים</x:v>
      </x:c>
      <x:c r="E39" s="19" t="str">
        <x:v>hārîm</x:v>
      </x:c>
      <x:c r="F39" s="16" t="str">
        <x:v>הרים</x:v>
      </x:c>
      <x:c r="G39" s="20" t="str">
        <x:v>mountains, hills</x:v>
      </x:c>
      <x:c r="H39" s="20" t="str"/>
      <x:c r="I39" s="21" t="str">
        <x:v>BBH2 課序</x:v>
      </x:c>
      <x:c r="J39" s="21" t="n">
        <x:v>4</x:v>
      </x:c>
      <x:c r="K39" s="22" t="n">
        <x:v>547</x:v>
      </x:c>
      <x:c r="L39" s="21" t="str">
        <x:v>H2022</x:v>
      </x:c>
      <x:c r="M39" s="21" t="str">
        <x:v>noun</x:v>
      </x:c>
      <x:c r="N39" s="21" t="str">
        <x:v>否</x:v>
      </x:c>
      <x:c r="O39" s="21" t="str"/>
      <x:c r="P39" s="21" t="str">
        <x:v>source_and_lexicon_matched</x:v>
      </x:c>
      <x:c r="Q39" s="21" t="str">
        <x:v>rule_generated_exception_review</x:v>
      </x:c>
      <x:c r="R39" s="20" t="str">
        <x:v>https://hebrewsyntax.org/bbh2new/</x:v>
      </x:c>
    </x:row>
    <x:row r="40" ht="28" customHeight="1">
      <x:c r="A40" s="21" t="n">
        <x:v>36</x:v>
      </x:c>
      <x:c r="B40" s="21" t="n">
        <x:f>ROUNDUP(A40/20,0)</x:f>
        <x:v>2</x:v>
      </x:c>
      <x:c r="C40" s="21" t="n">
        <x:f>MOD(A40-1,20)+1</x:f>
        <x:v>16</x:v>
      </x:c>
      <x:c r="D40" s="18" t="str">
        <x:v>כֹּהֵן</x:v>
      </x:c>
      <x:c r="E40" s="19" t="str">
        <x:v>kōhēn</x:v>
      </x:c>
      <x:c r="F40" s="16" t="str">
        <x:v>כהן</x:v>
      </x:c>
      <x:c r="G40" s="20" t="str">
        <x:v>priest</x:v>
      </x:c>
      <x:c r="H40" s="20" t="str"/>
      <x:c r="I40" s="21" t="str">
        <x:v>BBH2 課序</x:v>
      </x:c>
      <x:c r="J40" s="21" t="n">
        <x:v>4</x:v>
      </x:c>
      <x:c r="K40" s="22" t="n">
        <x:v>750</x:v>
      </x:c>
      <x:c r="L40" s="21" t="str">
        <x:v>H3548</x:v>
      </x:c>
      <x:c r="M40" s="21" t="str">
        <x:v>noun</x:v>
      </x:c>
      <x:c r="N40" s="21" t="str">
        <x:v>否</x:v>
      </x:c>
      <x:c r="O40" s="21" t="str"/>
      <x:c r="P40" s="21" t="str">
        <x:v>source_and_lexicon_matched</x:v>
      </x:c>
      <x:c r="Q40" s="21" t="str">
        <x:v>rule_generated_exception_review</x:v>
      </x:c>
      <x:c r="R40" s="20" t="str">
        <x:v>https://hebrewsyntax.org/bbh2new/</x:v>
      </x:c>
    </x:row>
    <x:row r="41" ht="28" customHeight="1">
      <x:c r="A41" s="21" t="n">
        <x:v>37</x:v>
      </x:c>
      <x:c r="B41" s="21" t="n">
        <x:f>ROUNDUP(A41/20,0)</x:f>
        <x:v>2</x:v>
      </x:c>
      <x:c r="C41" s="21" t="n">
        <x:f>MOD(A41-1,20)+1</x:f>
        <x:v>17</x:v>
      </x:c>
      <x:c r="D41" s="18" t="str">
        <x:v>לֵב</x:v>
      </x:c>
      <x:c r="E41" s="19" t="str">
        <x:v>lēḇ</x:v>
      </x:c>
      <x:c r="F41" s="16" t="str">
        <x:v>לב</x:v>
      </x:c>
      <x:c r="G41" s="20" t="str">
        <x:v>heart, mind, will</x:v>
      </x:c>
      <x:c r="H41" s="20" t="str"/>
      <x:c r="I41" s="21" t="str">
        <x:v>BBH2 課序</x:v>
      </x:c>
      <x:c r="J41" s="21" t="n">
        <x:v>4</x:v>
      </x:c>
      <x:c r="K41" s="22" t="n">
        <x:v>596</x:v>
      </x:c>
      <x:c r="L41" s="21" t="str">
        <x:v>H3820</x:v>
      </x:c>
      <x:c r="M41" s="21" t="str">
        <x:v>noun</x:v>
      </x:c>
      <x:c r="N41" s="21" t="str">
        <x:v>否</x:v>
      </x:c>
      <x:c r="O41" s="21" t="str"/>
      <x:c r="P41" s="21" t="str">
        <x:v>source_and_lexicon_matched</x:v>
      </x:c>
      <x:c r="Q41" s="21" t="str">
        <x:v>rule_generated_exception_review</x:v>
      </x:c>
      <x:c r="R41" s="20" t="str">
        <x:v>https://hebrewsyntax.org/bbh2new/</x:v>
      </x:c>
    </x:row>
    <x:row r="42" ht="28" customHeight="1">
      <x:c r="A42" s="21" t="n">
        <x:v>38</x:v>
      </x:c>
      <x:c r="B42" s="21" t="n">
        <x:f>ROUNDUP(A42/20,0)</x:f>
        <x:v>2</x:v>
      </x:c>
      <x:c r="C42" s="21" t="n">
        <x:f>MOD(A42-1,20)+1</x:f>
        <x:v>18</x:v>
      </x:c>
      <x:c r="D42" s="18" t="str">
        <x:v>לֵבָב</x:v>
      </x:c>
      <x:c r="E42" s="19" t="str">
        <x:v>lēḇāḇ</x:v>
      </x:c>
      <x:c r="F42" s="16" t="str">
        <x:v>לבב</x:v>
      </x:c>
      <x:c r="G42" s="20" t="str">
        <x:v>heart, mind, will</x:v>
      </x:c>
      <x:c r="H42" s="20" t="str"/>
      <x:c r="I42" s="21" t="str">
        <x:v>BBH2 課序</x:v>
      </x:c>
      <x:c r="J42" s="21" t="n">
        <x:v>4</x:v>
      </x:c>
      <x:c r="K42" s="22" t="n">
        <x:v>252</x:v>
      </x:c>
      <x:c r="L42" s="21" t="str">
        <x:v>H3824</x:v>
      </x:c>
      <x:c r="M42" s="21" t="str">
        <x:v>noun</x:v>
      </x:c>
      <x:c r="N42" s="21" t="str">
        <x:v>否</x:v>
      </x:c>
      <x:c r="O42" s="21" t="str"/>
      <x:c r="P42" s="21" t="str">
        <x:v>source_and_lexicon_matched</x:v>
      </x:c>
      <x:c r="Q42" s="21" t="str">
        <x:v>rule_generated_exception_review</x:v>
      </x:c>
      <x:c r="R42" s="20" t="str">
        <x:v>https://hebrewsyntax.org/bbh2new/</x:v>
      </x:c>
    </x:row>
    <x:row r="43" ht="28" customHeight="1">
      <x:c r="A43" s="21" t="n">
        <x:v>39</x:v>
      </x:c>
      <x:c r="B43" s="21" t="n">
        <x:f>ROUNDUP(A43/20,0)</x:f>
        <x:v>2</x:v>
      </x:c>
      <x:c r="C43" s="21" t="n">
        <x:f>MOD(A43-1,20)+1</x:f>
        <x:v>19</x:v>
      </x:c>
      <x:c r="D43" s="18" t="str">
        <x:v>מַ֫יִם</x:v>
      </x:c>
      <x:c r="E43" s="19" t="str">
        <x:v>mayim</x:v>
      </x:c>
      <x:c r="F43" s="16" t="str">
        <x:v>מים</x:v>
      </x:c>
      <x:c r="G43" s="20" t="str">
        <x:v>water</x:v>
      </x:c>
      <x:c r="H43" s="20" t="str"/>
      <x:c r="I43" s="21" t="str">
        <x:v>BBH2 課序</x:v>
      </x:c>
      <x:c r="J43" s="21" t="n">
        <x:v>4</x:v>
      </x:c>
      <x:c r="K43" s="22" t="n">
        <x:v>582</x:v>
      </x:c>
      <x:c r="L43" s="21" t="str">
        <x:v>H4325</x:v>
      </x:c>
      <x:c r="M43" s="21" t="str">
        <x:v>noun</x:v>
      </x:c>
      <x:c r="N43" s="21" t="str">
        <x:v>否</x:v>
      </x:c>
      <x:c r="O43" s="21" t="str"/>
      <x:c r="P43" s="21" t="str">
        <x:v>source_and_lexicon_matched</x:v>
      </x:c>
      <x:c r="Q43" s="21" t="str">
        <x:v>rule_generated_exception_review</x:v>
      </x:c>
      <x:c r="R43" s="20" t="str">
        <x:v>https://hebrewsyntax.org/bbh2new/</x:v>
      </x:c>
    </x:row>
    <x:row r="44" ht="28" customHeight="1">
      <x:c r="A44" s="21" t="n">
        <x:v>40</x:v>
      </x:c>
      <x:c r="B44" s="21" t="n">
        <x:f>ROUNDUP(A44/20,0)</x:f>
        <x:v>2</x:v>
      </x:c>
      <x:c r="C44" s="21" t="n">
        <x:f>MOD(A44-1,20)+1</x:f>
        <x:v>20</x:v>
      </x:c>
      <x:c r="D44" s="18" t="str">
        <x:v>נֶ֫פֶשׁ</x:v>
      </x:c>
      <x:c r="E44" s="19" t="str">
        <x:v>nep̄eš</x:v>
      </x:c>
      <x:c r="F44" s="16" t="str">
        <x:v>נפש</x:v>
      </x:c>
      <x:c r="G44" s="20" t="str">
        <x:v>soul, life, person, neck, throat [F]</x:v>
      </x:c>
      <x:c r="H44" s="20" t="str"/>
      <x:c r="I44" s="21" t="str">
        <x:v>BBH2 課序</x:v>
      </x:c>
      <x:c r="J44" s="21" t="n">
        <x:v>4</x:v>
      </x:c>
      <x:c r="K44" s="22" t="n">
        <x:v>757</x:v>
      </x:c>
      <x:c r="L44" s="21" t="str">
        <x:v>H5315</x:v>
      </x:c>
      <x:c r="M44" s="21" t="str">
        <x:v>noun</x:v>
      </x:c>
      <x:c r="N44" s="21" t="str">
        <x:v>否</x:v>
      </x:c>
      <x:c r="O44" s="21" t="str"/>
      <x:c r="P44" s="21" t="str">
        <x:v>source_and_lexicon_matched</x:v>
      </x:c>
      <x:c r="Q44" s="21" t="str">
        <x:v>rule_generated_exception_review</x:v>
      </x:c>
      <x:c r="R44" s="20" t="str">
        <x:v>https://hebrewsyntax.org/bbh2new/</x:v>
      </x:c>
    </x:row>
    <x:row r="45" ht="28" customHeight="1">
      <x:c r="A45" s="21" t="n">
        <x:v>41</x:v>
      </x:c>
      <x:c r="B45" s="21" t="n">
        <x:f>ROUNDUP(A45/20,0)</x:f>
        <x:v>3</x:v>
      </x:c>
      <x:c r="C45" s="21" t="n">
        <x:f>MOD(A45-1,20)+1</x:f>
        <x:v>1</x:v>
      </x:c>
      <x:c r="D45" s="18" t="str">
        <x:v>נָבִיא</x:v>
      </x:c>
      <x:c r="E45" s="19" t="str">
        <x:v>nāḇîʾ</x:v>
      </x:c>
      <x:c r="F45" s="16" t="str">
        <x:v>נביא</x:v>
      </x:c>
      <x:c r="G45" s="20" t="str">
        <x:v>prophet</x:v>
      </x:c>
      <x:c r="H45" s="20" t="str"/>
      <x:c r="I45" s="21" t="str">
        <x:v>BBH2 課序</x:v>
      </x:c>
      <x:c r="J45" s="21" t="n">
        <x:v>4</x:v>
      </x:c>
      <x:c r="K45" s="22" t="n">
        <x:v>317</x:v>
      </x:c>
      <x:c r="L45" s="21" t="str">
        <x:v>H5030</x:v>
      </x:c>
      <x:c r="M45" s="21" t="str">
        <x:v>noun</x:v>
      </x:c>
      <x:c r="N45" s="21" t="str">
        <x:v>否</x:v>
      </x:c>
      <x:c r="O45" s="21" t="str"/>
      <x:c r="P45" s="21" t="str">
        <x:v>source_and_lexicon_matched</x:v>
      </x:c>
      <x:c r="Q45" s="21" t="str">
        <x:v>rule_generated_exception_review</x:v>
      </x:c>
      <x:c r="R45" s="20" t="str">
        <x:v>https://hebrewsyntax.org/bbh2new/</x:v>
      </x:c>
    </x:row>
    <x:row r="46" ht="28" customHeight="1">
      <x:c r="A46" s="21" t="n">
        <x:v>42</x:v>
      </x:c>
      <x:c r="B46" s="21" t="n">
        <x:f>ROUNDUP(A46/20,0)</x:f>
        <x:v>3</x:v>
      </x:c>
      <x:c r="C46" s="21" t="n">
        <x:f>MOD(A46-1,20)+1</x:f>
        <x:v>2</x:v>
      </x:c>
      <x:c r="D46" s="18" t="str">
        <x:v>סֵ֫פֶר</x:v>
      </x:c>
      <x:c r="E46" s="19" t="str">
        <x:v>sēp̄er</x:v>
      </x:c>
      <x:c r="F46" s="16" t="str">
        <x:v>ספר</x:v>
      </x:c>
      <x:c r="G46" s="20" t="str">
        <x:v>book, scroll, document</x:v>
      </x:c>
      <x:c r="H46" s="20" t="str"/>
      <x:c r="I46" s="21" t="str">
        <x:v>BBH2 課序</x:v>
      </x:c>
      <x:c r="J46" s="21" t="n">
        <x:v>4</x:v>
      </x:c>
      <x:c r="K46" s="22" t="n">
        <x:v>188</x:v>
      </x:c>
      <x:c r="L46" s="21" t="str">
        <x:v>H5612</x:v>
      </x:c>
      <x:c r="M46" s="21" t="str">
        <x:v>noun</x:v>
      </x:c>
      <x:c r="N46" s="21" t="str">
        <x:v>否</x:v>
      </x:c>
      <x:c r="O46" s="21" t="str"/>
      <x:c r="P46" s="21" t="str">
        <x:v>source_and_lexicon_matched</x:v>
      </x:c>
      <x:c r="Q46" s="21" t="str">
        <x:v>rule_generated_exception_review</x:v>
      </x:c>
      <x:c r="R46" s="20" t="str">
        <x:v>https://hebrewsyntax.org/bbh2new/</x:v>
      </x:c>
    </x:row>
    <x:row r="47" ht="28" customHeight="1">
      <x:c r="A47" s="21" t="n">
        <x:v>43</x:v>
      </x:c>
      <x:c r="B47" s="21" t="n">
        <x:f>ROUNDUP(A47/20,0)</x:f>
        <x:v>3</x:v>
      </x:c>
      <x:c r="C47" s="21" t="n">
        <x:f>MOD(A47-1,20)+1</x:f>
        <x:v>3</x:v>
      </x:c>
      <x:c r="D47" s="18" t="str">
        <x:v>עַ֫יִן</x:v>
      </x:c>
      <x:c r="E47" s="19" t="str">
        <x:v>ʿayin</x:v>
      </x:c>
      <x:c r="F47" s="16" t="str">
        <x:v>עין</x:v>
      </x:c>
      <x:c r="G47" s="20" t="str">
        <x:v>eye, spring [F]</x:v>
      </x:c>
      <x:c r="H47" s="20" t="str"/>
      <x:c r="I47" s="21" t="str">
        <x:v>BBH2 課序</x:v>
      </x:c>
      <x:c r="J47" s="21" t="n">
        <x:v>4</x:v>
      </x:c>
      <x:c r="K47" s="22" t="n">
        <x:v>897</x:v>
      </x:c>
      <x:c r="L47" s="21" t="str">
        <x:v>H5869</x:v>
      </x:c>
      <x:c r="M47" s="21" t="str">
        <x:v>noun</x:v>
      </x:c>
      <x:c r="N47" s="21" t="str">
        <x:v>否</x:v>
      </x:c>
      <x:c r="O47" s="21" t="str"/>
      <x:c r="P47" s="21" t="str">
        <x:v>source_and_lexicon_matched</x:v>
      </x:c>
      <x:c r="Q47" s="21" t="str">
        <x:v>rule_generated_exception_review</x:v>
      </x:c>
      <x:c r="R47" s="20" t="str">
        <x:v>https://hebrewsyntax.org/bbh2new/</x:v>
      </x:c>
    </x:row>
    <x:row r="48" ht="28" customHeight="1">
      <x:c r="A48" s="21" t="n">
        <x:v>44</x:v>
      </x:c>
      <x:c r="B48" s="21" t="n">
        <x:f>ROUNDUP(A48/20,0)</x:f>
        <x:v>3</x:v>
      </x:c>
      <x:c r="C48" s="21" t="n">
        <x:f>MOD(A48-1,20)+1</x:f>
        <x:v>4</x:v>
      </x:c>
      <x:c r="D48" s="18" t="str">
        <x:v>עֵינַ֫יִם</x:v>
      </x:c>
      <x:c r="E48" s="19" t="str">
        <x:v>ʿênayim</x:v>
      </x:c>
      <x:c r="F48" s="16" t="str">
        <x:v>עינים</x:v>
      </x:c>
      <x:c r="G48" s="20" t="str">
        <x:v>pair of eyes [F]</x:v>
      </x:c>
      <x:c r="H48" s="20" t="str"/>
      <x:c r="I48" s="21" t="str">
        <x:v>BBH2 課序</x:v>
      </x:c>
      <x:c r="J48" s="21" t="n">
        <x:v>4</x:v>
      </x:c>
      <x:c r="K48" s="22" t="n">
        <x:v>897</x:v>
      </x:c>
      <x:c r="L48" s="21" t="str">
        <x:v>H5869</x:v>
      </x:c>
      <x:c r="M48" s="21" t="str">
        <x:v>noun</x:v>
      </x:c>
      <x:c r="N48" s="21" t="str">
        <x:v>否</x:v>
      </x:c>
      <x:c r="O48" s="21" t="str"/>
      <x:c r="P48" s="21" t="str">
        <x:v>source_and_lexicon_matched</x:v>
      </x:c>
      <x:c r="Q48" s="21" t="str">
        <x:v>rule_generated_exception_review</x:v>
      </x:c>
      <x:c r="R48" s="20" t="str">
        <x:v>https://hebrewsyntax.org/bbh2new/</x:v>
      </x:c>
    </x:row>
    <x:row r="49" ht="28" customHeight="1">
      <x:c r="A49" s="21" t="n">
        <x:v>45</x:v>
      </x:c>
      <x:c r="B49" s="21" t="n">
        <x:f>ROUNDUP(A49/20,0)</x:f>
        <x:v>3</x:v>
      </x:c>
      <x:c r="C49" s="21" t="n">
        <x:f>MOD(A49-1,20)+1</x:f>
        <x:v>5</x:v>
      </x:c>
      <x:c r="D49" s="18" t="str">
        <x:v>עִיר</x:v>
      </x:c>
      <x:c r="E49" s="19" t="str">
        <x:v>ʿîr</x:v>
      </x:c>
      <x:c r="F49" s="16" t="str">
        <x:v>עיר</x:v>
      </x:c>
      <x:c r="G49" s="20" t="str">
        <x:v>city, town [F]</x:v>
      </x:c>
      <x:c r="H49" s="20" t="str"/>
      <x:c r="I49" s="21" t="str">
        <x:v>BBH2 課序</x:v>
      </x:c>
      <x:c r="J49" s="21" t="n">
        <x:v>4</x:v>
      </x:c>
      <x:c r="K49" s="22" t="n">
        <x:v>1095</x:v>
      </x:c>
      <x:c r="L49" s="21" t="str">
        <x:v>H5892</x:v>
      </x:c>
      <x:c r="M49" s="21" t="str">
        <x:v>noun</x:v>
      </x:c>
      <x:c r="N49" s="21" t="str">
        <x:v>否</x:v>
      </x:c>
      <x:c r="O49" s="21" t="str"/>
      <x:c r="P49" s="21" t="str">
        <x:v>source_and_lexicon_matched</x:v>
      </x:c>
      <x:c r="Q49" s="21" t="str">
        <x:v>rule_generated_exception_review</x:v>
      </x:c>
      <x:c r="R49" s="20" t="str">
        <x:v>https://hebrewsyntax.org/bbh2new/</x:v>
      </x:c>
    </x:row>
    <x:row r="50" ht="28" customHeight="1">
      <x:c r="A50" s="21" t="n">
        <x:v>46</x:v>
      </x:c>
      <x:c r="B50" s="21" t="n">
        <x:f>ROUNDUP(A50/20,0)</x:f>
        <x:v>3</x:v>
      </x:c>
      <x:c r="C50" s="21" t="n">
        <x:f>MOD(A50-1,20)+1</x:f>
        <x:v>6</x:v>
      </x:c>
      <x:c r="D50" s="18" t="str">
        <x:v>עָרִים</x:v>
      </x:c>
      <x:c r="E50" s="19" t="str">
        <x:v>ʿārîm</x:v>
      </x:c>
      <x:c r="F50" s="16" t="str">
        <x:v>ערים</x:v>
      </x:c>
      <x:c r="G50" s="20" t="str">
        <x:v>cities, towns [F]</x:v>
      </x:c>
      <x:c r="H50" s="20" t="str"/>
      <x:c r="I50" s="21" t="str">
        <x:v>BBH2 課序</x:v>
      </x:c>
      <x:c r="J50" s="21" t="n">
        <x:v>4</x:v>
      </x:c>
      <x:c r="K50" s="22" t="n">
        <x:v>1095</x:v>
      </x:c>
      <x:c r="L50" s="21" t="str">
        <x:v>H5892</x:v>
      </x:c>
      <x:c r="M50" s="21" t="str">
        <x:v>noun</x:v>
      </x:c>
      <x:c r="N50" s="21" t="str">
        <x:v>否</x:v>
      </x:c>
      <x:c r="O50" s="21" t="str"/>
      <x:c r="P50" s="21" t="str">
        <x:v>source_and_lexicon_matched</x:v>
      </x:c>
      <x:c r="Q50" s="21" t="str">
        <x:v>rule_generated_exception_review</x:v>
      </x:c>
      <x:c r="R50" s="20" t="str">
        <x:v>https://hebrewsyntax.org/bbh2new/</x:v>
      </x:c>
    </x:row>
    <x:row r="51" ht="28" customHeight="1">
      <x:c r="A51" s="21" t="n">
        <x:v>47</x:v>
      </x:c>
      <x:c r="B51" s="21" t="n">
        <x:f>ROUNDUP(A51/20,0)</x:f>
        <x:v>3</x:v>
      </x:c>
      <x:c r="C51" s="21" t="n">
        <x:f>MOD(A51-1,20)+1</x:f>
        <x:v>7</x:v>
      </x:c>
      <x:c r="D51" s="18" t="str">
        <x:v>צָבָא</x:v>
      </x:c>
      <x:c r="E51" s="19" t="str">
        <x:v>ṣāḇāʾ</x:v>
      </x:c>
      <x:c r="F51" s="16" t="str">
        <x:v>צבא</x:v>
      </x:c>
      <x:c r="G51" s="20" t="str">
        <x:v>host, army, war, service</x:v>
      </x:c>
      <x:c r="H51" s="20" t="str"/>
      <x:c r="I51" s="21" t="str">
        <x:v>BBH2 課序</x:v>
      </x:c>
      <x:c r="J51" s="21" t="n">
        <x:v>4</x:v>
      </x:c>
      <x:c r="K51" s="22" t="n">
        <x:v>487</x:v>
      </x:c>
      <x:c r="L51" s="21" t="str">
        <x:v>H6635</x:v>
      </x:c>
      <x:c r="M51" s="21" t="str">
        <x:v>noun</x:v>
      </x:c>
      <x:c r="N51" s="21" t="str">
        <x:v>否</x:v>
      </x:c>
      <x:c r="O51" s="21" t="str"/>
      <x:c r="P51" s="21" t="str">
        <x:v>source_and_lexicon_matched</x:v>
      </x:c>
      <x:c r="Q51" s="21" t="str">
        <x:v>rule_generated_exception_review</x:v>
      </x:c>
      <x:c r="R51" s="20" t="str">
        <x:v>https://hebrewsyntax.org/bbh2new/</x:v>
      </x:c>
    </x:row>
    <x:row r="52" ht="28" customHeight="1">
      <x:c r="A52" s="21" t="n">
        <x:v>48</x:v>
      </x:c>
      <x:c r="B52" s="21" t="n">
        <x:f>ROUNDUP(A52/20,0)</x:f>
        <x:v>3</x:v>
      </x:c>
      <x:c r="C52" s="21" t="n">
        <x:f>MOD(A52-1,20)+1</x:f>
        <x:v>8</x:v>
      </x:c>
      <x:c r="D52" s="18" t="str">
        <x:v>צְבָאוֹת</x:v>
      </x:c>
      <x:c r="E52" s="19" t="str">
        <x:v>ṣəḇāʾôṯ</x:v>
      </x:c>
      <x:c r="F52" s="16" t="str">
        <x:v>צבאות</x:v>
      </x:c>
      <x:c r="G52" s="20" t="str">
        <x:v>hosts, armies, wars</x:v>
      </x:c>
      <x:c r="H52" s="20" t="str"/>
      <x:c r="I52" s="21" t="str">
        <x:v>BBH2 課序</x:v>
      </x:c>
      <x:c r="J52" s="21" t="n">
        <x:v>4</x:v>
      </x:c>
      <x:c r="K52" s="22" t="n">
        <x:v>487</x:v>
      </x:c>
      <x:c r="L52" s="21" t="str">
        <x:v>H6635</x:v>
      </x:c>
      <x:c r="M52" s="21" t="str">
        <x:v>noun</x:v>
      </x:c>
      <x:c r="N52" s="21" t="str">
        <x:v>否</x:v>
      </x:c>
      <x:c r="O52" s="21" t="str"/>
      <x:c r="P52" s="21" t="str">
        <x:v>source_and_lexicon_matched</x:v>
      </x:c>
      <x:c r="Q52" s="21" t="str">
        <x:v>rule_generated_exception_review</x:v>
      </x:c>
      <x:c r="R52" s="20" t="str">
        <x:v>https://hebrewsyntax.org/bbh2new/</x:v>
      </x:c>
    </x:row>
    <x:row r="53" ht="28" customHeight="1">
      <x:c r="A53" s="21" t="n">
        <x:v>49</x:v>
      </x:c>
      <x:c r="B53" s="21" t="n">
        <x:f>ROUNDUP(A53/20,0)</x:f>
        <x:v>3</x:v>
      </x:c>
      <x:c r="C53" s="21" t="n">
        <x:f>MOD(A53-1,20)+1</x:f>
        <x:v>9</x:v>
      </x:c>
      <x:c r="D53" s="18" t="str">
        <x:v>קוֹל</x:v>
      </x:c>
      <x:c r="E53" s="19" t="str">
        <x:v>qôl</x:v>
      </x:c>
      <x:c r="F53" s="16" t="str">
        <x:v>קול</x:v>
      </x:c>
      <x:c r="G53" s="20" t="str">
        <x:v>voice, sound, noise</x:v>
      </x:c>
      <x:c r="H53" s="20" t="str"/>
      <x:c r="I53" s="21" t="str">
        <x:v>BBH2 課序</x:v>
      </x:c>
      <x:c r="J53" s="21" t="n">
        <x:v>4</x:v>
      </x:c>
      <x:c r="K53" s="22" t="n">
        <x:v>506</x:v>
      </x:c>
      <x:c r="L53" s="21" t="str">
        <x:v>H6963</x:v>
      </x:c>
      <x:c r="M53" s="21" t="str">
        <x:v>noun</x:v>
      </x:c>
      <x:c r="N53" s="21" t="str">
        <x:v>否</x:v>
      </x:c>
      <x:c r="O53" s="21" t="str"/>
      <x:c r="P53" s="21" t="str">
        <x:v>source_and_lexicon_matched</x:v>
      </x:c>
      <x:c r="Q53" s="21" t="str">
        <x:v>rule_generated_exception_review</x:v>
      </x:c>
      <x:c r="R53" s="20" t="str">
        <x:v>https://hebrewsyntax.org/bbh2new/</x:v>
      </x:c>
    </x:row>
    <x:row r="54" ht="28" customHeight="1">
      <x:c r="A54" s="21" t="n">
        <x:v>50</x:v>
      </x:c>
      <x:c r="B54" s="21" t="n">
        <x:f>ROUNDUP(A54/20,0)</x:f>
        <x:v>3</x:v>
      </x:c>
      <x:c r="C54" s="21" t="n">
        <x:f>MOD(A54-1,20)+1</x:f>
        <x:v>10</x:v>
      </x:c>
      <x:c r="D54" s="18" t="str">
        <x:v>רֹאשׁ</x:v>
      </x:c>
      <x:c r="E54" s="19" t="str">
        <x:v>rōʾš</x:v>
      </x:c>
      <x:c r="F54" s="16" t="str">
        <x:v>ראש</x:v>
      </x:c>
      <x:c r="G54" s="20" t="str">
        <x:v>head, top, chief</x:v>
      </x:c>
      <x:c r="H54" s="20" t="str"/>
      <x:c r="I54" s="21" t="str">
        <x:v>BBH2 課序</x:v>
      </x:c>
      <x:c r="J54" s="21" t="n">
        <x:v>4</x:v>
      </x:c>
      <x:c r="K54" s="22" t="n">
        <x:v>600</x:v>
      </x:c>
      <x:c r="L54" s="21" t="str">
        <x:v>H7218</x:v>
      </x:c>
      <x:c r="M54" s="21" t="str">
        <x:v>noun</x:v>
      </x:c>
      <x:c r="N54" s="21" t="str">
        <x:v>否</x:v>
      </x:c>
      <x:c r="O54" s="21" t="str"/>
      <x:c r="P54" s="21" t="str">
        <x:v>source_and_lexicon_matched</x:v>
      </x:c>
      <x:c r="Q54" s="21" t="str">
        <x:v>rule_generated_exception_review</x:v>
      </x:c>
      <x:c r="R54" s="20" t="str">
        <x:v>https://hebrewsyntax.org/bbh2new/</x:v>
      </x:c>
    </x:row>
    <x:row r="55" ht="28" customHeight="1">
      <x:c r="A55" s="21" t="n">
        <x:v>51</x:v>
      </x:c>
      <x:c r="B55" s="21" t="n">
        <x:f>ROUNDUP(A55/20,0)</x:f>
        <x:v>3</x:v>
      </x:c>
      <x:c r="C55" s="21" t="n">
        <x:f>MOD(A55-1,20)+1</x:f>
        <x:v>11</x:v>
      </x:c>
      <x:c r="D55" s="18" t="str">
        <x:v>תּוֹרָה</x:v>
      </x:c>
      <x:c r="E55" s="19" t="str">
        <x:v>tôrâ</x:v>
      </x:c>
      <x:c r="F55" s="16" t="str">
        <x:v>תורה</x:v>
      </x:c>
      <x:c r="G55" s="20" t="str">
        <x:v>law, instruction, teaching, custom</x:v>
      </x:c>
      <x:c r="H55" s="20" t="str"/>
      <x:c r="I55" s="21" t="str">
        <x:v>BBH2 課序</x:v>
      </x:c>
      <x:c r="J55" s="21" t="n">
        <x:v>4</x:v>
      </x:c>
      <x:c r="K55" s="22" t="n">
        <x:v>222</x:v>
      </x:c>
      <x:c r="L55" s="21" t="str">
        <x:v>H8451</x:v>
      </x:c>
      <x:c r="M55" s="21" t="str">
        <x:v>noun</x:v>
      </x:c>
      <x:c r="N55" s="21" t="str">
        <x:v>否</x:v>
      </x:c>
      <x:c r="O55" s="21" t="str"/>
      <x:c r="P55" s="21" t="str">
        <x:v>source_and_lexicon_matched</x:v>
      </x:c>
      <x:c r="Q55" s="21" t="str">
        <x:v>rule_generated_exception_review</x:v>
      </x:c>
      <x:c r="R55" s="20" t="str">
        <x:v>https://hebrewsyntax.org/bbh2new/</x:v>
      </x:c>
    </x:row>
    <x:row r="56" ht="28" customHeight="1">
      <x:c r="A56" s="21" t="n">
        <x:v>52</x:v>
      </x:c>
      <x:c r="B56" s="21" t="n">
        <x:f>ROUNDUP(A56/20,0)</x:f>
        <x:v>3</x:v>
      </x:c>
      <x:c r="C56" s="21" t="n">
        <x:f>MOD(A56-1,20)+1</x:f>
        <x:v>12</x:v>
      </x:c>
      <x:c r="D56" s="18" t="str">
        <x:v>אָבוֹת</x:v>
      </x:c>
      <x:c r="E56" s="19" t="str">
        <x:v>ʾāḇôṯ</x:v>
      </x:c>
      <x:c r="F56" s="16" t="str">
        <x:v>אבות</x:v>
      </x:c>
      <x:c r="G56" s="20" t="str">
        <x:v>fathers</x:v>
      </x:c>
      <x:c r="H56" s="20" t="str"/>
      <x:c r="I56" s="21" t="str">
        <x:v>BBH2 課序</x:v>
      </x:c>
      <x:c r="J56" s="21" t="n">
        <x:v>4</x:v>
      </x:c>
      <x:c r="K56" s="22" t="n">
        <x:v>1213</x:v>
      </x:c>
      <x:c r="L56" s="21" t="str">
        <x:v>H1</x:v>
      </x:c>
      <x:c r="M56" s="21" t="str">
        <x:v>noun</x:v>
      </x:c>
      <x:c r="N56" s="21" t="str">
        <x:v>否</x:v>
      </x:c>
      <x:c r="O56" s="21" t="str"/>
      <x:c r="P56" s="21" t="str">
        <x:v>source_and_lexicon_matched</x:v>
      </x:c>
      <x:c r="Q56" s="21" t="str">
        <x:v>rule_generated_exception_review</x:v>
      </x:c>
      <x:c r="R56" s="20" t="str">
        <x:v>https://hebrewsyntax.org/bbh2new/</x:v>
      </x:c>
    </x:row>
    <x:row r="57" ht="28" customHeight="1">
      <x:c r="A57" s="21" t="n">
        <x:v>53</x:v>
      </x:c>
      <x:c r="B57" s="21" t="n">
        <x:f>ROUNDUP(A57/20,0)</x:f>
        <x:v>3</x:v>
      </x:c>
      <x:c r="C57" s="21" t="n">
        <x:f>MOD(A57-1,20)+1</x:f>
        <x:v>13</x:v>
      </x:c>
      <x:c r="D57" s="18" t="str">
        <x:v>בָּֽתִּים</x:v>
      </x:c>
      <x:c r="E57" s="19" t="str">
        <x:v>bāttîm</x:v>
      </x:c>
      <x:c r="F57" s="16" t="str">
        <x:v>בתים</x:v>
      </x:c>
      <x:c r="G57" s="20" t="str">
        <x:v>houses</x:v>
      </x:c>
      <x:c r="H57" s="20" t="str"/>
      <x:c r="I57" s="21" t="str">
        <x:v>BBH2 課序</x:v>
      </x:c>
      <x:c r="J57" s="21" t="n">
        <x:v>4</x:v>
      </x:c>
      <x:c r="K57" s="22" t="n">
        <x:v>2056</x:v>
      </x:c>
      <x:c r="L57" s="21" t="str">
        <x:v>H1004</x:v>
      </x:c>
      <x:c r="M57" s="21" t="str">
        <x:v>noun</x:v>
      </x:c>
      <x:c r="N57" s="21" t="str">
        <x:v>否</x:v>
      </x:c>
      <x:c r="O57" s="21" t="str"/>
      <x:c r="P57" s="21" t="str">
        <x:v>source_and_lexicon_matched</x:v>
      </x:c>
      <x:c r="Q57" s="21" t="str">
        <x:v>rule_generated_exception_review</x:v>
      </x:c>
      <x:c r="R57" s="20" t="str">
        <x:v>https://hebrewsyntax.org/bbh2new/</x:v>
      </x:c>
    </x:row>
    <x:row r="58" ht="28" customHeight="1">
      <x:c r="A58" s="21" t="n">
        <x:v>54</x:v>
      </x:c>
      <x:c r="B58" s="21" t="n">
        <x:f>ROUNDUP(A58/20,0)</x:f>
        <x:v>3</x:v>
      </x:c>
      <x:c r="C58" s="21" t="n">
        <x:f>MOD(A58-1,20)+1</x:f>
        <x:v>14</x:v>
      </x:c>
      <x:c r="D58" s="18" t="str">
        <x:v>בָּנִים</x:v>
      </x:c>
      <x:c r="E58" s="19" t="str">
        <x:v>bānîm</x:v>
      </x:c>
      <x:c r="F58" s="16" t="str">
        <x:v>בנים</x:v>
      </x:c>
      <x:c r="G58" s="20" t="str">
        <x:v>sons</x:v>
      </x:c>
      <x:c r="H58" s="20" t="str"/>
      <x:c r="I58" s="21" t="str">
        <x:v>BBH2 課序</x:v>
      </x:c>
      <x:c r="J58" s="21" t="n">
        <x:v>4</x:v>
      </x:c>
      <x:c r="K58" s="22" t="n">
        <x:v>4942</x:v>
      </x:c>
      <x:c r="L58" s="21" t="str">
        <x:v>H1121</x:v>
      </x:c>
      <x:c r="M58" s="21" t="str">
        <x:v>noun</x:v>
      </x:c>
      <x:c r="N58" s="21" t="str">
        <x:v>否</x:v>
      </x:c>
      <x:c r="O58" s="21" t="str"/>
      <x:c r="P58" s="21" t="str">
        <x:v>source_and_lexicon_matched</x:v>
      </x:c>
      <x:c r="Q58" s="21" t="str">
        <x:v>rule_generated_exception_review</x:v>
      </x:c>
      <x:c r="R58" s="20" t="str">
        <x:v>https://hebrewsyntax.org/bbh2new/</x:v>
      </x:c>
    </x:row>
    <x:row r="59" ht="28" customHeight="1">
      <x:c r="A59" s="21" t="n">
        <x:v>55</x:v>
      </x:c>
      <x:c r="B59" s="21" t="n">
        <x:f>ROUNDUP(A59/20,0)</x:f>
        <x:v>3</x:v>
      </x:c>
      <x:c r="C59" s="21" t="n">
        <x:f>MOD(A59-1,20)+1</x:f>
        <x:v>15</x:v>
      </x:c>
      <x:c r="D59" s="18" t="str">
        <x:v>יָמִים</x:v>
      </x:c>
      <x:c r="E59" s="19" t="str">
        <x:v>yāmîm</x:v>
      </x:c>
      <x:c r="F59" s="16" t="str">
        <x:v>ימים</x:v>
      </x:c>
      <x:c r="G59" s="20" t="str">
        <x:v>days</x:v>
      </x:c>
      <x:c r="H59" s="20" t="str"/>
      <x:c r="I59" s="21" t="str">
        <x:v>BBH2 課序</x:v>
      </x:c>
      <x:c r="J59" s="21" t="n">
        <x:v>4</x:v>
      </x:c>
      <x:c r="K59" s="22" t="n">
        <x:v>2304</x:v>
      </x:c>
      <x:c r="L59" s="21" t="str">
        <x:v>H3117</x:v>
      </x:c>
      <x:c r="M59" s="21" t="str">
        <x:v>noun</x:v>
      </x:c>
      <x:c r="N59" s="21" t="str">
        <x:v>否</x:v>
      </x:c>
      <x:c r="O59" s="21" t="str"/>
      <x:c r="P59" s="21" t="str">
        <x:v>source_and_lexicon_matched</x:v>
      </x:c>
      <x:c r="Q59" s="21" t="str">
        <x:v>rule_generated_exception_review</x:v>
      </x:c>
      <x:c r="R59" s="20" t="str">
        <x:v>https://hebrewsyntax.org/bbh2new/</x:v>
      </x:c>
    </x:row>
    <x:row r="60" ht="28" customHeight="1">
      <x:c r="A60" s="21" t="n">
        <x:v>56</x:v>
      </x:c>
      <x:c r="B60" s="21" t="n">
        <x:f>ROUNDUP(A60/20,0)</x:f>
        <x:v>3</x:v>
      </x:c>
      <x:c r="C60" s="21" t="n">
        <x:f>MOD(A60-1,20)+1</x:f>
        <x:v>16</x:v>
      </x:c>
      <x:c r="D60" s="18" t="str">
        <x:v>אֵשׁ</x:v>
      </x:c>
      <x:c r="E60" s="19" t="str">
        <x:v>ʾēš</x:v>
      </x:c>
      <x:c r="F60" s="16" t="str">
        <x:v>אש</x:v>
      </x:c>
      <x:c r="G60" s="20" t="str">
        <x:v>fire [F]</x:v>
      </x:c>
      <x:c r="H60" s="20" t="str"/>
      <x:c r="I60" s="21" t="str">
        <x:v>BBH2 課序</x:v>
      </x:c>
      <x:c r="J60" s="21" t="n">
        <x:v>5</x:v>
      </x:c>
      <x:c r="K60" s="22" t="n">
        <x:v>378</x:v>
      </x:c>
      <x:c r="L60" s="21" t="str">
        <x:v>H784</x:v>
      </x:c>
      <x:c r="M60" s="21" t="str">
        <x:v>noun</x:v>
      </x:c>
      <x:c r="N60" s="21" t="str">
        <x:v>否</x:v>
      </x:c>
      <x:c r="O60" s="21" t="str"/>
      <x:c r="P60" s="21" t="str">
        <x:v>source_and_lexicon_matched</x:v>
      </x:c>
      <x:c r="Q60" s="21" t="str">
        <x:v>rule_generated_exception_review</x:v>
      </x:c>
      <x:c r="R60" s="20" t="str">
        <x:v>https://hebrewsyntax.org/bbh2new/</x:v>
      </x:c>
    </x:row>
    <x:row r="61" ht="28" customHeight="1">
      <x:c r="A61" s="21" t="n">
        <x:v>57</x:v>
      </x:c>
      <x:c r="B61" s="21" t="n">
        <x:f>ROUNDUP(A61/20,0)</x:f>
        <x:v>3</x:v>
      </x:c>
      <x:c r="C61" s="21" t="n">
        <x:f>MOD(A61-1,20)+1</x:f>
        <x:v>17</x:v>
      </x:c>
      <x:c r="D61" s="18" t="str">
        <x:v>הֵיכָל</x:v>
      </x:c>
      <x:c r="E61" s="19" t="str">
        <x:v>hêḵāl</x:v>
      </x:c>
      <x:c r="F61" s="16" t="str">
        <x:v>היכל</x:v>
      </x:c>
      <x:c r="G61" s="20" t="str">
        <x:v>temple, palace</x:v>
      </x:c>
      <x:c r="H61" s="20" t="str"/>
      <x:c r="I61" s="21" t="str">
        <x:v>BBH2 課序</x:v>
      </x:c>
      <x:c r="J61" s="21" t="n">
        <x:v>5</x:v>
      </x:c>
      <x:c r="K61" s="22" t="n">
        <x:v>80</x:v>
      </x:c>
      <x:c r="L61" s="21" t="str">
        <x:v>H1964</x:v>
      </x:c>
      <x:c r="M61" s="21" t="str">
        <x:v>noun</x:v>
      </x:c>
      <x:c r="N61" s="21" t="str">
        <x:v>否</x:v>
      </x:c>
      <x:c r="O61" s="21" t="str"/>
      <x:c r="P61" s="21" t="str">
        <x:v>source_and_lexicon_matched</x:v>
      </x:c>
      <x:c r="Q61" s="21" t="str">
        <x:v>rule_generated_exception_review</x:v>
      </x:c>
      <x:c r="R61" s="20" t="str">
        <x:v>https://hebrewsyntax.org/bbh2new/</x:v>
      </x:c>
    </x:row>
    <x:row r="62" ht="28" customHeight="1">
      <x:c r="A62" s="21" t="n">
        <x:v>58</x:v>
      </x:c>
      <x:c r="B62" s="21" t="n">
        <x:f>ROUNDUP(A62/20,0)</x:f>
        <x:v>3</x:v>
      </x:c>
      <x:c r="C62" s="21" t="n">
        <x:f>MOD(A62-1,20)+1</x:f>
        <x:v>18</x:v>
      </x:c>
      <x:c r="D62" s="18" t="str">
        <x:v>וְ</x:v>
      </x:c>
      <x:c r="E62" s="19" t="str">
        <x:v>wə</x:v>
      </x:c>
      <x:c r="F62" s="16" t="str">
        <x:v>ו</x:v>
      </x:c>
      <x:c r="G62" s="20" t="str">
        <x:v>and, but, also, even, then</x:v>
      </x:c>
      <x:c r="H62" s="20" t="str"/>
      <x:c r="I62" s="21" t="str">
        <x:v>BBH2 課序</x:v>
      </x:c>
      <x:c r="J62" s="21" t="n">
        <x:v>5</x:v>
      </x:c>
      <x:c r="K62" s="22"/>
      <x:c r="L62" s="21" t="str"/>
      <x:c r="M62" s="21" t="str">
        <x:v>conjunction</x:v>
      </x:c>
      <x:c r="N62" s="21" t="str">
        <x:v>否</x:v>
      </x:c>
      <x:c r="O62" s="21" t="str"/>
      <x:c r="P62" s="21" t="str">
        <x:v>source_verified</x:v>
      </x:c>
      <x:c r="Q62" s="21" t="str">
        <x:v>rule_generated_exception_review</x:v>
      </x:c>
      <x:c r="R62" s="20" t="str">
        <x:v>https://hebrewsyntax.org/bbh2new/</x:v>
      </x:c>
    </x:row>
    <x:row r="63" ht="28" customHeight="1">
      <x:c r="A63" s="21" t="n">
        <x:v>59</x:v>
      </x:c>
      <x:c r="B63" s="21" t="n">
        <x:f>ROUNDUP(A63/20,0)</x:f>
        <x:v>3</x:v>
      </x:c>
      <x:c r="C63" s="21" t="n">
        <x:f>MOD(A63-1,20)+1</x:f>
        <x:v>19</x:v>
      </x:c>
      <x:c r="D63" s="18" t="str">
        <x:v>זָהָב</x:v>
      </x:c>
      <x:c r="E63" s="19" t="str">
        <x:v>zāhāḇ</x:v>
      </x:c>
      <x:c r="F63" s="16" t="str">
        <x:v>זהב</x:v>
      </x:c>
      <x:c r="G63" s="20" t="str">
        <x:v>gold</x:v>
      </x:c>
      <x:c r="H63" s="20" t="str"/>
      <x:c r="I63" s="21" t="str">
        <x:v>BBH2 課序</x:v>
      </x:c>
      <x:c r="J63" s="21" t="n">
        <x:v>5</x:v>
      </x:c>
      <x:c r="K63" s="22" t="n">
        <x:v>389</x:v>
      </x:c>
      <x:c r="L63" s="21" t="str">
        <x:v>H2091</x:v>
      </x:c>
      <x:c r="M63" s="21" t="str">
        <x:v>noun</x:v>
      </x:c>
      <x:c r="N63" s="21" t="str">
        <x:v>否</x:v>
      </x:c>
      <x:c r="O63" s="21" t="str"/>
      <x:c r="P63" s="21" t="str">
        <x:v>source_and_lexicon_matched</x:v>
      </x:c>
      <x:c r="Q63" s="21" t="str">
        <x:v>rule_generated_exception_review</x:v>
      </x:c>
      <x:c r="R63" s="20" t="str">
        <x:v>https://hebrewsyntax.org/bbh2new/</x:v>
      </x:c>
    </x:row>
    <x:row r="64" ht="28" customHeight="1">
      <x:c r="A64" s="21" t="n">
        <x:v>60</x:v>
      </x:c>
      <x:c r="B64" s="21" t="n">
        <x:f>ROUNDUP(A64/20,0)</x:f>
        <x:v>3</x:v>
      </x:c>
      <x:c r="C64" s="21" t="n">
        <x:f>MOD(A64-1,20)+1</x:f>
        <x:v>20</x:v>
      </x:c>
      <x:c r="D64" s="18" t="str">
        <x:v>חֶ֫רֶב</x:v>
      </x:c>
      <x:c r="E64" s="19" t="str">
        <x:v>ḥereḇ</x:v>
      </x:c>
      <x:c r="F64" s="16" t="str">
        <x:v>חרב</x:v>
      </x:c>
      <x:c r="G64" s="20" t="str">
        <x:v>sword [F]</x:v>
      </x:c>
      <x:c r="H64" s="20" t="str"/>
      <x:c r="I64" s="21" t="str">
        <x:v>BBH2 課序</x:v>
      </x:c>
      <x:c r="J64" s="21" t="n">
        <x:v>5</x:v>
      </x:c>
      <x:c r="K64" s="22" t="n">
        <x:v>413</x:v>
      </x:c>
      <x:c r="L64" s="21" t="str">
        <x:v>H2719</x:v>
      </x:c>
      <x:c r="M64" s="21" t="str">
        <x:v>noun</x:v>
      </x:c>
      <x:c r="N64" s="21" t="str">
        <x:v>否</x:v>
      </x:c>
      <x:c r="O64" s="21" t="str"/>
      <x:c r="P64" s="21" t="str">
        <x:v>source_and_lexicon_matched</x:v>
      </x:c>
      <x:c r="Q64" s="21" t="str">
        <x:v>rule_generated_exception_review</x:v>
      </x:c>
      <x:c r="R64" s="20" t="str">
        <x:v>https://hebrewsyntax.org/bbh2new/</x:v>
      </x:c>
    </x:row>
    <x:row r="65" ht="28" customHeight="1">
      <x:c r="A65" s="21" t="n">
        <x:v>61</x:v>
      </x:c>
      <x:c r="B65" s="21" t="n">
        <x:f>ROUNDUP(A65/20,0)</x:f>
        <x:v>4</x:v>
      </x:c>
      <x:c r="C65" s="21" t="n">
        <x:f>MOD(A65-1,20)+1</x:f>
        <x:v>1</x:v>
      </x:c>
      <x:c r="D65" s="18" t="str">
        <x:v>חַי</x:v>
      </x:c>
      <x:c r="E65" s="19" t="str">
        <x:v>ḥay</x:v>
      </x:c>
      <x:c r="F65" s="16" t="str">
        <x:v>חי</x:v>
      </x:c>
      <x:c r="G65" s="20" t="str">
        <x:v>living, alive</x:v>
      </x:c>
      <x:c r="H65" s="20" t="str"/>
      <x:c r="I65" s="21" t="str">
        <x:v>BBH2 課序</x:v>
      </x:c>
      <x:c r="J65" s="21" t="n">
        <x:v>5</x:v>
      </x:c>
      <x:c r="K65" s="22" t="n">
        <x:v>503</x:v>
      </x:c>
      <x:c r="L65" s="21" t="str">
        <x:v>H2416</x:v>
      </x:c>
      <x:c r="M65" s="21" t="str">
        <x:v>adjective</x:v>
      </x:c>
      <x:c r="N65" s="21" t="str">
        <x:v>否</x:v>
      </x:c>
      <x:c r="O65" s="21" t="str"/>
      <x:c r="P65" s="21" t="str">
        <x:v>source_and_lexicon_matched</x:v>
      </x:c>
      <x:c r="Q65" s="21" t="str">
        <x:v>rule_generated_exception_review</x:v>
      </x:c>
      <x:c r="R65" s="20" t="str">
        <x:v>https://hebrewsyntax.org/bbh2new/</x:v>
      </x:c>
    </x:row>
    <x:row r="66" ht="28" customHeight="1">
      <x:c r="A66" s="21" t="n">
        <x:v>62</x:v>
      </x:c>
      <x:c r="B66" s="21" t="n">
        <x:f>ROUNDUP(A66/20,0)</x:f>
        <x:v>4</x:v>
      </x:c>
      <x:c r="C66" s="21" t="n">
        <x:f>MOD(A66-1,20)+1</x:f>
        <x:v>2</x:v>
      </x:c>
      <x:c r="D66" s="18" t="str">
        <x:v>חַיִּים</x:v>
      </x:c>
      <x:c r="E66" s="19" t="str">
        <x:v>ḥayyîm</x:v>
      </x:c>
      <x:c r="F66" s="16" t="str">
        <x:v>חיים</x:v>
      </x:c>
      <x:c r="G66" s="20" t="str">
        <x:v>life, lifetime</x:v>
      </x:c>
      <x:c r="H66" s="20" t="str"/>
      <x:c r="I66" s="21" t="str">
        <x:v>BBH2 課序</x:v>
      </x:c>
      <x:c r="J66" s="21" t="n">
        <x:v>5</x:v>
      </x:c>
      <x:c r="K66" s="22" t="n">
        <x:v>503</x:v>
      </x:c>
      <x:c r="L66" s="21" t="str">
        <x:v>H2416</x:v>
      </x:c>
      <x:c r="M66" s="21" t="str">
        <x:v>adjective</x:v>
      </x:c>
      <x:c r="N66" s="21" t="str">
        <x:v>否</x:v>
      </x:c>
      <x:c r="O66" s="21" t="str"/>
      <x:c r="P66" s="21" t="str">
        <x:v>source_and_lexicon_matched</x:v>
      </x:c>
      <x:c r="Q66" s="21" t="str">
        <x:v>rule_generated_exception_review</x:v>
      </x:c>
      <x:c r="R66" s="20" t="str">
        <x:v>https://hebrewsyntax.org/bbh2new/</x:v>
      </x:c>
    </x:row>
    <x:row r="67" ht="28" customHeight="1">
      <x:c r="A67" s="21" t="n">
        <x:v>63</x:v>
      </x:c>
      <x:c r="B67" s="21" t="n">
        <x:f>ROUNDUP(A67/20,0)</x:f>
        <x:v>4</x:v>
      </x:c>
      <x:c r="C67" s="21" t="n">
        <x:f>MOD(A67-1,20)+1</x:f>
        <x:v>3</x:v>
      </x:c>
      <x:c r="D67" s="18" t="str">
        <x:v>יֶ֫לֶד</x:v>
      </x:c>
      <x:c r="E67" s="19" t="str">
        <x:v>yeleḏ</x:v>
      </x:c>
      <x:c r="F67" s="16" t="str">
        <x:v>ילד</x:v>
      </x:c>
      <x:c r="G67" s="20" t="str">
        <x:v>child, boy, youth</x:v>
      </x:c>
      <x:c r="H67" s="20" t="str"/>
      <x:c r="I67" s="21" t="str">
        <x:v>BBH2 課序</x:v>
      </x:c>
      <x:c r="J67" s="21" t="n">
        <x:v>5</x:v>
      </x:c>
      <x:c r="K67" s="22" t="n">
        <x:v>90</x:v>
      </x:c>
      <x:c r="L67" s="21" t="str">
        <x:v>H3206</x:v>
      </x:c>
      <x:c r="M67" s="21" t="str">
        <x:v>noun</x:v>
      </x:c>
      <x:c r="N67" s="21" t="str">
        <x:v>否</x:v>
      </x:c>
      <x:c r="O67" s="21" t="str"/>
      <x:c r="P67" s="21" t="str">
        <x:v>source_and_lexicon_matched</x:v>
      </x:c>
      <x:c r="Q67" s="21" t="str">
        <x:v>rule_generated_exception_review</x:v>
      </x:c>
      <x:c r="R67" s="20" t="str">
        <x:v>https://hebrewsyntax.org/bbh2new/</x:v>
      </x:c>
    </x:row>
    <x:row r="68" ht="28" customHeight="1">
      <x:c r="A68" s="21" t="n">
        <x:v>64</x:v>
      </x:c>
      <x:c r="B68" s="21" t="n">
        <x:f>ROUNDUP(A68/20,0)</x:f>
        <x:v>4</x:v>
      </x:c>
      <x:c r="C68" s="21" t="n">
        <x:f>MOD(A68-1,20)+1</x:f>
        <x:v>4</x:v>
      </x:c>
      <x:c r="D68" s="18" t="str">
        <x:v>יָם</x:v>
      </x:c>
      <x:c r="E68" s="19" t="str">
        <x:v>yām</x:v>
      </x:c>
      <x:c r="F68" s="16" t="str">
        <x:v>ים</x:v>
      </x:c>
      <x:c r="G68" s="20" t="str">
        <x:v>sea</x:v>
      </x:c>
      <x:c r="H68" s="20" t="str"/>
      <x:c r="I68" s="21" t="str">
        <x:v>BBH2 課序</x:v>
      </x:c>
      <x:c r="J68" s="21" t="n">
        <x:v>5</x:v>
      </x:c>
      <x:c r="K68" s="22" t="n">
        <x:v>396</x:v>
      </x:c>
      <x:c r="L68" s="21" t="str">
        <x:v>H3220</x:v>
      </x:c>
      <x:c r="M68" s="21" t="str">
        <x:v>noun</x:v>
      </x:c>
      <x:c r="N68" s="21" t="str">
        <x:v>否</x:v>
      </x:c>
      <x:c r="O68" s="21" t="str"/>
      <x:c r="P68" s="21" t="str">
        <x:v>source_and_lexicon_matched</x:v>
      </x:c>
      <x:c r="Q68" s="21" t="str">
        <x:v>rule_generated_exception_review</x:v>
      </x:c>
      <x:c r="R68" s="20" t="str">
        <x:v>https://hebrewsyntax.org/bbh2new/</x:v>
      </x:c>
    </x:row>
    <x:row r="69" ht="28" customHeight="1">
      <x:c r="A69" s="21" t="n">
        <x:v>65</x:v>
      </x:c>
      <x:c r="B69" s="21" t="n">
        <x:f>ROUNDUP(A69/20,0)</x:f>
        <x:v>4</x:v>
      </x:c>
      <x:c r="C69" s="21" t="n">
        <x:f>MOD(A69-1,20)+1</x:f>
        <x:v>5</x:v>
      </x:c>
      <x:c r="D69" s="18" t="str">
        <x:v>יַמִּים</x:v>
      </x:c>
      <x:c r="E69" s="19" t="str">
        <x:v>yammîm</x:v>
      </x:c>
      <x:c r="F69" s="16" t="str">
        <x:v>ימים</x:v>
      </x:c>
      <x:c r="G69" s="20" t="str">
        <x:v>seas</x:v>
      </x:c>
      <x:c r="H69" s="20" t="str"/>
      <x:c r="I69" s="21" t="str">
        <x:v>BBH2 課序</x:v>
      </x:c>
      <x:c r="J69" s="21" t="n">
        <x:v>5</x:v>
      </x:c>
      <x:c r="K69" s="22" t="n">
        <x:v>396</x:v>
      </x:c>
      <x:c r="L69" s="21" t="str">
        <x:v>H3220</x:v>
      </x:c>
      <x:c r="M69" s="21" t="str">
        <x:v>noun</x:v>
      </x:c>
      <x:c r="N69" s="21" t="str">
        <x:v>否</x:v>
      </x:c>
      <x:c r="O69" s="21" t="str"/>
      <x:c r="P69" s="21" t="str">
        <x:v>source_and_lexicon_matched</x:v>
      </x:c>
      <x:c r="Q69" s="21" t="str">
        <x:v>rule_generated_exception_review</x:v>
      </x:c>
      <x:c r="R69" s="20" t="str">
        <x:v>https://hebrewsyntax.org/bbh2new/</x:v>
      </x:c>
    </x:row>
    <x:row r="70" ht="28" customHeight="1">
      <x:c r="A70" s="21" t="n">
        <x:v>66</x:v>
      </x:c>
      <x:c r="B70" s="21" t="n">
        <x:f>ROUNDUP(A70/20,0)</x:f>
        <x:v>4</x:v>
      </x:c>
      <x:c r="C70" s="21" t="n">
        <x:f>MOD(A70-1,20)+1</x:f>
        <x:v>6</x:v>
      </x:c>
      <x:c r="D70" s="18" t="str">
        <x:v>כֶּ֫סֶף</x:v>
      </x:c>
      <x:c r="E70" s="19" t="str">
        <x:v>kesep̄</x:v>
      </x:c>
      <x:c r="F70" s="16" t="str">
        <x:v>כסף</x:v>
      </x:c>
      <x:c r="G70" s="20" t="str">
        <x:v>silver, money</x:v>
      </x:c>
      <x:c r="H70" s="20" t="str"/>
      <x:c r="I70" s="21" t="str">
        <x:v>BBH2 課序</x:v>
      </x:c>
      <x:c r="J70" s="21" t="n">
        <x:v>5</x:v>
      </x:c>
      <x:c r="K70" s="22" t="n">
        <x:v>403</x:v>
      </x:c>
      <x:c r="L70" s="21" t="str">
        <x:v>H3701</x:v>
      </x:c>
      <x:c r="M70" s="21" t="str">
        <x:v>noun</x:v>
      </x:c>
      <x:c r="N70" s="21" t="str">
        <x:v>否</x:v>
      </x:c>
      <x:c r="O70" s="21" t="str"/>
      <x:c r="P70" s="21" t="str">
        <x:v>source_and_lexicon_matched</x:v>
      </x:c>
      <x:c r="Q70" s="21" t="str">
        <x:v>rule_generated_exception_review</x:v>
      </x:c>
      <x:c r="R70" s="20" t="str">
        <x:v>https://hebrewsyntax.org/bbh2new/</x:v>
      </x:c>
    </x:row>
    <x:row r="71" ht="28" customHeight="1">
      <x:c r="A71" s="21" t="n">
        <x:v>67</x:v>
      </x:c>
      <x:c r="B71" s="21" t="n">
        <x:f>ROUNDUP(A71/20,0)</x:f>
        <x:v>4</x:v>
      </x:c>
      <x:c r="C71" s="21" t="n">
        <x:f>MOD(A71-1,20)+1</x:f>
        <x:v>7</x:v>
      </x:c>
      <x:c r="D71" s="18" t="str">
        <x:v>כֹּה</x:v>
      </x:c>
      <x:c r="E71" s="19" t="str">
        <x:v>kô</x:v>
      </x:c>
      <x:c r="F71" s="16" t="str">
        <x:v>כה</x:v>
      </x:c>
      <x:c r="G71" s="20" t="str">
        <x:v>thus, here</x:v>
      </x:c>
      <x:c r="H71" s="20" t="str"/>
      <x:c r="I71" s="21" t="str">
        <x:v>BBH2 課序</x:v>
      </x:c>
      <x:c r="J71" s="21" t="n">
        <x:v>5</x:v>
      </x:c>
      <x:c r="K71" s="22" t="n">
        <x:v>577</x:v>
      </x:c>
      <x:c r="L71" s="21" t="str">
        <x:v>H3541</x:v>
      </x:c>
      <x:c r="M71" s="21" t="str">
        <x:v>adverb</x:v>
      </x:c>
      <x:c r="N71" s="21" t="str">
        <x:v>否</x:v>
      </x:c>
      <x:c r="O71" s="21" t="str"/>
      <x:c r="P71" s="21" t="str">
        <x:v>source_and_lexicon_matched</x:v>
      </x:c>
      <x:c r="Q71" s="21" t="str">
        <x:v>rule_generated_exception_review</x:v>
      </x:c>
      <x:c r="R71" s="20" t="str">
        <x:v>https://hebrewsyntax.org/bbh2new/</x:v>
      </x:c>
    </x:row>
    <x:row r="72" ht="28" customHeight="1">
      <x:c r="A72" s="21" t="n">
        <x:v>68</x:v>
      </x:c>
      <x:c r="B72" s="21" t="n">
        <x:f>ROUNDUP(A72/20,0)</x:f>
        <x:v>4</x:v>
      </x:c>
      <x:c r="C72" s="21" t="n">
        <x:f>MOD(A72-1,20)+1</x:f>
        <x:v>8</x:v>
      </x:c>
      <x:c r="D72" s="18" t="str">
        <x:v>מָקוֹם</x:v>
      </x:c>
      <x:c r="E72" s="19" t="str">
        <x:v>māqôm</x:v>
      </x:c>
      <x:c r="F72" s="16" t="str">
        <x:v>מקום</x:v>
      </x:c>
      <x:c r="G72" s="20" t="str">
        <x:v>place, location</x:v>
      </x:c>
      <x:c r="H72" s="20" t="str"/>
      <x:c r="I72" s="21" t="str">
        <x:v>BBH2 課序</x:v>
      </x:c>
      <x:c r="J72" s="21" t="n">
        <x:v>5</x:v>
      </x:c>
      <x:c r="K72" s="22" t="n">
        <x:v>401</x:v>
      </x:c>
      <x:c r="L72" s="21" t="str">
        <x:v>H4725</x:v>
      </x:c>
      <x:c r="M72" s="21" t="str">
        <x:v>noun</x:v>
      </x:c>
      <x:c r="N72" s="21" t="str">
        <x:v>否</x:v>
      </x:c>
      <x:c r="O72" s="21" t="str"/>
      <x:c r="P72" s="21" t="str">
        <x:v>source_and_lexicon_matched</x:v>
      </x:c>
      <x:c r="Q72" s="21" t="str">
        <x:v>rule_generated_exception_review</x:v>
      </x:c>
      <x:c r="R72" s="20" t="str">
        <x:v>https://hebrewsyntax.org/bbh2new/</x:v>
      </x:c>
    </x:row>
    <x:row r="73" ht="28" customHeight="1">
      <x:c r="A73" s="21" t="n">
        <x:v>69</x:v>
      </x:c>
      <x:c r="B73" s="21" t="n">
        <x:f>ROUNDUP(A73/20,0)</x:f>
        <x:v>4</x:v>
      </x:c>
      <x:c r="C73" s="21" t="n">
        <x:f>MOD(A73-1,20)+1</x:f>
        <x:v>9</x:v>
      </x:c>
      <x:c r="D73" s="18" t="str">
        <x:v>מִשְׁפָּט</x:v>
      </x:c>
      <x:c r="E73" s="19" t="str">
        <x:v>mišpāṭ</x:v>
      </x:c>
      <x:c r="F73" s="16" t="str">
        <x:v>משפט</x:v>
      </x:c>
      <x:c r="G73" s="20" t="str">
        <x:v>judgment, decision, ordinance, law, custom, manner</x:v>
      </x:c>
      <x:c r="H73" s="20" t="str"/>
      <x:c r="I73" s="21" t="str">
        <x:v>BBH2 課序</x:v>
      </x:c>
      <x:c r="J73" s="21" t="n">
        <x:v>5</x:v>
      </x:c>
      <x:c r="K73" s="22" t="n">
        <x:v>424</x:v>
      </x:c>
      <x:c r="L73" s="21" t="str">
        <x:v>H4941</x:v>
      </x:c>
      <x:c r="M73" s="21" t="str">
        <x:v>noun</x:v>
      </x:c>
      <x:c r="N73" s="21" t="str">
        <x:v>否</x:v>
      </x:c>
      <x:c r="O73" s="21" t="str"/>
      <x:c r="P73" s="21" t="str">
        <x:v>source_and_lexicon_matched</x:v>
      </x:c>
      <x:c r="Q73" s="21" t="str">
        <x:v>rule_generated_exception_review</x:v>
      </x:c>
      <x:c r="R73" s="20" t="str">
        <x:v>https://hebrewsyntax.org/bbh2new/</x:v>
      </x:c>
    </x:row>
    <x:row r="74" ht="28" customHeight="1">
      <x:c r="A74" s="21" t="n">
        <x:v>70</x:v>
      </x:c>
      <x:c r="B74" s="21" t="n">
        <x:f>ROUNDUP(A74/20,0)</x:f>
        <x:v>4</x:v>
      </x:c>
      <x:c r="C74" s="21" t="n">
        <x:f>MOD(A74-1,20)+1</x:f>
        <x:v>10</x:v>
      </x:c>
      <x:c r="D74" s="18" t="str">
        <x:v>מִזְבֵּחַ</x:v>
      </x:c>
      <x:c r="E74" s="19" t="str">
        <x:v>mizbēaḥ</x:v>
      </x:c>
      <x:c r="F74" s="16" t="str">
        <x:v>מזבח</x:v>
      </x:c>
      <x:c r="G74" s="20" t="str">
        <x:v>altar</x:v>
      </x:c>
      <x:c r="H74" s="20" t="str"/>
      <x:c r="I74" s="21" t="str">
        <x:v>BBH2 課序</x:v>
      </x:c>
      <x:c r="J74" s="21" t="n">
        <x:v>5</x:v>
      </x:c>
      <x:c r="K74" s="22" t="n">
        <x:v>403</x:v>
      </x:c>
      <x:c r="L74" s="21" t="str">
        <x:v>H4196</x:v>
      </x:c>
      <x:c r="M74" s="21" t="str">
        <x:v>noun</x:v>
      </x:c>
      <x:c r="N74" s="21" t="str">
        <x:v>否</x:v>
      </x:c>
      <x:c r="O74" s="21" t="str"/>
      <x:c r="P74" s="21" t="str">
        <x:v>source_and_lexicon_matched</x:v>
      </x:c>
      <x:c r="Q74" s="21" t="str">
        <x:v>rule_generated_exception_review</x:v>
      </x:c>
      <x:c r="R74" s="20" t="str">
        <x:v>https://hebrewsyntax.org/bbh2new/</x:v>
      </x:c>
    </x:row>
    <x:row r="75" ht="28" customHeight="1">
      <x:c r="A75" s="21" t="n">
        <x:v>71</x:v>
      </x:c>
      <x:c r="B75" s="21" t="n">
        <x:f>ROUNDUP(A75/20,0)</x:f>
        <x:v>4</x:v>
      </x:c>
      <x:c r="C75" s="21" t="n">
        <x:f>MOD(A75-1,20)+1</x:f>
        <x:v>11</x:v>
      </x:c>
      <x:c r="D75" s="18" t="str">
        <x:v>נְאֻם</x:v>
      </x:c>
      <x:c r="E75" s="19" t="str">
        <x:v>nəʾum</x:v>
      </x:c>
      <x:c r="F75" s="16" t="str">
        <x:v>נאם</x:v>
      </x:c>
      <x:c r="G75" s="20" t="str">
        <x:v>utterance, announcement, revelation</x:v>
      </x:c>
      <x:c r="H75" s="20" t="str"/>
      <x:c r="I75" s="21" t="str">
        <x:v>BBH2 課序</x:v>
      </x:c>
      <x:c r="J75" s="21" t="n">
        <x:v>5</x:v>
      </x:c>
      <x:c r="K75" s="22" t="n">
        <x:v>376</x:v>
      </x:c>
      <x:c r="L75" s="21" t="str">
        <x:v>H5002</x:v>
      </x:c>
      <x:c r="M75" s="21" t="str">
        <x:v>noun</x:v>
      </x:c>
      <x:c r="N75" s="21" t="str">
        <x:v>否</x:v>
      </x:c>
      <x:c r="O75" s="21" t="str"/>
      <x:c r="P75" s="21" t="str">
        <x:v>source_and_lexicon_matched</x:v>
      </x:c>
      <x:c r="Q75" s="21" t="str">
        <x:v>rule_generated_exception_review</x:v>
      </x:c>
      <x:c r="R75" s="20" t="str">
        <x:v>https://hebrewsyntax.org/bbh2new/</x:v>
      </x:c>
    </x:row>
    <x:row r="76" ht="28" customHeight="1">
      <x:c r="A76" s="21" t="n">
        <x:v>72</x:v>
      </x:c>
      <x:c r="B76" s="21" t="n">
        <x:f>ROUNDUP(A76/20,0)</x:f>
        <x:v>4</x:v>
      </x:c>
      <x:c r="C76" s="21" t="n">
        <x:f>MOD(A76-1,20)+1</x:f>
        <x:v>12</x:v>
      </x:c>
      <x:c r="D76" s="18" t="str">
        <x:v>עוֹלָם</x:v>
      </x:c>
      <x:c r="E76" s="19" t="str">
        <x:v>ʿôlām</x:v>
      </x:c>
      <x:c r="F76" s="16" t="str">
        <x:v>עולם</x:v>
      </x:c>
      <x:c r="G76" s="20" t="str">
        <x:v>forever, everlasting, ancient</x:v>
      </x:c>
      <x:c r="H76" s="20" t="str"/>
      <x:c r="I76" s="21" t="str">
        <x:v>BBH2 課序</x:v>
      </x:c>
      <x:c r="J76" s="21" t="n">
        <x:v>5</x:v>
      </x:c>
      <x:c r="K76" s="22" t="n">
        <x:v>438</x:v>
      </x:c>
      <x:c r="L76" s="21" t="str">
        <x:v>H5769</x:v>
      </x:c>
      <x:c r="M76" s="21" t="str">
        <x:v>noun</x:v>
      </x:c>
      <x:c r="N76" s="21" t="str">
        <x:v>否</x:v>
      </x:c>
      <x:c r="O76" s="21" t="str"/>
      <x:c r="P76" s="21" t="str">
        <x:v>source_and_lexicon_matched</x:v>
      </x:c>
      <x:c r="Q76" s="21" t="str">
        <x:v>rule_generated_exception_review</x:v>
      </x:c>
      <x:c r="R76" s="20" t="str">
        <x:v>https://hebrewsyntax.org/bbh2new/</x:v>
      </x:c>
    </x:row>
    <x:row r="77" ht="28" customHeight="1">
      <x:c r="A77" s="21" t="n">
        <x:v>73</x:v>
      </x:c>
      <x:c r="B77" s="21" t="n">
        <x:f>ROUNDUP(A77/20,0)</x:f>
        <x:v>4</x:v>
      </x:c>
      <x:c r="C77" s="21" t="n">
        <x:f>MOD(A77-1,20)+1</x:f>
        <x:v>13</x:v>
      </x:c>
      <x:c r="D77" s="18" t="str">
        <x:v>עָנָן</x:v>
      </x:c>
      <x:c r="E77" s="19" t="str">
        <x:v>ʿānān</x:v>
      </x:c>
      <x:c r="F77" s="16" t="str">
        <x:v>ענן</x:v>
      </x:c>
      <x:c r="G77" s="20" t="str">
        <x:v>clouds, cloud mass</x:v>
      </x:c>
      <x:c r="H77" s="20" t="str"/>
      <x:c r="I77" s="21" t="str">
        <x:v>BBH2 課序</x:v>
      </x:c>
      <x:c r="J77" s="21" t="n">
        <x:v>5</x:v>
      </x:c>
      <x:c r="K77" s="22" t="n">
        <x:v>87</x:v>
      </x:c>
      <x:c r="L77" s="21" t="str">
        <x:v>H6051</x:v>
      </x:c>
      <x:c r="M77" s="21" t="str">
        <x:v>noun</x:v>
      </x:c>
      <x:c r="N77" s="21" t="str">
        <x:v>否</x:v>
      </x:c>
      <x:c r="O77" s="21" t="str"/>
      <x:c r="P77" s="21" t="str">
        <x:v>source_and_lexicon_matched</x:v>
      </x:c>
      <x:c r="Q77" s="21" t="str">
        <x:v>rule_generated_exception_review</x:v>
      </x:c>
      <x:c r="R77" s="20" t="str">
        <x:v>https://hebrewsyntax.org/bbh2new/</x:v>
      </x:c>
    </x:row>
    <x:row r="78" ht="28" customHeight="1">
      <x:c r="A78" s="21" t="n">
        <x:v>74</x:v>
      </x:c>
      <x:c r="B78" s="21" t="n">
        <x:f>ROUNDUP(A78/20,0)</x:f>
        <x:v>4</x:v>
      </x:c>
      <x:c r="C78" s="21" t="n">
        <x:f>MOD(A78-1,20)+1</x:f>
        <x:v>14</x:v>
      </x:c>
      <x:c r="D78" s="18" t="str">
        <x:v>רוּחַ</x:v>
      </x:c>
      <x:c r="E78" s="19" t="str">
        <x:v>rûaḥ</x:v>
      </x:c>
      <x:c r="F78" s="16" t="str">
        <x:v>רוח</x:v>
      </x:c>
      <x:c r="G78" s="20" t="str">
        <x:v>spirit, wind, breath [F]</x:v>
      </x:c>
      <x:c r="H78" s="20" t="str"/>
      <x:c r="I78" s="21" t="str">
        <x:v>BBH2 課序</x:v>
      </x:c>
      <x:c r="J78" s="21" t="n">
        <x:v>5</x:v>
      </x:c>
      <x:c r="K78" s="22" t="n">
        <x:v>378</x:v>
      </x:c>
      <x:c r="L78" s="21" t="str">
        <x:v>H7307</x:v>
      </x:c>
      <x:c r="M78" s="21" t="str">
        <x:v>noun</x:v>
      </x:c>
      <x:c r="N78" s="21" t="str">
        <x:v>否</x:v>
      </x:c>
      <x:c r="O78" s="21" t="str"/>
      <x:c r="P78" s="21" t="str">
        <x:v>source_and_lexicon_matched</x:v>
      </x:c>
      <x:c r="Q78" s="21" t="str">
        <x:v>rule_generated_exception_review</x:v>
      </x:c>
      <x:c r="R78" s="20" t="str">
        <x:v>https://hebrewsyntax.org/bbh2new/</x:v>
      </x:c>
    </x:row>
    <x:row r="79" ht="28" customHeight="1">
      <x:c r="A79" s="21" t="n">
        <x:v>75</x:v>
      </x:c>
      <x:c r="B79" s="21" t="n">
        <x:f>ROUNDUP(A79/20,0)</x:f>
        <x:v>4</x:v>
      </x:c>
      <x:c r="C79" s="21" t="n">
        <x:f>MOD(A79-1,20)+1</x:f>
        <x:v>15</x:v>
      </x:c>
      <x:c r="D79" s="18" t="str">
        <x:v>שַׂר</x:v>
      </x:c>
      <x:c r="E79" s="19" t="str">
        <x:v>śar</x:v>
      </x:c>
      <x:c r="F79" s="16" t="str">
        <x:v>שר</x:v>
      </x:c>
      <x:c r="G79" s="20" t="str">
        <x:v>chief official, ruler, prince</x:v>
      </x:c>
      <x:c r="H79" s="20" t="str"/>
      <x:c r="I79" s="21" t="str">
        <x:v>BBH2 課序</x:v>
      </x:c>
      <x:c r="J79" s="21" t="n">
        <x:v>5</x:v>
      </x:c>
      <x:c r="K79" s="22" t="n">
        <x:v>421</x:v>
      </x:c>
      <x:c r="L79" s="21" t="str">
        <x:v>H8269</x:v>
      </x:c>
      <x:c r="M79" s="21" t="str">
        <x:v>noun</x:v>
      </x:c>
      <x:c r="N79" s="21" t="str">
        <x:v>否</x:v>
      </x:c>
      <x:c r="O79" s="21" t="str"/>
      <x:c r="P79" s="21" t="str">
        <x:v>source_and_lexicon_matched</x:v>
      </x:c>
      <x:c r="Q79" s="21" t="str">
        <x:v>rule_generated_exception_review</x:v>
      </x:c>
      <x:c r="R79" s="20" t="str">
        <x:v>https://hebrewsyntax.org/bbh2new/</x:v>
      </x:c>
    </x:row>
    <x:row r="80" ht="28" customHeight="1">
      <x:c r="A80" s="21" t="n">
        <x:v>76</x:v>
      </x:c>
      <x:c r="B80" s="21" t="n">
        <x:f>ROUNDUP(A80/20,0)</x:f>
        <x:v>4</x:v>
      </x:c>
      <x:c r="C80" s="21" t="n">
        <x:f>MOD(A80-1,20)+1</x:f>
        <x:v>16</x:v>
      </x:c>
      <x:c r="D80" s="18" t="str">
        <x:v>שַׁ֫עַר</x:v>
      </x:c>
      <x:c r="E80" s="19" t="str">
        <x:v>šaʿar</x:v>
      </x:c>
      <x:c r="F80" s="16" t="str">
        <x:v>שער</x:v>
      </x:c>
      <x:c r="G80" s="20" t="str">
        <x:v>gate</x:v>
      </x:c>
      <x:c r="H80" s="20" t="str"/>
      <x:c r="I80" s="21" t="str">
        <x:v>BBH2 課序</x:v>
      </x:c>
      <x:c r="J80" s="21" t="n">
        <x:v>5</x:v>
      </x:c>
      <x:c r="K80" s="22" t="n">
        <x:v>375</x:v>
      </x:c>
      <x:c r="L80" s="21" t="str">
        <x:v>H8179</x:v>
      </x:c>
      <x:c r="M80" s="21" t="str">
        <x:v>noun</x:v>
      </x:c>
      <x:c r="N80" s="21" t="str">
        <x:v>否</x:v>
      </x:c>
      <x:c r="O80" s="21" t="str"/>
      <x:c r="P80" s="21" t="str">
        <x:v>source_and_lexicon_matched</x:v>
      </x:c>
      <x:c r="Q80" s="21" t="str">
        <x:v>rule_generated_exception_review</x:v>
      </x:c>
      <x:c r="R80" s="20" t="str">
        <x:v>https://hebrewsyntax.org/bbh2new/</x:v>
      </x:c>
    </x:row>
    <x:row r="81" ht="28" customHeight="1">
      <x:c r="A81" s="21" t="n">
        <x:v>77</x:v>
      </x:c>
      <x:c r="B81" s="21" t="n">
        <x:f>ROUNDUP(A81/20,0)</x:f>
        <x:v>4</x:v>
      </x:c>
      <x:c r="C81" s="21" t="n">
        <x:f>MOD(A81-1,20)+1</x:f>
        <x:v>17</x:v>
      </x:c>
      <x:c r="D81" s="18" t="str">
        <x:v>שָׁמַ֫יִם</x:v>
      </x:c>
      <x:c r="E81" s="19" t="str">
        <x:v>šāmayim</x:v>
      </x:c>
      <x:c r="F81" s="16" t="str">
        <x:v>שמים</x:v>
      </x:c>
      <x:c r="G81" s="20" t="str">
        <x:v>heaven, sky</x:v>
      </x:c>
      <x:c r="H81" s="20" t="str"/>
      <x:c r="I81" s="21" t="str">
        <x:v>BBH2 課序</x:v>
      </x:c>
      <x:c r="J81" s="21" t="n">
        <x:v>5</x:v>
      </x:c>
      <x:c r="K81" s="22" t="n">
        <x:v>421</x:v>
      </x:c>
      <x:c r="L81" s="21" t="str">
        <x:v>H8064</x:v>
      </x:c>
      <x:c r="M81" s="21" t="str">
        <x:v>noun</x:v>
      </x:c>
      <x:c r="N81" s="21" t="str">
        <x:v>否</x:v>
      </x:c>
      <x:c r="O81" s="21" t="str"/>
      <x:c r="P81" s="21" t="str">
        <x:v>source_and_lexicon_matched</x:v>
      </x:c>
      <x:c r="Q81" s="21" t="str">
        <x:v>rule_generated_exception_review</x:v>
      </x:c>
      <x:c r="R81" s="20" t="str">
        <x:v>https://hebrewsyntax.org/bbh2new/</x:v>
      </x:c>
    </x:row>
    <x:row r="82" ht="28" customHeight="1">
      <x:c r="A82" s="21" t="n">
        <x:v>78</x:v>
      </x:c>
      <x:c r="B82" s="21" t="n">
        <x:f>ROUNDUP(A82/20,0)</x:f>
        <x:v>4</x:v>
      </x:c>
      <x:c r="C82" s="21" t="n">
        <x:f>MOD(A82-1,20)+1</x:f>
        <x:v>18</x:v>
      </x:c>
      <x:c r="D82" s="18" t="str">
        <x:v>אַחַר</x:v>
      </x:c>
      <x:c r="E82" s="19" t="str">
        <x:v>ʾaḥar</x:v>
      </x:c>
      <x:c r="F82" s="16" t="str">
        <x:v>אחר</x:v>
      </x:c>
      <x:c r="G82" s="20" t="str">
        <x:v>after, behind</x:v>
      </x:c>
      <x:c r="H82" s="20" t="str"/>
      <x:c r="I82" s="21" t="str">
        <x:v>BBH2 課序</x:v>
      </x:c>
      <x:c r="J82" s="21" t="n">
        <x:v>6</x:v>
      </x:c>
      <x:c r="K82" s="22" t="n">
        <x:v>718</x:v>
      </x:c>
      <x:c r="L82" s="21" t="str">
        <x:v>H310</x:v>
      </x:c>
      <x:c r="M82" s="21" t="str">
        <x:v>preposition</x:v>
      </x:c>
      <x:c r="N82" s="21" t="str">
        <x:v>否</x:v>
      </x:c>
      <x:c r="O82" s="21" t="str"/>
      <x:c r="P82" s="21" t="str">
        <x:v>source_and_lexicon_matched</x:v>
      </x:c>
      <x:c r="Q82" s="21" t="str">
        <x:v>rule_generated_exception_review</x:v>
      </x:c>
      <x:c r="R82" s="20" t="str">
        <x:v>https://hebrewsyntax.org/bbh2new/</x:v>
      </x:c>
    </x:row>
    <x:row r="83" ht="28" customHeight="1">
      <x:c r="A83" s="21" t="n">
        <x:v>79</x:v>
      </x:c>
      <x:c r="B83" s="21" t="n">
        <x:f>ROUNDUP(A83/20,0)</x:f>
        <x:v>4</x:v>
      </x:c>
      <x:c r="C83" s="21" t="n">
        <x:f>MOD(A83-1,20)+1</x:f>
        <x:v>19</x:v>
      </x:c>
      <x:c r="D83" s="18" t="str">
        <x:v>אַחֲרֵי</x:v>
      </x:c>
      <x:c r="E83" s="19" t="str">
        <x:v>ʾaḥărê</x:v>
      </x:c>
      <x:c r="F83" s="16" t="str">
        <x:v>אחרי</x:v>
      </x:c>
      <x:c r="G83" s="20" t="str">
        <x:v>after, behind</x:v>
      </x:c>
      <x:c r="H83" s="20" t="str"/>
      <x:c r="I83" s="21" t="str">
        <x:v>BBH2 課序</x:v>
      </x:c>
      <x:c r="J83" s="21" t="n">
        <x:v>6</x:v>
      </x:c>
      <x:c r="K83" s="22" t="n">
        <x:v>718</x:v>
      </x:c>
      <x:c r="L83" s="21" t="str">
        <x:v>H310</x:v>
      </x:c>
      <x:c r="M83" s="21" t="str">
        <x:v>preposition</x:v>
      </x:c>
      <x:c r="N83" s="21" t="str">
        <x:v>否</x:v>
      </x:c>
      <x:c r="O83" s="21" t="str"/>
      <x:c r="P83" s="21" t="str">
        <x:v>source_and_lexicon_matched</x:v>
      </x:c>
      <x:c r="Q83" s="21" t="str">
        <x:v>rule_generated_exception_review</x:v>
      </x:c>
      <x:c r="R83" s="20" t="str">
        <x:v>https://hebrewsyntax.org/bbh2new/</x:v>
      </x:c>
    </x:row>
    <x:row r="84" ht="28" customHeight="1">
      <x:c r="A84" s="21" t="n">
        <x:v>80</x:v>
      </x:c>
      <x:c r="B84" s="21" t="n">
        <x:f>ROUNDUP(A84/20,0)</x:f>
        <x:v>4</x:v>
      </x:c>
      <x:c r="C84" s="21" t="n">
        <x:f>MOD(A84-1,20)+1</x:f>
        <x:v>20</x:v>
      </x:c>
      <x:c r="D84" s="18" t="str">
        <x:v>אֵת/אֶת־</x:v>
      </x:c>
      <x:c r="E84" s="19" t="str">
        <x:v>ʾēṯ/ʾeṯ-</x:v>
      </x:c>
      <x:c r="F84" s="16" t="str">
        <x:v>את</x:v>
      </x:c>
      <x:c r="G84" s="20" t="str">
        <x:v>preposition: with, beside; particle: definite direct object marker</x:v>
      </x:c>
      <x:c r="H84" s="20" t="str"/>
      <x:c r="I84" s="21" t="str">
        <x:v>BBH2 課序</x:v>
      </x:c>
      <x:c r="J84" s="21" t="n">
        <x:v>6</x:v>
      </x:c>
      <x:c r="K84" s="22" t="n">
        <x:v>10979</x:v>
      </x:c>
      <x:c r="L84" s="21" t="str">
        <x:v>H853</x:v>
      </x:c>
      <x:c r="M84" s="21" t="str">
        <x:v>particle_or_preposition</x:v>
      </x:c>
      <x:c r="N84" s="21" t="str">
        <x:v>否</x:v>
      </x:c>
      <x:c r="O84" s="21" t="str"/>
      <x:c r="P84" s="21" t="str">
        <x:v>source_and_lexicon_matched</x:v>
      </x:c>
      <x:c r="Q84" s="21" t="str">
        <x:v>rule_generated_exception_review</x:v>
      </x:c>
      <x:c r="R84" s="20" t="str">
        <x:v>https://hebrewsyntax.org/bbh2new/</x:v>
      </x:c>
    </x:row>
    <x:row r="85" ht="28" customHeight="1">
      <x:c r="A85" s="21" t="n">
        <x:v>81</x:v>
      </x:c>
      <x:c r="B85" s="21" t="n">
        <x:f>ROUNDUP(A85/20,0)</x:f>
        <x:v>5</x:v>
      </x:c>
      <x:c r="C85" s="21" t="n">
        <x:f>MOD(A85-1,20)+1</x:f>
        <x:v>1</x:v>
      </x:c>
      <x:c r="D85" s="18" t="str">
        <x:v>אֶל/אֶל־</x:v>
      </x:c>
      <x:c r="E85" s="19" t="str">
        <x:v>ʾel/ʾel-</x:v>
      </x:c>
      <x:c r="F85" s="16" t="str">
        <x:v>אל</x:v>
      </x:c>
      <x:c r="G85" s="20" t="str">
        <x:v>to, toward, in, into</x:v>
      </x:c>
      <x:c r="H85" s="20" t="str"/>
      <x:c r="I85" s="21" t="str">
        <x:v>BBH2 課序</x:v>
      </x:c>
      <x:c r="J85" s="21" t="n">
        <x:v>6</x:v>
      </x:c>
      <x:c r="K85" s="22" t="n">
        <x:v>5516</x:v>
      </x:c>
      <x:c r="L85" s="21" t="str">
        <x:v>H413</x:v>
      </x:c>
      <x:c r="M85" s="21" t="str">
        <x:v>preposition</x:v>
      </x:c>
      <x:c r="N85" s="21" t="str">
        <x:v>否</x:v>
      </x:c>
      <x:c r="O85" s="21" t="str"/>
      <x:c r="P85" s="21" t="str">
        <x:v>source_and_lexicon_matched</x:v>
      </x:c>
      <x:c r="Q85" s="21" t="str">
        <x:v>rule_generated_exception_review</x:v>
      </x:c>
      <x:c r="R85" s="20" t="str">
        <x:v>https://hebrewsyntax.org/bbh2new/</x:v>
      </x:c>
    </x:row>
    <x:row r="86" ht="28" customHeight="1">
      <x:c r="A86" s="21" t="n">
        <x:v>82</x:v>
      </x:c>
      <x:c r="B86" s="21" t="n">
        <x:f>ROUNDUP(A86/20,0)</x:f>
        <x:v>5</x:v>
      </x:c>
      <x:c r="C86" s="21" t="n">
        <x:f>MOD(A86-1,20)+1</x:f>
        <x:v>2</x:v>
      </x:c>
      <x:c r="D86" s="18" t="str">
        <x:v>בֵּין</x:v>
      </x:c>
      <x:c r="E86" s="19" t="str">
        <x:v>bên</x:v>
      </x:c>
      <x:c r="F86" s="16" t="str">
        <x:v>בין</x:v>
      </x:c>
      <x:c r="G86" s="20" t="str">
        <x:v>between</x:v>
      </x:c>
      <x:c r="H86" s="20" t="str"/>
      <x:c r="I86" s="21" t="str">
        <x:v>BBH2 課序</x:v>
      </x:c>
      <x:c r="J86" s="21" t="n">
        <x:v>6</x:v>
      </x:c>
      <x:c r="K86" s="22" t="n">
        <x:v>410</x:v>
      </x:c>
      <x:c r="L86" s="21" t="str">
        <x:v>H996</x:v>
      </x:c>
      <x:c r="M86" s="21" t="str">
        <x:v>preposition</x:v>
      </x:c>
      <x:c r="N86" s="21" t="str">
        <x:v>否</x:v>
      </x:c>
      <x:c r="O86" s="21" t="str"/>
      <x:c r="P86" s="21" t="str">
        <x:v>source_and_lexicon_matched</x:v>
      </x:c>
      <x:c r="Q86" s="21" t="str">
        <x:v>rule_generated_exception_review</x:v>
      </x:c>
      <x:c r="R86" s="20" t="str">
        <x:v>https://hebrewsyntax.org/bbh2new/</x:v>
      </x:c>
    </x:row>
    <x:row r="87" ht="28" customHeight="1">
      <x:c r="A87" s="21" t="n">
        <x:v>83</x:v>
      </x:c>
      <x:c r="B87" s="21" t="n">
        <x:f>ROUNDUP(A87/20,0)</x:f>
        <x:v>5</x:v>
      </x:c>
      <x:c r="C87" s="21" t="n">
        <x:f>MOD(A87-1,20)+1</x:f>
        <x:v>3</x:v>
      </x:c>
      <x:c r="D87" s="18" t="str">
        <x:v>וּבֵין</x:v>
      </x:c>
      <x:c r="E87" s="19" t="str">
        <x:v>ûḇên</x:v>
      </x:c>
      <x:c r="F87" s="16" t="str">
        <x:v>ובין</x:v>
      </x:c>
      <x:c r="G87" s="20" t="str">
        <x:v>and between</x:v>
      </x:c>
      <x:c r="H87" s="20" t="str"/>
      <x:c r="I87" s="21" t="str">
        <x:v>BBH2 課序</x:v>
      </x:c>
      <x:c r="J87" s="21" t="n">
        <x:v>6</x:v>
      </x:c>
      <x:c r="K87" s="22" t="n">
        <x:v>410</x:v>
      </x:c>
      <x:c r="L87" s="21" t="str">
        <x:v>H996</x:v>
      </x:c>
      <x:c r="M87" s="21" t="str">
        <x:v>preposition</x:v>
      </x:c>
      <x:c r="N87" s="21" t="str">
        <x:v>否</x:v>
      </x:c>
      <x:c r="O87" s="21" t="str"/>
      <x:c r="P87" s="21" t="str">
        <x:v>source_and_lexicon_matched</x:v>
      </x:c>
      <x:c r="Q87" s="21" t="str">
        <x:v>rule_generated_exception_review</x:v>
      </x:c>
      <x:c r="R87" s="20" t="str">
        <x:v>https://hebrewsyntax.org/bbh2new/</x:v>
      </x:c>
    </x:row>
    <x:row r="88" ht="28" customHeight="1">
      <x:c r="A88" s="21" t="n">
        <x:v>84</x:v>
      </x:c>
      <x:c r="B88" s="21" t="n">
        <x:f>ROUNDUP(A88/20,0)</x:f>
        <x:v>5</x:v>
      </x:c>
      <x:c r="C88" s="21" t="n">
        <x:f>MOD(A88-1,20)+1</x:f>
        <x:v>4</x:v>
      </x:c>
      <x:c r="D88" s="18" t="str">
        <x:v>בְּ</x:v>
      </x:c>
      <x:c r="E88" s="19" t="str">
        <x:v>bə</x:v>
      </x:c>
      <x:c r="F88" s="16" t="str">
        <x:v>ב</x:v>
      </x:c>
      <x:c r="G88" s="20" t="str">
        <x:v>in, at, with, by, against</x:v>
      </x:c>
      <x:c r="H88" s="20" t="str"/>
      <x:c r="I88" s="21" t="str">
        <x:v>BBH2 課序</x:v>
      </x:c>
      <x:c r="J88" s="21" t="n">
        <x:v>6</x:v>
      </x:c>
      <x:c r="K88" s="22"/>
      <x:c r="L88" s="21" t="str"/>
      <x:c r="M88" s="21" t="str">
        <x:v>preposition</x:v>
      </x:c>
      <x:c r="N88" s="21" t="str">
        <x:v>否</x:v>
      </x:c>
      <x:c r="O88" s="21" t="str"/>
      <x:c r="P88" s="21" t="str">
        <x:v>source_verified</x:v>
      </x:c>
      <x:c r="Q88" s="21" t="str">
        <x:v>rule_generated_exception_review</x:v>
      </x:c>
      <x:c r="R88" s="20" t="str">
        <x:v>https://hebrewsyntax.org/bbh2new/</x:v>
      </x:c>
    </x:row>
    <x:row r="89" ht="28" customHeight="1">
      <x:c r="A89" s="21" t="n">
        <x:v>85</x:v>
      </x:c>
      <x:c r="B89" s="21" t="n">
        <x:f>ROUNDUP(A89/20,0)</x:f>
        <x:v>5</x:v>
      </x:c>
      <x:c r="C89" s="21" t="n">
        <x:f>MOD(A89-1,20)+1</x:f>
        <x:v>5</x:v>
      </x:c>
      <x:c r="D89" s="18" t="str">
        <x:v>בְּתוֹךְ</x:v>
      </x:c>
      <x:c r="E89" s="19" t="str">
        <x:v>bəṯôḵ</x:v>
      </x:c>
      <x:c r="F89" s="16" t="str">
        <x:v>בתוך</x:v>
      </x:c>
      <x:c r="G89" s="20" t="str">
        <x:v>in the middle of, inside</x:v>
      </x:c>
      <x:c r="H89" s="20" t="str"/>
      <x:c r="I89" s="21" t="str">
        <x:v>BBH2 課序</x:v>
      </x:c>
      <x:c r="J89" s="21" t="n">
        <x:v>6</x:v>
      </x:c>
      <x:c r="K89" s="22" t="n">
        <x:v>420</x:v>
      </x:c>
      <x:c r="L89" s="21" t="str">
        <x:v>H8432</x:v>
      </x:c>
      <x:c r="M89" s="21" t="str">
        <x:v>noun</x:v>
      </x:c>
      <x:c r="N89" s="21" t="str">
        <x:v>否</x:v>
      </x:c>
      <x:c r="O89" s="21" t="str"/>
      <x:c r="P89" s="21" t="str">
        <x:v>source_and_lexicon_matched</x:v>
      </x:c>
      <x:c r="Q89" s="21" t="str">
        <x:v>rule_generated_exception_review</x:v>
      </x:c>
      <x:c r="R89" s="20" t="str">
        <x:v>https://hebrewsyntax.org/bbh2new/</x:v>
      </x:c>
    </x:row>
    <x:row r="90" ht="28" customHeight="1">
      <x:c r="A90" s="21" t="n">
        <x:v>86</x:v>
      </x:c>
      <x:c r="B90" s="21" t="n">
        <x:f>ROUNDUP(A90/20,0)</x:f>
        <x:v>5</x:v>
      </x:c>
      <x:c r="C90" s="21" t="n">
        <x:f>MOD(A90-1,20)+1</x:f>
        <x:v>6</x:v>
      </x:c>
      <x:c r="D90" s="18" t="str">
        <x:v>תָּ֫וֶךְ</x:v>
      </x:c>
      <x:c r="E90" s="19" t="str">
        <x:v>tāweḵ</x:v>
      </x:c>
      <x:c r="F90" s="16" t="str">
        <x:v>תוך</x:v>
      </x:c>
      <x:c r="G90" s="20" t="str">
        <x:v>noun: middle, center</x:v>
      </x:c>
      <x:c r="H90" s="20" t="str"/>
      <x:c r="I90" s="21" t="str">
        <x:v>BBH2 課序</x:v>
      </x:c>
      <x:c r="J90" s="21" t="n">
        <x:v>6</x:v>
      </x:c>
      <x:c r="K90" s="22" t="n">
        <x:v>420</x:v>
      </x:c>
      <x:c r="L90" s="21" t="str">
        <x:v>H8432</x:v>
      </x:c>
      <x:c r="M90" s="21" t="str">
        <x:v>noun</x:v>
      </x:c>
      <x:c r="N90" s="21" t="str">
        <x:v>否</x:v>
      </x:c>
      <x:c r="O90" s="21" t="str"/>
      <x:c r="P90" s="21" t="str">
        <x:v>source_and_lexicon_matched</x:v>
      </x:c>
      <x:c r="Q90" s="21" t="str">
        <x:v>rule_generated_exception_review</x:v>
      </x:c>
      <x:c r="R90" s="20" t="str">
        <x:v>https://hebrewsyntax.org/bbh2new/</x:v>
      </x:c>
    </x:row>
    <x:row r="91" ht="28" customHeight="1">
      <x:c r="A91" s="21" t="n">
        <x:v>87</x:v>
      </x:c>
      <x:c r="B91" s="21" t="n">
        <x:f>ROUNDUP(A91/20,0)</x:f>
        <x:v>5</x:v>
      </x:c>
      <x:c r="C91" s="21" t="n">
        <x:f>MOD(A91-1,20)+1</x:f>
        <x:v>7</x:v>
      </x:c>
      <x:c r="D91" s="18" t="str">
        <x:v>חָכְמָה</x:v>
      </x:c>
      <x:c r="E91" s="19" t="str">
        <x:v>ḥoḵmâ</x:v>
      </x:c>
      <x:c r="F91" s="16" t="str">
        <x:v>חכמה</x:v>
      </x:c>
      <x:c r="G91" s="20" t="str">
        <x:v>wisdom, skill</x:v>
      </x:c>
      <x:c r="H91" s="20" t="str"/>
      <x:c r="I91" s="21" t="str">
        <x:v>BBH2 課序</x:v>
      </x:c>
      <x:c r="J91" s="21" t="n">
        <x:v>6</x:v>
      </x:c>
      <x:c r="K91" s="22" t="n">
        <x:v>149</x:v>
      </x:c>
      <x:c r="L91" s="21" t="str">
        <x:v>H2451</x:v>
      </x:c>
      <x:c r="M91" s="21" t="str">
        <x:v>noun</x:v>
      </x:c>
      <x:c r="N91" s="21" t="str">
        <x:v>否</x:v>
      </x:c>
      <x:c r="O91" s="21" t="str"/>
      <x:c r="P91" s="21" t="str">
        <x:v>source_and_lexicon_matched</x:v>
      </x:c>
      <x:c r="Q91" s="21" t="str">
        <x:v>rule_generated_exception_review</x:v>
      </x:c>
      <x:c r="R91" s="20" t="str">
        <x:v>https://hebrewsyntax.org/bbh2new/</x:v>
      </x:c>
    </x:row>
    <x:row r="92" ht="28" customHeight="1">
      <x:c r="A92" s="21" t="n">
        <x:v>88</x:v>
      </x:c>
      <x:c r="B92" s="21" t="n">
        <x:f>ROUNDUP(A92/20,0)</x:f>
        <x:v>5</x:v>
      </x:c>
      <x:c r="C92" s="21" t="n">
        <x:f>MOD(A92-1,20)+1</x:f>
        <x:v>8</x:v>
      </x:c>
      <x:c r="D92" s="18" t="str">
        <x:v>כְּ</x:v>
      </x:c>
      <x:c r="E92" s="19" t="str">
        <x:v>kə</x:v>
      </x:c>
      <x:c r="F92" s="16" t="str">
        <x:v>כ</x:v>
      </x:c>
      <x:c r="G92" s="20" t="str">
        <x:v>as, like, according to</x:v>
      </x:c>
      <x:c r="H92" s="20" t="str"/>
      <x:c r="I92" s="21" t="str">
        <x:v>BBH2 課序</x:v>
      </x:c>
      <x:c r="J92" s="21" t="n">
        <x:v>6</x:v>
      </x:c>
      <x:c r="K92" s="22"/>
      <x:c r="L92" s="21" t="str"/>
      <x:c r="M92" s="21" t="str">
        <x:v>preposition</x:v>
      </x:c>
      <x:c r="N92" s="21" t="str">
        <x:v>否</x:v>
      </x:c>
      <x:c r="O92" s="21" t="str"/>
      <x:c r="P92" s="21" t="str">
        <x:v>source_verified</x:v>
      </x:c>
      <x:c r="Q92" s="21" t="str">
        <x:v>rule_generated_exception_review</x:v>
      </x:c>
      <x:c r="R92" s="20" t="str">
        <x:v>https://hebrewsyntax.org/bbh2new/</x:v>
      </x:c>
    </x:row>
    <x:row r="93" ht="28" customHeight="1">
      <x:c r="A93" s="21" t="n">
        <x:v>89</x:v>
      </x:c>
      <x:c r="B93" s="21" t="n">
        <x:f>ROUNDUP(A93/20,0)</x:f>
        <x:v>5</x:v>
      </x:c>
      <x:c r="C93" s="21" t="n">
        <x:f>MOD(A93-1,20)+1</x:f>
        <x:v>9</x:v>
      </x:c>
      <x:c r="D93" s="18" t="str">
        <x:v>כֹּל</x:v>
      </x:c>
      <x:c r="E93" s="19" t="str">
        <x:v>kōl</x:v>
      </x:c>
      <x:c r="F93" s="16" t="str">
        <x:v>כל</x:v>
      </x:c>
      <x:c r="G93" s="20" t="str">
        <x:v>all, each, every</x:v>
      </x:c>
      <x:c r="H93" s="20" t="str"/>
      <x:c r="I93" s="21" t="str">
        <x:v>BBH2 課序</x:v>
      </x:c>
      <x:c r="J93" s="21" t="n">
        <x:v>6</x:v>
      </x:c>
      <x:c r="K93" s="22" t="n">
        <x:v>5415</x:v>
      </x:c>
      <x:c r="L93" s="21" t="str">
        <x:v>H3605</x:v>
      </x:c>
      <x:c r="M93" s="21" t="str">
        <x:v>noun</x:v>
      </x:c>
      <x:c r="N93" s="21" t="str">
        <x:v>否</x:v>
      </x:c>
      <x:c r="O93" s="21" t="str"/>
      <x:c r="P93" s="21" t="str">
        <x:v>source_and_lexicon_matched</x:v>
      </x:c>
      <x:c r="Q93" s="21" t="str">
        <x:v>rule_generated_exception_review</x:v>
      </x:c>
      <x:c r="R93" s="20" t="str">
        <x:v>https://hebrewsyntax.org/bbh2new/</x:v>
      </x:c>
    </x:row>
    <x:row r="94" ht="28" customHeight="1">
      <x:c r="A94" s="21" t="n">
        <x:v>90</x:v>
      </x:c>
      <x:c r="B94" s="21" t="n">
        <x:f>ROUNDUP(A94/20,0)</x:f>
        <x:v>5</x:v>
      </x:c>
      <x:c r="C94" s="21" t="n">
        <x:f>MOD(A94-1,20)+1</x:f>
        <x:v>10</x:v>
      </x:c>
      <x:c r="D94" s="18" t="str">
        <x:v>כָּל־</x:v>
      </x:c>
      <x:c r="E94" s="19" t="str">
        <x:v>kol-</x:v>
      </x:c>
      <x:c r="F94" s="16" t="str">
        <x:v>כל</x:v>
      </x:c>
      <x:c r="G94" s="20" t="str">
        <x:v>all of, each of, every one of</x:v>
      </x:c>
      <x:c r="H94" s="20" t="str"/>
      <x:c r="I94" s="21" t="str">
        <x:v>BBH2 課序</x:v>
      </x:c>
      <x:c r="J94" s="21" t="n">
        <x:v>6</x:v>
      </x:c>
      <x:c r="K94" s="22" t="n">
        <x:v>5415</x:v>
      </x:c>
      <x:c r="L94" s="21" t="str">
        <x:v>H3605</x:v>
      </x:c>
      <x:c r="M94" s="21" t="str">
        <x:v>noun</x:v>
      </x:c>
      <x:c r="N94" s="21" t="str">
        <x:v>否</x:v>
      </x:c>
      <x:c r="O94" s="21" t="str"/>
      <x:c r="P94" s="21" t="str">
        <x:v>source_and_lexicon_matched</x:v>
      </x:c>
      <x:c r="Q94" s="21" t="str">
        <x:v>rule_generated_exception_review</x:v>
      </x:c>
      <x:c r="R94" s="20" t="str">
        <x:v>https://hebrewsyntax.org/bbh2new/</x:v>
      </x:c>
    </x:row>
    <x:row r="95" ht="28" customHeight="1">
      <x:c r="A95" s="21" t="n">
        <x:v>91</x:v>
      </x:c>
      <x:c r="B95" s="21" t="n">
        <x:f>ROUNDUP(A95/20,0)</x:f>
        <x:v>5</x:v>
      </x:c>
      <x:c r="C95" s="21" t="n">
        <x:f>MOD(A95-1,20)+1</x:f>
        <x:v>11</x:v>
      </x:c>
      <x:c r="D95" s="18" t="str">
        <x:v>לִפְנֵי</x:v>
      </x:c>
      <x:c r="E95" s="19" t="str">
        <x:v>lip̄nê</x:v>
      </x:c>
      <x:c r="F95" s="16" t="str">
        <x:v>לפני</x:v>
      </x:c>
      <x:c r="G95" s="20" t="str">
        <x:v>before, in front of</x:v>
      </x:c>
      <x:c r="H95" s="20" t="str"/>
      <x:c r="I95" s="21" t="str">
        <x:v>BBH2 課序</x:v>
      </x:c>
      <x:c r="J95" s="21" t="n">
        <x:v>6</x:v>
      </x:c>
      <x:c r="K95" s="22" t="n">
        <x:v>2127</x:v>
      </x:c>
      <x:c r="L95" s="21" t="str">
        <x:v>H6440</x:v>
      </x:c>
      <x:c r="M95" s="21" t="str">
        <x:v>noun</x:v>
      </x:c>
      <x:c r="N95" s="21" t="str">
        <x:v>否</x:v>
      </x:c>
      <x:c r="O95" s="21" t="str"/>
      <x:c r="P95" s="21" t="str">
        <x:v>source_and_lexicon_matched</x:v>
      </x:c>
      <x:c r="Q95" s="21" t="str">
        <x:v>rule_generated_exception_review</x:v>
      </x:c>
      <x:c r="R95" s="20" t="str">
        <x:v>https://hebrewsyntax.org/bbh2new/</x:v>
      </x:c>
    </x:row>
    <x:row r="96" ht="28" customHeight="1">
      <x:c r="A96" s="21" t="n">
        <x:v>92</x:v>
      </x:c>
      <x:c r="B96" s="21" t="n">
        <x:f>ROUNDUP(A96/20,0)</x:f>
        <x:v>5</x:v>
      </x:c>
      <x:c r="C96" s="21" t="n">
        <x:f>MOD(A96-1,20)+1</x:f>
        <x:v>12</x:v>
      </x:c>
      <x:c r="D96" s="18" t="str">
        <x:v>לְ</x:v>
      </x:c>
      <x:c r="E96" s="19" t="str">
        <x:v>lə</x:v>
      </x:c>
      <x:c r="F96" s="16" t="str">
        <x:v>ל</x:v>
      </x:c>
      <x:c r="G96" s="20" t="str">
        <x:v>to, toward, for</x:v>
      </x:c>
      <x:c r="H96" s="20" t="str"/>
      <x:c r="I96" s="21" t="str">
        <x:v>BBH2 課序</x:v>
      </x:c>
      <x:c r="J96" s="21" t="n">
        <x:v>6</x:v>
      </x:c>
      <x:c r="K96" s="22"/>
      <x:c r="L96" s="21" t="str"/>
      <x:c r="M96" s="21" t="str">
        <x:v>preposition</x:v>
      </x:c>
      <x:c r="N96" s="21" t="str">
        <x:v>否</x:v>
      </x:c>
      <x:c r="O96" s="21" t="str"/>
      <x:c r="P96" s="21" t="str">
        <x:v>source_verified</x:v>
      </x:c>
      <x:c r="Q96" s="21" t="str">
        <x:v>rule_generated_exception_review</x:v>
      </x:c>
      <x:c r="R96" s="20" t="str">
        <x:v>https://hebrewsyntax.org/bbh2new/</x:v>
      </x:c>
    </x:row>
    <x:row r="97" ht="28" customHeight="1">
      <x:c r="A97" s="21" t="n">
        <x:v>93</x:v>
      </x:c>
      <x:c r="B97" s="21" t="n">
        <x:f>ROUNDUP(A97/20,0)</x:f>
        <x:v>5</x:v>
      </x:c>
      <x:c r="C97" s="21" t="n">
        <x:f>MOD(A97-1,20)+1</x:f>
        <x:v>13</x:v>
      </x:c>
      <x:c r="D97" s="18" t="str">
        <x:v>לְמַ֫עַן</x:v>
      </x:c>
      <x:c r="E97" s="19" t="str">
        <x:v>ləmaʿan</x:v>
      </x:c>
      <x:c r="F97" s="16" t="str">
        <x:v>למען</x:v>
      </x:c>
      <x:c r="G97" s="20" t="str">
        <x:v>on account of, for the sake of</x:v>
      </x:c>
      <x:c r="H97" s="20" t="str"/>
      <x:c r="I97" s="21" t="str">
        <x:v>BBH2 課序</x:v>
      </x:c>
      <x:c r="J97" s="21" t="n">
        <x:v>6</x:v>
      </x:c>
      <x:c r="K97" s="22" t="n">
        <x:v>272</x:v>
      </x:c>
      <x:c r="L97" s="21" t="str">
        <x:v>H4616</x:v>
      </x:c>
      <x:c r="M97" s="21" t="str">
        <x:v>preposition</x:v>
      </x:c>
      <x:c r="N97" s="21" t="str">
        <x:v>否</x:v>
      </x:c>
      <x:c r="O97" s="21" t="str"/>
      <x:c r="P97" s="21" t="str">
        <x:v>source_and_lexicon_matched</x:v>
      </x:c>
      <x:c r="Q97" s="21" t="str">
        <x:v>rule_generated_exception_review</x:v>
      </x:c>
      <x:c r="R97" s="20" t="str">
        <x:v>https://hebrewsyntax.org/bbh2new/</x:v>
      </x:c>
    </x:row>
    <x:row r="98" ht="28" customHeight="1">
      <x:c r="A98" s="21" t="n">
        <x:v>94</x:v>
      </x:c>
      <x:c r="B98" s="21" t="n">
        <x:f>ROUNDUP(A98/20,0)</x:f>
        <x:v>5</x:v>
      </x:c>
      <x:c r="C98" s="21" t="n">
        <x:f>MOD(A98-1,20)+1</x:f>
        <x:v>14</x:v>
      </x:c>
      <x:c r="D98" s="18" t="str">
        <x:v>מִן / מִן־</x:v>
      </x:c>
      <x:c r="E98" s="19" t="str">
        <x:v>min / min-</x:v>
      </x:c>
      <x:c r="F98" s="16" t="str">
        <x:v>מן</x:v>
      </x:c>
      <x:c r="G98" s="20" t="str">
        <x:v>from, out of</x:v>
      </x:c>
      <x:c r="H98" s="20" t="str"/>
      <x:c r="I98" s="21" t="str">
        <x:v>BBH2 課序</x:v>
      </x:c>
      <x:c r="J98" s="21" t="n">
        <x:v>6</x:v>
      </x:c>
      <x:c r="K98" s="22" t="n">
        <x:v>1230</x:v>
      </x:c>
      <x:c r="L98" s="21" t="str">
        <x:v>H4480</x:v>
      </x:c>
      <x:c r="M98" s="21" t="str">
        <x:v>preposition</x:v>
      </x:c>
      <x:c r="N98" s="21" t="str">
        <x:v>否</x:v>
      </x:c>
      <x:c r="O98" s="21" t="str"/>
      <x:c r="P98" s="21" t="str">
        <x:v>source_and_lexicon_matched</x:v>
      </x:c>
      <x:c r="Q98" s="21" t="str">
        <x:v>rule_generated_exception_review</x:v>
      </x:c>
      <x:c r="R98" s="20" t="str">
        <x:v>https://hebrewsyntax.org/bbh2new/</x:v>
      </x:c>
    </x:row>
    <x:row r="99" ht="28" customHeight="1">
      <x:c r="A99" s="21" t="n">
        <x:v>95</x:v>
      </x:c>
      <x:c r="B99" s="21" t="n">
        <x:f>ROUNDUP(A99/20,0)</x:f>
        <x:v>5</x:v>
      </x:c>
      <x:c r="C99" s="21" t="n">
        <x:f>MOD(A99-1,20)+1</x:f>
        <x:v>15</x:v>
      </x:c>
      <x:c r="D99" s="18" t="str">
        <x:v>מַ֫עַל</x:v>
      </x:c>
      <x:c r="E99" s="19" t="str">
        <x:v>maʿal</x:v>
      </x:c>
      <x:c r="F99" s="16" t="str">
        <x:v>מעל</x:v>
      </x:c>
      <x:c r="G99" s="20" t="str">
        <x:v>above, upward, on top of</x:v>
      </x:c>
      <x:c r="H99" s="20" t="str"/>
      <x:c r="I99" s="21" t="str">
        <x:v>BBH2 課序</x:v>
      </x:c>
      <x:c r="J99" s="21" t="n">
        <x:v>6</x:v>
      </x:c>
      <x:c r="K99" s="22" t="n">
        <x:v>140</x:v>
      </x:c>
      <x:c r="L99" s="21" t="str">
        <x:v>H4605</x:v>
      </x:c>
      <x:c r="M99" s="21" t="str">
        <x:v>adverb</x:v>
      </x:c>
      <x:c r="N99" s="21" t="str">
        <x:v>否</x:v>
      </x:c>
      <x:c r="O99" s="21" t="str"/>
      <x:c r="P99" s="21" t="str">
        <x:v>source_and_lexicon_matched</x:v>
      </x:c>
      <x:c r="Q99" s="21" t="str">
        <x:v>rule_generated_exception_review</x:v>
      </x:c>
      <x:c r="R99" s="20" t="str">
        <x:v>https://hebrewsyntax.org/bbh2new/</x:v>
      </x:c>
    </x:row>
    <x:row r="100" ht="28" customHeight="1">
      <x:c r="A100" s="21" t="n">
        <x:v>96</x:v>
      </x:c>
      <x:c r="B100" s="21" t="n">
        <x:f>ROUNDUP(A100/20,0)</x:f>
        <x:v>5</x:v>
      </x:c>
      <x:c r="C100" s="21" t="n">
        <x:f>MOD(A100-1,20)+1</x:f>
        <x:v>16</x:v>
      </x:c>
      <x:c r="D100" s="18" t="str">
        <x:v>מִמַּ֫עַל</x:v>
      </x:c>
      <x:c r="E100" s="19" t="str">
        <x:v>mimmaʿal</x:v>
      </x:c>
      <x:c r="F100" s="16" t="str">
        <x:v>ממעל</x:v>
      </x:c>
      <x:c r="G100" s="20" t="str">
        <x:v>(from) above, (from) on top of</x:v>
      </x:c>
      <x:c r="H100" s="20" t="str"/>
      <x:c r="I100" s="21" t="str">
        <x:v>BBH2 課序</x:v>
      </x:c>
      <x:c r="J100" s="21" t="n">
        <x:v>6</x:v>
      </x:c>
      <x:c r="K100" s="22" t="n">
        <x:v>140</x:v>
      </x:c>
      <x:c r="L100" s="21" t="str">
        <x:v>H4605</x:v>
      </x:c>
      <x:c r="M100" s="21" t="str">
        <x:v>adverb</x:v>
      </x:c>
      <x:c r="N100" s="21" t="str">
        <x:v>否</x:v>
      </x:c>
      <x:c r="O100" s="21" t="str"/>
      <x:c r="P100" s="21" t="str">
        <x:v>source_and_lexicon_matched</x:v>
      </x:c>
      <x:c r="Q100" s="21" t="str">
        <x:v>rule_generated_exception_review</x:v>
      </x:c>
      <x:c r="R100" s="20" t="str">
        <x:v>https://hebrewsyntax.org/bbh2new/</x:v>
      </x:c>
    </x:row>
    <x:row r="101" ht="28" customHeight="1">
      <x:c r="A101" s="21" t="n">
        <x:v>97</x:v>
      </x:c>
      <x:c r="B101" s="21" t="n">
        <x:f>ROUNDUP(A101/20,0)</x:f>
        <x:v>5</x:v>
      </x:c>
      <x:c r="C101" s="21" t="n">
        <x:f>MOD(A101-1,20)+1</x:f>
        <x:v>17</x:v>
      </x:c>
      <x:c r="D101" s="18" t="str">
        <x:v>מִצְוָה</x:v>
      </x:c>
      <x:c r="E101" s="19" t="str">
        <x:v>miṣwâ</x:v>
      </x:c>
      <x:c r="F101" s="16" t="str">
        <x:v>מצוה</x:v>
      </x:c>
      <x:c r="G101" s="20" t="str">
        <x:v>commandment</x:v>
      </x:c>
      <x:c r="H101" s="20" t="str"/>
      <x:c r="I101" s="21" t="str">
        <x:v>BBH2 課序</x:v>
      </x:c>
      <x:c r="J101" s="21" t="n">
        <x:v>6</x:v>
      </x:c>
      <x:c r="K101" s="22" t="n">
        <x:v>184</x:v>
      </x:c>
      <x:c r="L101" s="21" t="str">
        <x:v>H4687</x:v>
      </x:c>
      <x:c r="M101" s="21" t="str">
        <x:v>noun</x:v>
      </x:c>
      <x:c r="N101" s="21" t="str">
        <x:v>否</x:v>
      </x:c>
      <x:c r="O101" s="21" t="str"/>
      <x:c r="P101" s="21" t="str">
        <x:v>source_and_lexicon_matched</x:v>
      </x:c>
      <x:c r="Q101" s="21" t="str">
        <x:v>rule_generated_exception_review</x:v>
      </x:c>
      <x:c r="R101" s="20" t="str">
        <x:v>https://hebrewsyntax.org/bbh2new/</x:v>
      </x:c>
    </x:row>
    <x:row r="102" ht="28" customHeight="1">
      <x:c r="A102" s="21" t="n">
        <x:v>98</x:v>
      </x:c>
      <x:c r="B102" s="21" t="n">
        <x:f>ROUNDUP(A102/20,0)</x:f>
        <x:v>5</x:v>
      </x:c>
      <x:c r="C102" s="21" t="n">
        <x:f>MOD(A102-1,20)+1</x:f>
        <x:v>18</x:v>
      </x:c>
      <x:c r="D102" s="18" t="str">
        <x:v>מִצְוֹת</x:v>
      </x:c>
      <x:c r="E102" s="19" t="str">
        <x:v>miṣôṯ</x:v>
      </x:c>
      <x:c r="F102" s="16" t="str">
        <x:v>מצות</x:v>
      </x:c>
      <x:c r="G102" s="20" t="str">
        <x:v>commandments [irregular plural of מִצְוָה]</x:v>
      </x:c>
      <x:c r="H102" s="20" t="str"/>
      <x:c r="I102" s="21" t="str">
        <x:v>BBH2 課序</x:v>
      </x:c>
      <x:c r="J102" s="21" t="n">
        <x:v>6</x:v>
      </x:c>
      <x:c r="K102" s="22" t="n">
        <x:v>184</x:v>
      </x:c>
      <x:c r="L102" s="21" t="str">
        <x:v>H4687</x:v>
      </x:c>
      <x:c r="M102" s="21" t="str">
        <x:v>noun</x:v>
      </x:c>
      <x:c r="N102" s="21" t="str">
        <x:v>否</x:v>
      </x:c>
      <x:c r="O102" s="21" t="str"/>
      <x:c r="P102" s="21" t="str">
        <x:v>source_and_lexicon_matched</x:v>
      </x:c>
      <x:c r="Q102" s="21" t="str">
        <x:v>rule_generated_exception_review</x:v>
      </x:c>
      <x:c r="R102" s="20" t="str">
        <x:v>https://hebrewsyntax.org/bbh2new/</x:v>
      </x:c>
    </x:row>
    <x:row r="103" ht="28" customHeight="1">
      <x:c r="A103" s="21" t="n">
        <x:v>99</x:v>
      </x:c>
      <x:c r="B103" s="21" t="n">
        <x:f>ROUNDUP(A103/20,0)</x:f>
        <x:v>5</x:v>
      </x:c>
      <x:c r="C103" s="21" t="n">
        <x:f>MOD(A103-1,20)+1</x:f>
        <x:v>19</x:v>
      </x:c>
      <x:c r="D103" s="18" t="str">
        <x:v>עַד</x:v>
      </x:c>
      <x:c r="E103" s="19" t="str">
        <x:v>ʿaḏ</x:v>
      </x:c>
      <x:c r="F103" s="16" t="str">
        <x:v>עד</x:v>
      </x:c>
      <x:c r="G103" s="20" t="str">
        <x:v>until, as far as, during</x:v>
      </x:c>
      <x:c r="H103" s="20" t="str"/>
      <x:c r="I103" s="21" t="str">
        <x:v>BBH2 課序</x:v>
      </x:c>
      <x:c r="J103" s="21" t="n">
        <x:v>6</x:v>
      </x:c>
      <x:c r="K103" s="22" t="n">
        <x:v>1263</x:v>
      </x:c>
      <x:c r="L103" s="21" t="str">
        <x:v>H5704</x:v>
      </x:c>
      <x:c r="M103" s="21" t="str">
        <x:v>preposition</x:v>
      </x:c>
      <x:c r="N103" s="21" t="str">
        <x:v>否</x:v>
      </x:c>
      <x:c r="O103" s="21" t="str"/>
      <x:c r="P103" s="21" t="str">
        <x:v>source_and_lexicon_matched</x:v>
      </x:c>
      <x:c r="Q103" s="21" t="str">
        <x:v>rule_generated_exception_review</x:v>
      </x:c>
      <x:c r="R103" s="20" t="str">
        <x:v>https://hebrewsyntax.org/bbh2new/</x:v>
      </x:c>
    </x:row>
    <x:row r="104" ht="28" customHeight="1">
      <x:c r="A104" s="21" t="n">
        <x:v>100</x:v>
      </x:c>
      <x:c r="B104" s="21" t="n">
        <x:f>ROUNDUP(A104/20,0)</x:f>
        <x:v>5</x:v>
      </x:c>
      <x:c r="C104" s="21" t="n">
        <x:f>MOD(A104-1,20)+1</x:f>
        <x:v>20</x:v>
      </x:c>
      <x:c r="D104" s="18" t="str">
        <x:v>עַל</x:v>
      </x:c>
      <x:c r="E104" s="19" t="str">
        <x:v>ʿal</x:v>
      </x:c>
      <x:c r="F104" s="16" t="str">
        <x:v>על</x:v>
      </x:c>
      <x:c r="G104" s="20" t="str">
        <x:v>on, upon, on account of, according to</x:v>
      </x:c>
      <x:c r="H104" s="20" t="str"/>
      <x:c r="I104" s="21" t="str">
        <x:v>BBH2 課序</x:v>
      </x:c>
      <x:c r="J104" s="21" t="n">
        <x:v>6</x:v>
      </x:c>
      <x:c r="K104" s="22" t="n">
        <x:v>5779</x:v>
      </x:c>
      <x:c r="L104" s="21" t="str">
        <x:v>H5921</x:v>
      </x:c>
      <x:c r="M104" s="21" t="str">
        <x:v>preposition</x:v>
      </x:c>
      <x:c r="N104" s="21" t="str">
        <x:v>否</x:v>
      </x:c>
      <x:c r="O104" s="21" t="str"/>
      <x:c r="P104" s="21" t="str">
        <x:v>source_and_lexicon_matched</x:v>
      </x:c>
      <x:c r="Q104" s="21" t="str">
        <x:v>rule_generated_exception_review</x:v>
      </x:c>
      <x:c r="R104" s="20" t="str">
        <x:v>https://hebrewsyntax.org/bbh2new/</x:v>
      </x:c>
    </x:row>
    <x:row r="105" ht="28" customHeight="1">
      <x:c r="A105" s="21" t="n">
        <x:v>101</x:v>
      </x:c>
      <x:c r="B105" s="21" t="n">
        <x:f>ROUNDUP(A105/20,0)</x:f>
        <x:v>6</x:v>
      </x:c>
      <x:c r="C105" s="21" t="n">
        <x:f>MOD(A105-1,20)+1</x:f>
        <x:v>1</x:v>
      </x:c>
      <x:c r="D105" s="18" t="str">
        <x:v>עַל־דְּבַר</x:v>
      </x:c>
      <x:c r="E105" s="19" t="str">
        <x:v>ʿal-dəḇar</x:v>
      </x:c>
      <x:c r="F105" s="16" t="str">
        <x:v>עלדבר</x:v>
      </x:c>
      <x:c r="G105" s="20" t="str">
        <x:v>because of, on account of</x:v>
      </x:c>
      <x:c r="H105" s="20" t="str"/>
      <x:c r="I105" s="21" t="str">
        <x:v>BBH2 課序</x:v>
      </x:c>
      <x:c r="J105" s="21" t="n">
        <x:v>6</x:v>
      </x:c>
      <x:c r="K105" s="22"/>
      <x:c r="L105" s="21" t="str"/>
      <x:c r="M105" s="21" t="str">
        <x:v>prepositional_phrase</x:v>
      </x:c>
      <x:c r="N105" s="21" t="str">
        <x:v>否</x:v>
      </x:c>
      <x:c r="O105" s="21" t="str"/>
      <x:c r="P105" s="21" t="str">
        <x:v>source_verified</x:v>
      </x:c>
      <x:c r="Q105" s="21" t="str">
        <x:v>rule_generated_exception_review</x:v>
      </x:c>
      <x:c r="R105" s="20" t="str">
        <x:v>https://hebrewsyntax.org/bbh2new/</x:v>
      </x:c>
    </x:row>
    <x:row r="106" ht="28" customHeight="1">
      <x:c r="A106" s="21" t="n">
        <x:v>102</x:v>
      </x:c>
      <x:c r="B106" s="21" t="n">
        <x:f>ROUNDUP(A106/20,0)</x:f>
        <x:v>6</x:v>
      </x:c>
      <x:c r="C106" s="21" t="n">
        <x:f>MOD(A106-1,20)+1</x:f>
        <x:v>2</x:v>
      </x:c>
      <x:c r="D106" s="18" t="str">
        <x:v>עִם</x:v>
      </x:c>
      <x:c r="E106" s="19" t="str">
        <x:v>ʿim</x:v>
      </x:c>
      <x:c r="F106" s="16" t="str">
        <x:v>עם</x:v>
      </x:c>
      <x:c r="G106" s="20" t="str">
        <x:v>with, together with</x:v>
      </x:c>
      <x:c r="H106" s="20" t="str"/>
      <x:c r="I106" s="21" t="str">
        <x:v>BBH2 課序</x:v>
      </x:c>
      <x:c r="J106" s="21" t="n">
        <x:v>6</x:v>
      </x:c>
      <x:c r="K106" s="22" t="n">
        <x:v>1049</x:v>
      </x:c>
      <x:c r="L106" s="21" t="str">
        <x:v>H5973</x:v>
      </x:c>
      <x:c r="M106" s="21" t="str">
        <x:v>preposition</x:v>
      </x:c>
      <x:c r="N106" s="21" t="str">
        <x:v>否</x:v>
      </x:c>
      <x:c r="O106" s="21" t="str"/>
      <x:c r="P106" s="21" t="str">
        <x:v>source_and_lexicon_matched</x:v>
      </x:c>
      <x:c r="Q106" s="21" t="str">
        <x:v>rule_generated_exception_review</x:v>
      </x:c>
      <x:c r="R106" s="20" t="str">
        <x:v>https://hebrewsyntax.org/bbh2new/</x:v>
      </x:c>
    </x:row>
    <x:row r="107" ht="28" customHeight="1">
      <x:c r="A107" s="21" t="n">
        <x:v>103</x:v>
      </x:c>
      <x:c r="B107" s="21" t="n">
        <x:f>ROUNDUP(A107/20,0)</x:f>
        <x:v>6</x:v>
      </x:c>
      <x:c r="C107" s="21" t="n">
        <x:f>MOD(A107-1,20)+1</x:f>
        <x:v>3</x:v>
      </x:c>
      <x:c r="D107" s="18" t="str">
        <x:v>פֶּה</x:v>
      </x:c>
      <x:c r="E107" s="19" t="str">
        <x:v>pê</x:v>
      </x:c>
      <x:c r="F107" s="16" t="str">
        <x:v>פה</x:v>
      </x:c>
      <x:c r="G107" s="20" t="str">
        <x:v>mouth, opening</x:v>
      </x:c>
      <x:c r="H107" s="20" t="str"/>
      <x:c r="I107" s="21" t="str">
        <x:v>BBH2 課序</x:v>
      </x:c>
      <x:c r="J107" s="21" t="n">
        <x:v>6</x:v>
      </x:c>
      <x:c r="K107" s="22" t="n">
        <x:v>498</x:v>
      </x:c>
      <x:c r="L107" s="21" t="str">
        <x:v>H6310</x:v>
      </x:c>
      <x:c r="M107" s="21" t="str">
        <x:v>noun</x:v>
      </x:c>
      <x:c r="N107" s="21" t="str">
        <x:v>否</x:v>
      </x:c>
      <x:c r="O107" s="21" t="str"/>
      <x:c r="P107" s="21" t="str">
        <x:v>source_and_lexicon_matched</x:v>
      </x:c>
      <x:c r="Q107" s="21" t="str">
        <x:v>rule_generated_exception_review</x:v>
      </x:c>
      <x:c r="R107" s="20" t="str">
        <x:v>https://hebrewsyntax.org/bbh2new/</x:v>
      </x:c>
    </x:row>
    <x:row r="108" ht="28" customHeight="1">
      <x:c r="A108" s="21" t="n">
        <x:v>104</x:v>
      </x:c>
      <x:c r="B108" s="21" t="n">
        <x:f>ROUNDUP(A108/20,0)</x:f>
        <x:v>6</x:v>
      </x:c>
      <x:c r="C108" s="21" t="n">
        <x:f>MOD(A108-1,20)+1</x:f>
        <x:v>4</x:v>
      </x:c>
      <x:c r="D108" s="18" t="str">
        <x:v>שָׂדֶה</x:v>
      </x:c>
      <x:c r="E108" s="19" t="str">
        <x:v>śāḏê</x:v>
      </x:c>
      <x:c r="F108" s="16" t="str">
        <x:v>שדה</x:v>
      </x:c>
      <x:c r="G108" s="20" t="str">
        <x:v>field, pasture land</x:v>
      </x:c>
      <x:c r="H108" s="20" t="str"/>
      <x:c r="I108" s="21" t="str">
        <x:v>BBH2 課序</x:v>
      </x:c>
      <x:c r="J108" s="21" t="n">
        <x:v>6</x:v>
      </x:c>
      <x:c r="K108" s="22" t="n">
        <x:v>334</x:v>
      </x:c>
      <x:c r="L108" s="21" t="str">
        <x:v>H7704</x:v>
      </x:c>
      <x:c r="M108" s="21" t="str">
        <x:v>noun</x:v>
      </x:c>
      <x:c r="N108" s="21" t="str">
        <x:v>否</x:v>
      </x:c>
      <x:c r="O108" s="21" t="str"/>
      <x:c r="P108" s="21" t="str">
        <x:v>source_and_lexicon_matched</x:v>
      </x:c>
      <x:c r="Q108" s="21" t="str">
        <x:v>rule_generated_exception_review</x:v>
      </x:c>
      <x:c r="R108" s="20" t="str">
        <x:v>https://hebrewsyntax.org/bbh2new/</x:v>
      </x:c>
    </x:row>
    <x:row r="109" ht="28" customHeight="1">
      <x:c r="A109" s="21" t="n">
        <x:v>105</x:v>
      </x:c>
      <x:c r="B109" s="21" t="n">
        <x:f>ROUNDUP(A109/20,0)</x:f>
        <x:v>6</x:v>
      </x:c>
      <x:c r="C109" s="21" t="n">
        <x:f>MOD(A109-1,20)+1</x:f>
        <x:v>5</x:v>
      </x:c>
      <x:c r="D109" s="18" t="str">
        <x:v>תַּ֫חַת</x:v>
      </x:c>
      <x:c r="E109" s="19" t="str">
        <x:v>taḥaṯ</x:v>
      </x:c>
      <x:c r="F109" s="16" t="str">
        <x:v>תחת</x:v>
      </x:c>
      <x:c r="G109" s="20" t="str">
        <x:v>under, below, instead of</x:v>
      </x:c>
      <x:c r="H109" s="20" t="str"/>
      <x:c r="I109" s="21" t="str">
        <x:v>BBH2 課序</x:v>
      </x:c>
      <x:c r="J109" s="21" t="n">
        <x:v>6</x:v>
      </x:c>
      <x:c r="K109" s="22" t="n">
        <x:v>511</x:v>
      </x:c>
      <x:c r="L109" s="21" t="str">
        <x:v>H8478</x:v>
      </x:c>
      <x:c r="M109" s="21" t="str">
        <x:v>preposition</x:v>
      </x:c>
      <x:c r="N109" s="21" t="str">
        <x:v>否</x:v>
      </x:c>
      <x:c r="O109" s="21" t="str"/>
      <x:c r="P109" s="21" t="str">
        <x:v>source_and_lexicon_matched</x:v>
      </x:c>
      <x:c r="Q109" s="21" t="str">
        <x:v>rule_generated_exception_review</x:v>
      </x:c>
      <x:c r="R109" s="20" t="str">
        <x:v>https://hebrewsyntax.org/bbh2new/</x:v>
      </x:c>
    </x:row>
    <x:row r="110" ht="28" customHeight="1">
      <x:c r="A110" s="21" t="n">
        <x:v>106</x:v>
      </x:c>
      <x:c r="B110" s="21" t="n">
        <x:f>ROUNDUP(A110/20,0)</x:f>
        <x:v>6</x:v>
      </x:c>
      <x:c r="C110" s="21" t="n">
        <x:f>MOD(A110-1,20)+1</x:f>
        <x:v>6</x:v>
      </x:c>
      <x:c r="D110" s="18" t="str">
        <x:v>אֶחָד</x:v>
      </x:c>
      <x:c r="E110" s="19" t="str">
        <x:v>ʾeḥāḏ</x:v>
      </x:c>
      <x:c r="F110" s="16" t="str">
        <x:v>אחד</x:v>
      </x:c>
      <x:c r="G110" s="20" t="str">
        <x:v>one</x:v>
      </x:c>
      <x:c r="H110" s="20" t="str"/>
      <x:c r="I110" s="21" t="str">
        <x:v>BBH2 課序</x:v>
      </x:c>
      <x:c r="J110" s="21" t="n">
        <x:v>7</x:v>
      </x:c>
      <x:c r="K110" s="22" t="n">
        <x:v>976</x:v>
      </x:c>
      <x:c r="L110" s="21" t="str">
        <x:v>H259</x:v>
      </x:c>
      <x:c r="M110" s="21" t="str">
        <x:v>adjective</x:v>
      </x:c>
      <x:c r="N110" s="21" t="str">
        <x:v>否</x:v>
      </x:c>
      <x:c r="O110" s="21" t="str"/>
      <x:c r="P110" s="21" t="str">
        <x:v>source_and_lexicon_matched</x:v>
      </x:c>
      <x:c r="Q110" s="21" t="str">
        <x:v>rule_generated_exception_review</x:v>
      </x:c>
      <x:c r="R110" s="20" t="str">
        <x:v>https://hebrewsyntax.org/bbh2new/</x:v>
      </x:c>
    </x:row>
    <x:row r="111" ht="28" customHeight="1">
      <x:c r="A111" s="21" t="n">
        <x:v>107</x:v>
      </x:c>
      <x:c r="B111" s="21" t="n">
        <x:f>ROUNDUP(A111/20,0)</x:f>
        <x:v>6</x:v>
      </x:c>
      <x:c r="C111" s="21" t="n">
        <x:f>MOD(A111-1,20)+1</x:f>
        <x:v>7</x:v>
      </x:c>
      <x:c r="D111" s="18" t="str">
        <x:v>גָּדוֹל</x:v>
      </x:c>
      <x:c r="E111" s="19" t="str">
        <x:v>gāḏôl</x:v>
      </x:c>
      <x:c r="F111" s="16" t="str">
        <x:v>גדול</x:v>
      </x:c>
      <x:c r="G111" s="20" t="str">
        <x:v>great, big, large</x:v>
      </x:c>
      <x:c r="H111" s="20" t="str"/>
      <x:c r="I111" s="21" t="str">
        <x:v>BBH2 課序</x:v>
      </x:c>
      <x:c r="J111" s="21" t="n">
        <x:v>7</x:v>
      </x:c>
      <x:c r="K111" s="22" t="n">
        <x:v>530</x:v>
      </x:c>
      <x:c r="L111" s="21" t="str">
        <x:v>H1419</x:v>
      </x:c>
      <x:c r="M111" s="21" t="str">
        <x:v>adjective</x:v>
      </x:c>
      <x:c r="N111" s="21" t="str">
        <x:v>否</x:v>
      </x:c>
      <x:c r="O111" s="21" t="str"/>
      <x:c r="P111" s="21" t="str">
        <x:v>source_and_lexicon_matched</x:v>
      </x:c>
      <x:c r="Q111" s="21" t="str">
        <x:v>rule_generated_exception_review</x:v>
      </x:c>
      <x:c r="R111" s="20" t="str">
        <x:v>https://hebrewsyntax.org/bbh2new/</x:v>
      </x:c>
    </x:row>
    <x:row r="112" ht="28" customHeight="1">
      <x:c r="A112" s="21" t="n">
        <x:v>108</x:v>
      </x:c>
      <x:c r="B112" s="21" t="n">
        <x:f>ROUNDUP(A112/20,0)</x:f>
        <x:v>6</x:v>
      </x:c>
      <x:c r="C112" s="21" t="n">
        <x:f>MOD(A112-1,20)+1</x:f>
        <x:v>8</x:v>
      </x:c>
      <x:c r="D112" s="18" t="str">
        <x:v>דַּל</x:v>
      </x:c>
      <x:c r="E112" s="19" t="str">
        <x:v>dal</x:v>
      </x:c>
      <x:c r="F112" s="16" t="str">
        <x:v>דל</x:v>
      </x:c>
      <x:c r="G112" s="20" t="str">
        <x:v>poor, weak, needy</x:v>
      </x:c>
      <x:c r="H112" s="20" t="str"/>
      <x:c r="I112" s="21" t="str">
        <x:v>BBH2 課序</x:v>
      </x:c>
      <x:c r="J112" s="21" t="n">
        <x:v>7</x:v>
      </x:c>
      <x:c r="K112" s="22" t="n">
        <x:v>47</x:v>
      </x:c>
      <x:c r="L112" s="21" t="str">
        <x:v>H1800</x:v>
      </x:c>
      <x:c r="M112" s="21" t="str">
        <x:v>adjective</x:v>
      </x:c>
      <x:c r="N112" s="21" t="str">
        <x:v>否</x:v>
      </x:c>
      <x:c r="O112" s="21" t="str"/>
      <x:c r="P112" s="21" t="str">
        <x:v>source_and_lexicon_matched</x:v>
      </x:c>
      <x:c r="Q112" s="21" t="str">
        <x:v>rule_generated_exception_review</x:v>
      </x:c>
      <x:c r="R112" s="20" t="str">
        <x:v>https://hebrewsyntax.org/bbh2new/</x:v>
      </x:c>
    </x:row>
    <x:row r="113" ht="28" customHeight="1">
      <x:c r="A113" s="21" t="n">
        <x:v>109</x:v>
      </x:c>
      <x:c r="B113" s="21" t="n">
        <x:f>ROUNDUP(A113/20,0)</x:f>
        <x:v>6</x:v>
      </x:c>
      <x:c r="C113" s="21" t="n">
        <x:f>MOD(A113-1,20)+1</x:f>
        <x:v>9</x:v>
      </x:c>
      <x:c r="D113" s="18" t="str">
        <x:v>זָקֵן</x:v>
      </x:c>
      <x:c r="E113" s="19" t="str">
        <x:v>zāqēn</x:v>
      </x:c>
      <x:c r="F113" s="16" t="str">
        <x:v>זקן</x:v>
      </x:c>
      <x:c r="G113" s="20" t="str">
        <x:v>adjective: old noun: elder; [ch13: to be(come) old]</x:v>
      </x:c>
      <x:c r="H113" s="20" t="str"/>
      <x:c r="I113" s="21" t="str">
        <x:v>BBH2 課序</x:v>
      </x:c>
      <x:c r="J113" s="21" t="n">
        <x:v>7</x:v>
      </x:c>
      <x:c r="K113" s="22" t="n">
        <x:v>179</x:v>
      </x:c>
      <x:c r="L113" s="21" t="str">
        <x:v>H2205</x:v>
      </x:c>
      <x:c r="M113" s="21" t="str">
        <x:v>adjective</x:v>
      </x:c>
      <x:c r="N113" s="21" t="str">
        <x:v>否</x:v>
      </x:c>
      <x:c r="O113" s="21" t="str"/>
      <x:c r="P113" s="21" t="str">
        <x:v>source_and_lexicon_matched</x:v>
      </x:c>
      <x:c r="Q113" s="21" t="str">
        <x:v>rule_generated_exception_review</x:v>
      </x:c>
      <x:c r="R113" s="20" t="str">
        <x:v>https://hebrewsyntax.org/bbh2new/</x:v>
      </x:c>
    </x:row>
    <x:row r="114" ht="28" customHeight="1">
      <x:c r="A114" s="21" t="n">
        <x:v>110</x:v>
      </x:c>
      <x:c r="B114" s="21" t="n">
        <x:f>ROUNDUP(A114/20,0)</x:f>
        <x:v>6</x:v>
      </x:c>
      <x:c r="C114" s="21" t="n">
        <x:f>MOD(A114-1,20)+1</x:f>
        <x:v>10</x:v>
      </x:c>
      <x:c r="D114" s="18" t="str">
        <x:v>חָכָם</x:v>
      </x:c>
      <x:c r="E114" s="19" t="str">
        <x:v>ḥāḵām</x:v>
      </x:c>
      <x:c r="F114" s="16" t="str">
        <x:v>חכם</x:v>
      </x:c>
      <x:c r="G114" s="20" t="str">
        <x:v>wise, skillful, experienced</x:v>
      </x:c>
      <x:c r="H114" s="20" t="str"/>
      <x:c r="I114" s="21" t="str">
        <x:v>BBH2 課序</x:v>
      </x:c>
      <x:c r="J114" s="21" t="n">
        <x:v>7</x:v>
      </x:c>
      <x:c r="K114" s="22" t="n">
        <x:v>137</x:v>
      </x:c>
      <x:c r="L114" s="21" t="str">
        <x:v>H2450</x:v>
      </x:c>
      <x:c r="M114" s="21" t="str">
        <x:v>adjective</x:v>
      </x:c>
      <x:c r="N114" s="21" t="str">
        <x:v>否</x:v>
      </x:c>
      <x:c r="O114" s="21" t="str"/>
      <x:c r="P114" s="21" t="str">
        <x:v>source_and_lexicon_matched</x:v>
      </x:c>
      <x:c r="Q114" s="21" t="str">
        <x:v>rule_generated_exception_review</x:v>
      </x:c>
      <x:c r="R114" s="20" t="str">
        <x:v>https://hebrewsyntax.org/bbh2new/</x:v>
      </x:c>
    </x:row>
    <x:row r="115" ht="28" customHeight="1">
      <x:c r="A115" s="21" t="n">
        <x:v>111</x:v>
      </x:c>
      <x:c r="B115" s="21" t="n">
        <x:f>ROUNDUP(A115/20,0)</x:f>
        <x:v>6</x:v>
      </x:c>
      <x:c r="C115" s="21" t="n">
        <x:f>MOD(A115-1,20)+1</x:f>
        <x:v>11</x:v>
      </x:c>
      <x:c r="D115" s="18" t="str">
        <x:v>טוֹב</x:v>
      </x:c>
      <x:c r="E115" s="19" t="str">
        <x:v>ṭôḇ</x:v>
      </x:c>
      <x:c r="F115" s="16" t="str">
        <x:v>טוב</x:v>
      </x:c>
      <x:c r="G115" s="20" t="str">
        <x:v>good, pleasant. [ch18: to be good, be pleasing, be pleasant, be joyful, be well with]</x:v>
      </x:c>
      <x:c r="H115" s="20" t="str"/>
      <x:c r="I115" s="21" t="str">
        <x:v>BBH2 課序</x:v>
      </x:c>
      <x:c r="J115" s="21" t="n">
        <x:v>7</x:v>
      </x:c>
      <x:c r="K115" s="22" t="n">
        <x:v>565</x:v>
      </x:c>
      <x:c r="L115" s="21" t="str">
        <x:v>H2896</x:v>
      </x:c>
      <x:c r="M115" s="21" t="str">
        <x:v>adjective</x:v>
      </x:c>
      <x:c r="N115" s="21" t="str">
        <x:v>否</x:v>
      </x:c>
      <x:c r="O115" s="21" t="str"/>
      <x:c r="P115" s="21" t="str">
        <x:v>source_and_lexicon_matched</x:v>
      </x:c>
      <x:c r="Q115" s="21" t="str">
        <x:v>rule_generated_exception_review</x:v>
      </x:c>
      <x:c r="R115" s="20" t="str">
        <x:v>https://hebrewsyntax.org/bbh2new/</x:v>
      </x:c>
    </x:row>
    <x:row r="116" ht="28" customHeight="1">
      <x:c r="A116" s="21" t="n">
        <x:v>112</x:v>
      </x:c>
      <x:c r="B116" s="21" t="n">
        <x:f>ROUNDUP(A116/20,0)</x:f>
        <x:v>6</x:v>
      </x:c>
      <x:c r="C116" s="21" t="n">
        <x:f>MOD(A116-1,20)+1</x:f>
        <x:v>12</x:v>
      </x:c>
      <x:c r="D116" s="18" t="str">
        <x:v>יָפֶה</x:v>
      </x:c>
      <x:c r="E116" s="19" t="str">
        <x:v>yāp̄ê</x:v>
      </x:c>
      <x:c r="F116" s="16" t="str">
        <x:v>יפה</x:v>
      </x:c>
      <x:c r="G116" s="20" t="str">
        <x:v>beautiful</x:v>
      </x:c>
      <x:c r="H116" s="20" t="str"/>
      <x:c r="I116" s="21" t="str">
        <x:v>BBH2 課序</x:v>
      </x:c>
      <x:c r="J116" s="21" t="n">
        <x:v>7</x:v>
      </x:c>
      <x:c r="K116" s="22" t="n">
        <x:v>43</x:v>
      </x:c>
      <x:c r="L116" s="21" t="str">
        <x:v>H3303</x:v>
      </x:c>
      <x:c r="M116" s="21" t="str">
        <x:v>adjective</x:v>
      </x:c>
      <x:c r="N116" s="21" t="str">
        <x:v>否</x:v>
      </x:c>
      <x:c r="O116" s="21" t="str"/>
      <x:c r="P116" s="21" t="str">
        <x:v>source_and_lexicon_matched</x:v>
      </x:c>
      <x:c r="Q116" s="21" t="str">
        <x:v>rule_generated_exception_review</x:v>
      </x:c>
      <x:c r="R116" s="20" t="str">
        <x:v>https://hebrewsyntax.org/bbh2new/</x:v>
      </x:c>
    </x:row>
    <x:row r="117" ht="28" customHeight="1">
      <x:c r="A117" s="21" t="n">
        <x:v>113</x:v>
      </x:c>
      <x:c r="B117" s="21" t="n">
        <x:f>ROUNDUP(A117/20,0)</x:f>
        <x:v>6</x:v>
      </x:c>
      <x:c r="C117" s="21" t="n">
        <x:f>MOD(A117-1,20)+1</x:f>
        <x:v>13</x:v>
      </x:c>
      <x:c r="D117" s="18" t="str">
        <x:v>יָשָׁר</x:v>
      </x:c>
      <x:c r="E117" s="19" t="str">
        <x:v>yāšār</x:v>
      </x:c>
      <x:c r="F117" s="16" t="str">
        <x:v>ישר</x:v>
      </x:c>
      <x:c r="G117" s="20" t="str">
        <x:v>upright, just, level, straight</x:v>
      </x:c>
      <x:c r="H117" s="20" t="str"/>
      <x:c r="I117" s="21" t="str">
        <x:v>BBH2 課序</x:v>
      </x:c>
      <x:c r="J117" s="21" t="n">
        <x:v>7</x:v>
      </x:c>
      <x:c r="K117" s="22" t="n">
        <x:v>119</x:v>
      </x:c>
      <x:c r="L117" s="21" t="str">
        <x:v>H3477</x:v>
      </x:c>
      <x:c r="M117" s="21" t="str">
        <x:v>adjective</x:v>
      </x:c>
      <x:c r="N117" s="21" t="str">
        <x:v>否</x:v>
      </x:c>
      <x:c r="O117" s="21" t="str"/>
      <x:c r="P117" s="21" t="str">
        <x:v>source_and_lexicon_matched</x:v>
      </x:c>
      <x:c r="Q117" s="21" t="str">
        <x:v>rule_generated_exception_review</x:v>
      </x:c>
      <x:c r="R117" s="20" t="str">
        <x:v>https://hebrewsyntax.org/bbh2new/</x:v>
      </x:c>
    </x:row>
    <x:row r="118" ht="28" customHeight="1">
      <x:c r="A118" s="21" t="n">
        <x:v>114</x:v>
      </x:c>
      <x:c r="B118" s="21" t="n">
        <x:f>ROUNDUP(A118/20,0)</x:f>
        <x:v>6</x:v>
      </x:c>
      <x:c r="C118" s="21" t="n">
        <x:f>MOD(A118-1,20)+1</x:f>
        <x:v>14</x:v>
      </x:c>
      <x:c r="D118" s="18" t="str">
        <x:v>כֵּן</x:v>
      </x:c>
      <x:c r="E118" s="19" t="str">
        <x:v>kēn</x:v>
      </x:c>
      <x:c r="F118" s="16" t="str">
        <x:v>כן</x:v>
      </x:c>
      <x:c r="G118" s="20" t="str">
        <x:v>so, thus</x:v>
      </x:c>
      <x:c r="H118" s="20" t="str"/>
      <x:c r="I118" s="21" t="str">
        <x:v>BBH2 課序</x:v>
      </x:c>
      <x:c r="J118" s="21" t="n">
        <x:v>7</x:v>
      </x:c>
      <x:c r="K118" s="22" t="n">
        <x:v>771</x:v>
      </x:c>
      <x:c r="L118" s="21" t="str">
        <x:v>H3651</x:v>
      </x:c>
      <x:c r="M118" s="21" t="str">
        <x:v>particle</x:v>
      </x:c>
      <x:c r="N118" s="21" t="str">
        <x:v>否</x:v>
      </x:c>
      <x:c r="O118" s="21" t="str"/>
      <x:c r="P118" s="21" t="str">
        <x:v>source_and_lexicon_matched</x:v>
      </x:c>
      <x:c r="Q118" s="21" t="str">
        <x:v>rule_generated_exception_review</x:v>
      </x:c>
      <x:c r="R118" s="20" t="str">
        <x:v>https://hebrewsyntax.org/bbh2new/</x:v>
      </x:c>
    </x:row>
    <x:row r="119" ht="28" customHeight="1">
      <x:c r="A119" s="21" t="n">
        <x:v>115</x:v>
      </x:c>
      <x:c r="B119" s="21" t="n">
        <x:f>ROUNDUP(A119/20,0)</x:f>
        <x:v>6</x:v>
      </x:c>
      <x:c r="C119" s="21" t="n">
        <x:f>MOD(A119-1,20)+1</x:f>
        <x:v>15</x:v>
      </x:c>
      <x:c r="D119" s="18" t="str">
        <x:v>לָכֵן</x:v>
      </x:c>
      <x:c r="E119" s="19" t="str">
        <x:v>lāḵēn</x:v>
      </x:c>
      <x:c r="F119" s="16" t="str">
        <x:v>לכן</x:v>
      </x:c>
      <x:c r="G119" s="20" t="str">
        <x:v>therefore</x:v>
      </x:c>
      <x:c r="H119" s="20" t="str"/>
      <x:c r="I119" s="21" t="str">
        <x:v>BBH2 課序</x:v>
      </x:c>
      <x:c r="J119" s="21" t="n">
        <x:v>7</x:v>
      </x:c>
      <x:c r="K119" s="22" t="n">
        <x:v>771</x:v>
      </x:c>
      <x:c r="L119" s="21" t="str">
        <x:v>H3651</x:v>
      </x:c>
      <x:c r="M119" s="21" t="str">
        <x:v>particle</x:v>
      </x:c>
      <x:c r="N119" s="21" t="str">
        <x:v>否</x:v>
      </x:c>
      <x:c r="O119" s="21" t="str"/>
      <x:c r="P119" s="21" t="str">
        <x:v>source_and_lexicon_matched</x:v>
      </x:c>
      <x:c r="Q119" s="21" t="str">
        <x:v>rule_generated_exception_review</x:v>
      </x:c>
      <x:c r="R119" s="20" t="str">
        <x:v>https://hebrewsyntax.org/bbh2new/</x:v>
      </x:c>
    </x:row>
    <x:row r="120" ht="28" customHeight="1">
      <x:c r="A120" s="21" t="n">
        <x:v>116</x:v>
      </x:c>
      <x:c r="B120" s="21" t="n">
        <x:f>ROUNDUP(A120/20,0)</x:f>
        <x:v>6</x:v>
      </x:c>
      <x:c r="C120" s="21" t="n">
        <x:f>MOD(A120-1,20)+1</x:f>
        <x:v>16</x:v>
      </x:c>
      <x:c r="D120" s="18" t="str">
        <x:v>עַל־כֵּן</x:v>
      </x:c>
      <x:c r="E120" s="19" t="str">
        <x:v>ʿal-kēn</x:v>
      </x:c>
      <x:c r="F120" s="16" t="str">
        <x:v>עלכן</x:v>
      </x:c>
      <x:c r="G120" s="20" t="str">
        <x:v>therefore</x:v>
      </x:c>
      <x:c r="H120" s="20" t="str"/>
      <x:c r="I120" s="21" t="str">
        <x:v>BBH2 課序</x:v>
      </x:c>
      <x:c r="J120" s="21" t="n">
        <x:v>7</x:v>
      </x:c>
      <x:c r="K120" s="22"/>
      <x:c r="L120" s="21" t="str"/>
      <x:c r="M120" s="21" t="str">
        <x:v>adverbial_phrase</x:v>
      </x:c>
      <x:c r="N120" s="21" t="str">
        <x:v>否</x:v>
      </x:c>
      <x:c r="O120" s="21" t="str"/>
      <x:c r="P120" s="21" t="str">
        <x:v>source_verified</x:v>
      </x:c>
      <x:c r="Q120" s="21" t="str">
        <x:v>rule_generated_exception_review</x:v>
      </x:c>
      <x:c r="R120" s="20" t="str">
        <x:v>https://hebrewsyntax.org/bbh2new/</x:v>
      </x:c>
    </x:row>
    <x:row r="121" ht="28" customHeight="1">
      <x:c r="A121" s="21" t="n">
        <x:v>117</x:v>
      </x:c>
      <x:c r="B121" s="21" t="n">
        <x:f>ROUNDUP(A121/20,0)</x:f>
        <x:v>6</x:v>
      </x:c>
      <x:c r="C121" s="21" t="n">
        <x:f>MOD(A121-1,20)+1</x:f>
        <x:v>17</x:v>
      </x:c>
      <x:c r="D121" s="18" t="str">
        <x:v>מְאֹד</x:v>
      </x:c>
      <x:c r="E121" s="19" t="str">
        <x:v>məʾōḏ</x:v>
      </x:c>
      <x:c r="F121" s="16" t="str">
        <x:v>מאד</x:v>
      </x:c>
      <x:c r="G121" s="20" t="str">
        <x:v>very, exceedingly</x:v>
      </x:c>
      <x:c r="H121" s="20" t="str"/>
      <x:c r="I121" s="21" t="str">
        <x:v>BBH2 課序</x:v>
      </x:c>
      <x:c r="J121" s="21" t="n">
        <x:v>7</x:v>
      </x:c>
      <x:c r="K121" s="22" t="n">
        <x:v>300</x:v>
      </x:c>
      <x:c r="L121" s="21" t="str">
        <x:v>H3966</x:v>
      </x:c>
      <x:c r="M121" s="21" t="str">
        <x:v>adverb</x:v>
      </x:c>
      <x:c r="N121" s="21" t="str">
        <x:v>否</x:v>
      </x:c>
      <x:c r="O121" s="21" t="str"/>
      <x:c r="P121" s="21" t="str">
        <x:v>source_and_lexicon_matched</x:v>
      </x:c>
      <x:c r="Q121" s="21" t="str">
        <x:v>rule_generated_exception_review</x:v>
      </x:c>
      <x:c r="R121" s="20" t="str">
        <x:v>https://hebrewsyntax.org/bbh2new/</x:v>
      </x:c>
    </x:row>
    <x:row r="122" ht="28" customHeight="1">
      <x:c r="A122" s="21" t="n">
        <x:v>118</x:v>
      </x:c>
      <x:c r="B122" s="21" t="n">
        <x:f>ROUNDUP(A122/20,0)</x:f>
        <x:v>6</x:v>
      </x:c>
      <x:c r="C122" s="21" t="n">
        <x:f>MOD(A122-1,20)+1</x:f>
        <x:v>18</x:v>
      </x:c>
      <x:c r="D122" s="18" t="str">
        <x:v>מְעַט</x:v>
      </x:c>
      <x:c r="E122" s="19" t="str">
        <x:v>məʿaṭ</x:v>
      </x:c>
      <x:c r="F122" s="16" t="str">
        <x:v>מעט</x:v>
      </x:c>
      <x:c r="G122" s="20" t="str">
        <x:v>little, few</x:v>
      </x:c>
      <x:c r="H122" s="20" t="str"/>
      <x:c r="I122" s="21" t="str">
        <x:v>BBH2 課序</x:v>
      </x:c>
      <x:c r="J122" s="21" t="n">
        <x:v>7</x:v>
      </x:c>
      <x:c r="K122" s="22" t="n">
        <x:v>101</x:v>
      </x:c>
      <x:c r="L122" s="21" t="str">
        <x:v>H4592</x:v>
      </x:c>
      <x:c r="M122" s="21" t="str">
        <x:v>noun</x:v>
      </x:c>
      <x:c r="N122" s="21" t="str">
        <x:v>否</x:v>
      </x:c>
      <x:c r="O122" s="21" t="str"/>
      <x:c r="P122" s="21" t="str">
        <x:v>source_and_lexicon_matched</x:v>
      </x:c>
      <x:c r="Q122" s="21" t="str">
        <x:v>rule_generated_exception_review</x:v>
      </x:c>
      <x:c r="R122" s="20" t="str">
        <x:v>https://hebrewsyntax.org/bbh2new/</x:v>
      </x:c>
    </x:row>
    <x:row r="123" ht="28" customHeight="1">
      <x:c r="A123" s="21" t="n">
        <x:v>119</x:v>
      </x:c>
      <x:c r="B123" s="21" t="n">
        <x:f>ROUNDUP(A123/20,0)</x:f>
        <x:v>6</x:v>
      </x:c>
      <x:c r="C123" s="21" t="n">
        <x:f>MOD(A123-1,20)+1</x:f>
        <x:v>19</x:v>
      </x:c>
      <x:c r="D123" s="18" t="str">
        <x:v>עַתָּה</x:v>
      </x:c>
      <x:c r="E123" s="19" t="str">
        <x:v>ʿattâ</x:v>
      </x:c>
      <x:c r="F123" s="16" t="str">
        <x:v>עתה</x:v>
      </x:c>
      <x:c r="G123" s="20" t="str">
        <x:v>now, after all, at last, then</x:v>
      </x:c>
      <x:c r="H123" s="20" t="str"/>
      <x:c r="I123" s="21" t="str">
        <x:v>BBH2 課序</x:v>
      </x:c>
      <x:c r="J123" s="21" t="n">
        <x:v>7</x:v>
      </x:c>
      <x:c r="K123" s="22" t="n">
        <x:v>435</x:v>
      </x:c>
      <x:c r="L123" s="21" t="str">
        <x:v>H6258</x:v>
      </x:c>
      <x:c r="M123" s="21" t="str">
        <x:v>adverb</x:v>
      </x:c>
      <x:c r="N123" s="21" t="str">
        <x:v>否</x:v>
      </x:c>
      <x:c r="O123" s="21" t="str"/>
      <x:c r="P123" s="21" t="str">
        <x:v>source_and_lexicon_matched</x:v>
      </x:c>
      <x:c r="Q123" s="21" t="str">
        <x:v>rule_generated_exception_review</x:v>
      </x:c>
      <x:c r="R123" s="20" t="str">
        <x:v>https://hebrewsyntax.org/bbh2new/</x:v>
      </x:c>
    </x:row>
    <x:row r="124" ht="28" customHeight="1">
      <x:c r="A124" s="21" t="n">
        <x:v>120</x:v>
      </x:c>
      <x:c r="B124" s="21" t="n">
        <x:f>ROUNDUP(A124/20,0)</x:f>
        <x:v>6</x:v>
      </x:c>
      <x:c r="C124" s="21" t="n">
        <x:f>MOD(A124-1,20)+1</x:f>
        <x:v>20</x:v>
      </x:c>
      <x:c r="D124" s="18" t="str">
        <x:v>צַדִּיק</x:v>
      </x:c>
      <x:c r="E124" s="19" t="str">
        <x:v>ṣaddîq</x:v>
      </x:c>
      <x:c r="F124" s="16" t="str">
        <x:v>צדיק</x:v>
      </x:c>
      <x:c r="G124" s="20" t="str">
        <x:v>righteous, just, innocent</x:v>
      </x:c>
      <x:c r="H124" s="20" t="str"/>
      <x:c r="I124" s="21" t="str">
        <x:v>BBH2 課序</x:v>
      </x:c>
      <x:c r="J124" s="21" t="n">
        <x:v>7</x:v>
      </x:c>
      <x:c r="K124" s="22" t="n">
        <x:v>206</x:v>
      </x:c>
      <x:c r="L124" s="21" t="str">
        <x:v>H6662</x:v>
      </x:c>
      <x:c r="M124" s="21" t="str">
        <x:v>adjective</x:v>
      </x:c>
      <x:c r="N124" s="21" t="str">
        <x:v>否</x:v>
      </x:c>
      <x:c r="O124" s="21" t="str"/>
      <x:c r="P124" s="21" t="str">
        <x:v>source_and_lexicon_matched</x:v>
      </x:c>
      <x:c r="Q124" s="21" t="str">
        <x:v>rule_generated_exception_review</x:v>
      </x:c>
      <x:c r="R124" s="20" t="str">
        <x:v>https://hebrewsyntax.org/bbh2new/</x:v>
      </x:c>
    </x:row>
    <x:row r="125" ht="28" customHeight="1">
      <x:c r="A125" s="21" t="n">
        <x:v>121</x:v>
      </x:c>
      <x:c r="B125" s="21" t="n">
        <x:f>ROUNDUP(A125/20,0)</x:f>
        <x:v>7</x:v>
      </x:c>
      <x:c r="C125" s="21" t="n">
        <x:f>MOD(A125-1,20)+1</x:f>
        <x:v>1</x:v>
      </x:c>
      <x:c r="D125" s="18" t="str">
        <x:v>קֹ֫דֶשׁ</x:v>
      </x:c>
      <x:c r="E125" s="19" t="str">
        <x:v>qōḏeš</x:v>
      </x:c>
      <x:c r="F125" s="16" t="str">
        <x:v>קדש</x:v>
      </x:c>
      <x:c r="G125" s="20" t="str">
        <x:v>holiness, something that is holy</x:v>
      </x:c>
      <x:c r="H125" s="20" t="str"/>
      <x:c r="I125" s="21" t="str">
        <x:v>BBH2 課序</x:v>
      </x:c>
      <x:c r="J125" s="21" t="n">
        <x:v>7</x:v>
      </x:c>
      <x:c r="K125" s="22" t="n">
        <x:v>467</x:v>
      </x:c>
      <x:c r="L125" s="21" t="str">
        <x:v>H6944</x:v>
      </x:c>
      <x:c r="M125" s="21" t="str">
        <x:v>noun</x:v>
      </x:c>
      <x:c r="N125" s="21" t="str">
        <x:v>否</x:v>
      </x:c>
      <x:c r="O125" s="21" t="str"/>
      <x:c r="P125" s="21" t="str">
        <x:v>source_and_lexicon_matched</x:v>
      </x:c>
      <x:c r="Q125" s="21" t="str">
        <x:v>rule_generated_exception_review</x:v>
      </x:c>
      <x:c r="R125" s="20" t="str">
        <x:v>https://hebrewsyntax.org/bbh2new/</x:v>
      </x:c>
    </x:row>
    <x:row r="126" ht="28" customHeight="1">
      <x:c r="A126" s="21" t="n">
        <x:v>122</x:v>
      </x:c>
      <x:c r="B126" s="21" t="n">
        <x:f>ROUNDUP(A126/20,0)</x:f>
        <x:v>7</x:v>
      </x:c>
      <x:c r="C126" s="21" t="n">
        <x:f>MOD(A126-1,20)+1</x:f>
        <x:v>2</x:v>
      </x:c>
      <x:c r="D126" s="18" t="str">
        <x:v>קָדוֹשׁ</x:v>
      </x:c>
      <x:c r="E126" s="19" t="str">
        <x:v>qāḏôš</x:v>
      </x:c>
      <x:c r="F126" s="16" t="str">
        <x:v>קדוש</x:v>
      </x:c>
      <x:c r="G126" s="20" t="str">
        <x:v>holy, set apart</x:v>
      </x:c>
      <x:c r="H126" s="20" t="str"/>
      <x:c r="I126" s="21" t="str">
        <x:v>BBH2 課序</x:v>
      </x:c>
      <x:c r="J126" s="21" t="n">
        <x:v>7</x:v>
      </x:c>
      <x:c r="K126" s="22" t="n">
        <x:v>119</x:v>
      </x:c>
      <x:c r="L126" s="21" t="str">
        <x:v>H6918</x:v>
      </x:c>
      <x:c r="M126" s="21" t="str">
        <x:v>adjective</x:v>
      </x:c>
      <x:c r="N126" s="21" t="str">
        <x:v>否</x:v>
      </x:c>
      <x:c r="O126" s="21" t="str"/>
      <x:c r="P126" s="21" t="str">
        <x:v>source_and_lexicon_matched</x:v>
      </x:c>
      <x:c r="Q126" s="21" t="str">
        <x:v>rule_generated_exception_review</x:v>
      </x:c>
      <x:c r="R126" s="20" t="str">
        <x:v>https://hebrewsyntax.org/bbh2new/</x:v>
      </x:c>
    </x:row>
    <x:row r="127" ht="28" customHeight="1">
      <x:c r="A127" s="21" t="n">
        <x:v>123</x:v>
      </x:c>
      <x:c r="B127" s="21" t="n">
        <x:f>ROUNDUP(A127/20,0)</x:f>
        <x:v>7</x:v>
      </x:c>
      <x:c r="C127" s="21" t="n">
        <x:f>MOD(A127-1,20)+1</x:f>
        <x:v>3</x:v>
      </x:c>
      <x:c r="D127" s="18" t="str">
        <x:v>קָטֹן</x:v>
      </x:c>
      <x:c r="E127" s="19" t="str">
        <x:v>qāṭōn</x:v>
      </x:c>
      <x:c r="F127" s="16" t="str">
        <x:v>קטן</x:v>
      </x:c>
      <x:c r="G127" s="20" t="str">
        <x:v>small, young, insignificant</x:v>
      </x:c>
      <x:c r="H127" s="20" t="str"/>
      <x:c r="I127" s="21" t="str">
        <x:v>BBH2 課序</x:v>
      </x:c>
      <x:c r="J127" s="21" t="n">
        <x:v>7</x:v>
      </x:c>
      <x:c r="K127" s="22" t="n">
        <x:v>101</x:v>
      </x:c>
      <x:c r="L127" s="21" t="str">
        <x:v>H6996</x:v>
      </x:c>
      <x:c r="M127" s="21" t="str">
        <x:v>adjective</x:v>
      </x:c>
      <x:c r="N127" s="21" t="str">
        <x:v>否</x:v>
      </x:c>
      <x:c r="O127" s="21" t="str"/>
      <x:c r="P127" s="21" t="str">
        <x:v>source_and_lexicon_matched</x:v>
      </x:c>
      <x:c r="Q127" s="21" t="str">
        <x:v>rule_generated_exception_review</x:v>
      </x:c>
      <x:c r="R127" s="20" t="str">
        <x:v>https://hebrewsyntax.org/bbh2new/</x:v>
      </x:c>
    </x:row>
    <x:row r="128" ht="28" customHeight="1">
      <x:c r="A128" s="21" t="n">
        <x:v>124</x:v>
      </x:c>
      <x:c r="B128" s="21" t="n">
        <x:f>ROUNDUP(A128/20,0)</x:f>
        <x:v>7</x:v>
      </x:c>
      <x:c r="C128" s="21" t="n">
        <x:f>MOD(A128-1,20)+1</x:f>
        <x:v>4</x:v>
      </x:c>
      <x:c r="D128" s="18" t="str">
        <x:v>קָרוֹב</x:v>
      </x:c>
      <x:c r="E128" s="19" t="str">
        <x:v>qārôḇ</x:v>
      </x:c>
      <x:c r="F128" s="16" t="str">
        <x:v>קרוב</x:v>
      </x:c>
      <x:c r="G128" s="20" t="str">
        <x:v>near, close</x:v>
      </x:c>
      <x:c r="H128" s="20" t="str"/>
      <x:c r="I128" s="21" t="str">
        <x:v>BBH2 課序</x:v>
      </x:c>
      <x:c r="J128" s="21" t="n">
        <x:v>7</x:v>
      </x:c>
      <x:c r="K128" s="22" t="n">
        <x:v>78</x:v>
      </x:c>
      <x:c r="L128" s="21" t="str">
        <x:v>H7138</x:v>
      </x:c>
      <x:c r="M128" s="21" t="str">
        <x:v>adjective</x:v>
      </x:c>
      <x:c r="N128" s="21" t="str">
        <x:v>否</x:v>
      </x:c>
      <x:c r="O128" s="21" t="str"/>
      <x:c r="P128" s="21" t="str">
        <x:v>source_and_lexicon_matched</x:v>
      </x:c>
      <x:c r="Q128" s="21" t="str">
        <x:v>rule_generated_exception_review</x:v>
      </x:c>
      <x:c r="R128" s="20" t="str">
        <x:v>https://hebrewsyntax.org/bbh2new/</x:v>
      </x:c>
    </x:row>
    <x:row r="129" ht="28" customHeight="1">
      <x:c r="A129" s="21" t="n">
        <x:v>125</x:v>
      </x:c>
      <x:c r="B129" s="21" t="n">
        <x:f>ROUNDUP(A129/20,0)</x:f>
        <x:v>7</x:v>
      </x:c>
      <x:c r="C129" s="21" t="n">
        <x:f>MOD(A129-1,20)+1</x:f>
        <x:v>5</x:v>
      </x:c>
      <x:c r="D129" s="18" t="str">
        <x:v>קָשֶׁה</x:v>
      </x:c>
      <x:c r="E129" s="19" t="str">
        <x:v>qāšê</x:v>
      </x:c>
      <x:c r="F129" s="16" t="str">
        <x:v>קשה</x:v>
      </x:c>
      <x:c r="G129" s="20" t="str">
        <x:v>difficult, hard, severe</x:v>
      </x:c>
      <x:c r="H129" s="20" t="str"/>
      <x:c r="I129" s="21" t="str">
        <x:v>BBH2 課序</x:v>
      </x:c>
      <x:c r="J129" s="21" t="n">
        <x:v>7</x:v>
      </x:c>
      <x:c r="K129" s="22" t="n">
        <x:v>36</x:v>
      </x:c>
      <x:c r="L129" s="21" t="str">
        <x:v>H7186</x:v>
      </x:c>
      <x:c r="M129" s="21" t="str">
        <x:v>adjective</x:v>
      </x:c>
      <x:c r="N129" s="21" t="str">
        <x:v>否</x:v>
      </x:c>
      <x:c r="O129" s="21" t="str"/>
      <x:c r="P129" s="21" t="str">
        <x:v>source_and_lexicon_matched</x:v>
      </x:c>
      <x:c r="Q129" s="21" t="str">
        <x:v>rule_generated_exception_review</x:v>
      </x:c>
      <x:c r="R129" s="20" t="str">
        <x:v>https://hebrewsyntax.org/bbh2new/</x:v>
      </x:c>
    </x:row>
    <x:row r="130" ht="28" customHeight="1">
      <x:c r="A130" s="21" t="n">
        <x:v>126</x:v>
      </x:c>
      <x:c r="B130" s="21" t="n">
        <x:f>ROUNDUP(A130/20,0)</x:f>
        <x:v>7</x:v>
      </x:c>
      <x:c r="C130" s="21" t="n">
        <x:f>MOD(A130-1,20)+1</x:f>
        <x:v>6</x:v>
      </x:c>
      <x:c r="D130" s="18" t="str">
        <x:v>רָחוֹק</x:v>
      </x:c>
      <x:c r="E130" s="19" t="str">
        <x:v>rāḥôq</x:v>
      </x:c>
      <x:c r="F130" s="16" t="str">
        <x:v>רחוק</x:v>
      </x:c>
      <x:c r="G130" s="20" t="str">
        <x:v>distant, remote, far away</x:v>
      </x:c>
      <x:c r="H130" s="20" t="str"/>
      <x:c r="I130" s="21" t="str">
        <x:v>BBH2 課序</x:v>
      </x:c>
      <x:c r="J130" s="21" t="n">
        <x:v>7</x:v>
      </x:c>
      <x:c r="K130" s="22" t="n">
        <x:v>85</x:v>
      </x:c>
      <x:c r="L130" s="21" t="str">
        <x:v>H7350</x:v>
      </x:c>
      <x:c r="M130" s="21" t="str">
        <x:v>adjective</x:v>
      </x:c>
      <x:c r="N130" s="21" t="str">
        <x:v>否</x:v>
      </x:c>
      <x:c r="O130" s="21" t="str"/>
      <x:c r="P130" s="21" t="str">
        <x:v>source_and_lexicon_matched</x:v>
      </x:c>
      <x:c r="Q130" s="21" t="str">
        <x:v>rule_generated_exception_review</x:v>
      </x:c>
      <x:c r="R130" s="20" t="str">
        <x:v>https://hebrewsyntax.org/bbh2new/</x:v>
      </x:c>
    </x:row>
    <x:row r="131" ht="28" customHeight="1">
      <x:c r="A131" s="21" t="n">
        <x:v>127</x:v>
      </x:c>
      <x:c r="B131" s="21" t="n">
        <x:f>ROUNDUP(A131/20,0)</x:f>
        <x:v>7</x:v>
      </x:c>
      <x:c r="C131" s="21" t="n">
        <x:f>MOD(A131-1,20)+1</x:f>
        <x:v>7</x:v>
      </x:c>
      <x:c r="D131" s="18" t="str">
        <x:v>רַב</x:v>
      </x:c>
      <x:c r="E131" s="19" t="str">
        <x:v>raḇ</x:v>
      </x:c>
      <x:c r="F131" s="16" t="str">
        <x:v>רב</x:v>
      </x:c>
      <x:c r="G131" s="20" t="str">
        <x:v>great, many</x:v>
      </x:c>
      <x:c r="H131" s="20" t="str"/>
      <x:c r="I131" s="21" t="str">
        <x:v>BBH2 課序</x:v>
      </x:c>
      <x:c r="J131" s="21" t="n">
        <x:v>7</x:v>
      </x:c>
      <x:c r="K131" s="22" t="n">
        <x:v>461</x:v>
      </x:c>
      <x:c r="L131" s="21" t="str">
        <x:v>H7227</x:v>
      </x:c>
      <x:c r="M131" s="21" t="str">
        <x:v>adjective</x:v>
      </x:c>
      <x:c r="N131" s="21" t="str">
        <x:v>否</x:v>
      </x:c>
      <x:c r="O131" s="21" t="str"/>
      <x:c r="P131" s="21" t="str">
        <x:v>source_and_lexicon_matched</x:v>
      </x:c>
      <x:c r="Q131" s="21" t="str">
        <x:v>rule_generated_exception_review</x:v>
      </x:c>
      <x:c r="R131" s="20" t="str">
        <x:v>https://hebrewsyntax.org/bbh2new/</x:v>
      </x:c>
    </x:row>
    <x:row r="132" ht="28" customHeight="1">
      <x:c r="A132" s="21" t="n">
        <x:v>128</x:v>
      </x:c>
      <x:c r="B132" s="21" t="n">
        <x:f>ROUNDUP(A132/20,0)</x:f>
        <x:v>7</x:v>
      </x:c>
      <x:c r="C132" s="21" t="n">
        <x:f>MOD(A132-1,20)+1</x:f>
        <x:v>8</x:v>
      </x:c>
      <x:c r="D132" s="18" t="str">
        <x:v>רַע</x:v>
      </x:c>
      <x:c r="E132" s="19" t="str">
        <x:v>raʿ</x:v>
      </x:c>
      <x:c r="F132" s="16" t="str">
        <x:v>רע</x:v>
      </x:c>
      <x:c r="G132" s="20" t="str">
        <x:v>bad, evil, wicked</x:v>
      </x:c>
      <x:c r="H132" s="20" t="str"/>
      <x:c r="I132" s="21" t="str">
        <x:v>BBH2 課序</x:v>
      </x:c>
      <x:c r="J132" s="21" t="n">
        <x:v>7</x:v>
      </x:c>
      <x:c r="K132" s="22" t="n">
        <x:v>666</x:v>
      </x:c>
      <x:c r="L132" s="21" t="str">
        <x:v>H7451</x:v>
      </x:c>
      <x:c r="M132" s="21" t="str">
        <x:v>adjective</x:v>
      </x:c>
      <x:c r="N132" s="21" t="str">
        <x:v>否</x:v>
      </x:c>
      <x:c r="O132" s="21" t="str"/>
      <x:c r="P132" s="21" t="str">
        <x:v>source_and_lexicon_matched</x:v>
      </x:c>
      <x:c r="Q132" s="21" t="str">
        <x:v>rule_generated_exception_review</x:v>
      </x:c>
      <x:c r="R132" s="20" t="str">
        <x:v>https://hebrewsyntax.org/bbh2new/</x:v>
      </x:c>
    </x:row>
    <x:row r="133" ht="28" customHeight="1">
      <x:c r="A133" s="21" t="n">
        <x:v>129</x:v>
      </x:c>
      <x:c r="B133" s="21" t="n">
        <x:f>ROUNDUP(A133/20,0)</x:f>
        <x:v>7</x:v>
      </x:c>
      <x:c r="C133" s="21" t="n">
        <x:f>MOD(A133-1,20)+1</x:f>
        <x:v>9</x:v>
      </x:c>
      <x:c r="D133" s="18" t="str">
        <x:v>רָשָׁע</x:v>
      </x:c>
      <x:c r="E133" s="19" t="str">
        <x:v>rāšāʿ</x:v>
      </x:c>
      <x:c r="F133" s="16" t="str">
        <x:v>רשע</x:v>
      </x:c>
      <x:c r="G133" s="20" t="str">
        <x:v>wicked, guilty</x:v>
      </x:c>
      <x:c r="H133" s="20" t="str"/>
      <x:c r="I133" s="21" t="str">
        <x:v>BBH2 課序</x:v>
      </x:c>
      <x:c r="J133" s="21" t="n">
        <x:v>7</x:v>
      </x:c>
      <x:c r="K133" s="22" t="n">
        <x:v>263</x:v>
      </x:c>
      <x:c r="L133" s="21" t="str">
        <x:v>H7563</x:v>
      </x:c>
      <x:c r="M133" s="21" t="str">
        <x:v>adjective</x:v>
      </x:c>
      <x:c r="N133" s="21" t="str">
        <x:v>否</x:v>
      </x:c>
      <x:c r="O133" s="21" t="str"/>
      <x:c r="P133" s="21" t="str">
        <x:v>source_and_lexicon_matched</x:v>
      </x:c>
      <x:c r="Q133" s="21" t="str">
        <x:v>rule_generated_exception_review</x:v>
      </x:c>
      <x:c r="R133" s="20" t="str">
        <x:v>https://hebrewsyntax.org/bbh2new/</x:v>
      </x:c>
    </x:row>
    <x:row r="134" ht="28" customHeight="1">
      <x:c r="A134" s="21" t="n">
        <x:v>130</x:v>
      </x:c>
      <x:c r="B134" s="21" t="n">
        <x:f>ROUNDUP(A134/20,0)</x:f>
        <x:v>7</x:v>
      </x:c>
      <x:c r="C134" s="21" t="n">
        <x:f>MOD(A134-1,20)+1</x:f>
        <x:v>10</x:v>
      </x:c>
      <x:c r="D134" s="18" t="str">
        <x:v>שִׁיר</x:v>
      </x:c>
      <x:c r="E134" s="19" t="str">
        <x:v>šîr</x:v>
      </x:c>
      <x:c r="F134" s="16" t="str">
        <x:v>שיר</x:v>
      </x:c>
      <x:c r="G134" s="20" t="str">
        <x:v>song [ch27: to sing]</x:v>
      </x:c>
      <x:c r="H134" s="20" t="str"/>
      <x:c r="I134" s="21" t="str">
        <x:v>BBH2 課序</x:v>
      </x:c>
      <x:c r="J134" s="21" t="n">
        <x:v>7</x:v>
      </x:c>
      <x:c r="K134" s="22" t="n">
        <x:v>91</x:v>
      </x:c>
      <x:c r="L134" s="21" t="str">
        <x:v>H7892</x:v>
      </x:c>
      <x:c r="M134" s="21" t="str">
        <x:v>noun</x:v>
      </x:c>
      <x:c r="N134" s="21" t="str">
        <x:v>否</x:v>
      </x:c>
      <x:c r="O134" s="21" t="str"/>
      <x:c r="P134" s="21" t="str">
        <x:v>source_and_lexicon_matched</x:v>
      </x:c>
      <x:c r="Q134" s="21" t="str">
        <x:v>rule_generated_exception_review</x:v>
      </x:c>
      <x:c r="R134" s="20" t="str">
        <x:v>https://hebrewsyntax.org/bbh2new/</x:v>
      </x:c>
    </x:row>
    <x:row r="135" ht="28" customHeight="1">
      <x:c r="A135" s="21" t="n">
        <x:v>131</x:v>
      </x:c>
      <x:c r="B135" s="21" t="n">
        <x:f>ROUNDUP(A135/20,0)</x:f>
        <x:v>7</x:v>
      </x:c>
      <x:c r="C135" s="21" t="n">
        <x:f>MOD(A135-1,20)+1</x:f>
        <x:v>11</x:v>
      </x:c>
      <x:c r="D135" s="18" t="str">
        <x:v>אֹ֫הֶל</x:v>
      </x:c>
      <x:c r="E135" s="19" t="str">
        <x:v>ʾōhel</x:v>
      </x:c>
      <x:c r="F135" s="16" t="str">
        <x:v>אהל</x:v>
      </x:c>
      <x:c r="G135" s="20" t="str">
        <x:v>tent</x:v>
      </x:c>
      <x:c r="H135" s="20" t="str"/>
      <x:c r="I135" s="21" t="str">
        <x:v>BBH2 課序</x:v>
      </x:c>
      <x:c r="J135" s="21" t="n">
        <x:v>8</x:v>
      </x:c>
      <x:c r="K135" s="22" t="n">
        <x:v>348</x:v>
      </x:c>
      <x:c r="L135" s="21" t="str">
        <x:v>H168</x:v>
      </x:c>
      <x:c r="M135" s="21" t="str">
        <x:v>noun</x:v>
      </x:c>
      <x:c r="N135" s="21" t="str">
        <x:v>否</x:v>
      </x:c>
      <x:c r="O135" s="21" t="str"/>
      <x:c r="P135" s="21" t="str">
        <x:v>source_and_lexicon_matched</x:v>
      </x:c>
      <x:c r="Q135" s="21" t="str">
        <x:v>rule_generated_exception_review</x:v>
      </x:c>
      <x:c r="R135" s="20" t="str">
        <x:v>https://hebrewsyntax.org/bbh2new/</x:v>
      </x:c>
    </x:row>
    <x:row r="136" ht="28" customHeight="1">
      <x:c r="A136" s="21" t="n">
        <x:v>132</x:v>
      </x:c>
      <x:c r="B136" s="21" t="n">
        <x:f>ROUNDUP(A136/20,0)</x:f>
        <x:v>7</x:v>
      </x:c>
      <x:c r="C136" s="21" t="n">
        <x:f>MOD(A136-1,20)+1</x:f>
        <x:v>12</x:v>
      </x:c>
      <x:c r="D136" s="18" t="str">
        <x:v>אַחֵר</x:v>
      </x:c>
      <x:c r="E136" s="19" t="str">
        <x:v>ʾaḥēr</x:v>
      </x:c>
      <x:c r="F136" s="16" t="str">
        <x:v>אחר</x:v>
      </x:c>
      <x:c r="G136" s="20" t="str">
        <x:v>other, another, foreign</x:v>
      </x:c>
      <x:c r="H136" s="20" t="str"/>
      <x:c r="I136" s="21" t="str">
        <x:v>BBH2 課序</x:v>
      </x:c>
      <x:c r="J136" s="21" t="n">
        <x:v>8</x:v>
      </x:c>
      <x:c r="K136" s="22" t="n">
        <x:v>166</x:v>
      </x:c>
      <x:c r="L136" s="21" t="str">
        <x:v>H312</x:v>
      </x:c>
      <x:c r="M136" s="21" t="str">
        <x:v>adjective</x:v>
      </x:c>
      <x:c r="N136" s="21" t="str">
        <x:v>否</x:v>
      </x:c>
      <x:c r="O136" s="21" t="str"/>
      <x:c r="P136" s="21" t="str">
        <x:v>source_and_lexicon_matched</x:v>
      </x:c>
      <x:c r="Q136" s="21" t="str">
        <x:v>rule_generated_exception_review</x:v>
      </x:c>
      <x:c r="R136" s="20" t="str">
        <x:v>https://hebrewsyntax.org/bbh2new/</x:v>
      </x:c>
    </x:row>
    <x:row r="137" ht="28" customHeight="1">
      <x:c r="A137" s="21" t="n">
        <x:v>133</x:v>
      </x:c>
      <x:c r="B137" s="21" t="n">
        <x:f>ROUNDUP(A137/20,0)</x:f>
        <x:v>7</x:v>
      </x:c>
      <x:c r="C137" s="21" t="n">
        <x:f>MOD(A137-1,20)+1</x:f>
        <x:v>13</x:v>
      </x:c>
      <x:c r="D137" s="18" t="str">
        <x:v>אֵיךְ</x:v>
      </x:c>
      <x:c r="E137" s="19" t="str">
        <x:v>ʾêḵ</x:v>
      </x:c>
      <x:c r="F137" s="16" t="str">
        <x:v>איך</x:v>
      </x:c>
      <x:c r="G137" s="20" t="str">
        <x:v>how?</x:v>
      </x:c>
      <x:c r="H137" s="20" t="str"/>
      <x:c r="I137" s="21" t="str">
        <x:v>BBH2 課序</x:v>
      </x:c>
      <x:c r="J137" s="21" t="n">
        <x:v>8</x:v>
      </x:c>
      <x:c r="K137" s="22" t="n">
        <x:v>82</x:v>
      </x:c>
      <x:c r="L137" s="21" t="str">
        <x:v>H349</x:v>
      </x:c>
      <x:c r="M137" s="21" t="str">
        <x:v>particle</x:v>
      </x:c>
      <x:c r="N137" s="21" t="str">
        <x:v>否</x:v>
      </x:c>
      <x:c r="O137" s="21" t="str"/>
      <x:c r="P137" s="21" t="str">
        <x:v>source_and_lexicon_matched</x:v>
      </x:c>
      <x:c r="Q137" s="21" t="str">
        <x:v>rule_generated_exception_review</x:v>
      </x:c>
      <x:c r="R137" s="20" t="str">
        <x:v>https://hebrewsyntax.org/bbh2new/</x:v>
      </x:c>
    </x:row>
    <x:row r="138" ht="28" customHeight="1">
      <x:c r="A138" s="21" t="n">
        <x:v>134</x:v>
      </x:c>
      <x:c r="B138" s="21" t="n">
        <x:f>ROUNDUP(A138/20,0)</x:f>
        <x:v>7</x:v>
      </x:c>
      <x:c r="C138" s="21" t="n">
        <x:f>MOD(A138-1,20)+1</x:f>
        <x:v>14</x:v>
      </x:c>
      <x:c r="D138" s="18" t="str">
        <x:v>אֵיכָה</x:v>
      </x:c>
      <x:c r="E138" s="19" t="str">
        <x:v>ʾêḵâ</x:v>
      </x:c>
      <x:c r="F138" s="16" t="str">
        <x:v>איכה</x:v>
      </x:c>
      <x:c r="G138" s="20" t="str">
        <x:v>how?</x:v>
      </x:c>
      <x:c r="H138" s="20" t="str"/>
      <x:c r="I138" s="21" t="str">
        <x:v>BBH2 課序</x:v>
      </x:c>
      <x:c r="J138" s="21" t="n">
        <x:v>8</x:v>
      </x:c>
      <x:c r="K138" s="22" t="n">
        <x:v>82</x:v>
      </x:c>
      <x:c r="L138" s="21" t="str">
        <x:v>H349</x:v>
      </x:c>
      <x:c r="M138" s="21" t="str">
        <x:v>particle</x:v>
      </x:c>
      <x:c r="N138" s="21" t="str">
        <x:v>否</x:v>
      </x:c>
      <x:c r="O138" s="21" t="str"/>
      <x:c r="P138" s="21" t="str">
        <x:v>source_and_lexicon_matched</x:v>
      </x:c>
      <x:c r="Q138" s="21" t="str">
        <x:v>rule_generated_exception_review</x:v>
      </x:c>
      <x:c r="R138" s="20" t="str">
        <x:v>https://hebrewsyntax.org/bbh2new/</x:v>
      </x:c>
    </x:row>
    <x:row r="139" ht="28" customHeight="1">
      <x:c r="A139" s="21" t="n">
        <x:v>135</x:v>
      </x:c>
      <x:c r="B139" s="21" t="n">
        <x:f>ROUNDUP(A139/20,0)</x:f>
        <x:v>7</x:v>
      </x:c>
      <x:c r="C139" s="21" t="n">
        <x:f>MOD(A139-1,20)+1</x:f>
        <x:v>15</x:v>
      </x:c>
      <x:c r="D139" s="18" t="str">
        <x:v>אֶ֫לֶף</x:v>
      </x:c>
      <x:c r="E139" s="19" t="str">
        <x:v>ʾelep̄</x:v>
      </x:c>
      <x:c r="F139" s="16" t="str">
        <x:v>אלף</x:v>
      </x:c>
      <x:c r="G139" s="20" t="str">
        <x:v>thousand</x:v>
      </x:c>
      <x:c r="H139" s="20" t="str"/>
      <x:c r="I139" s="21" t="str">
        <x:v>BBH2 課序</x:v>
      </x:c>
      <x:c r="J139" s="21" t="n">
        <x:v>8</x:v>
      </x:c>
      <x:c r="K139" s="22" t="n">
        <x:v>507</x:v>
      </x:c>
      <x:c r="L139" s="21" t="str">
        <x:v>H505</x:v>
      </x:c>
      <x:c r="M139" s="21" t="str">
        <x:v>adjective</x:v>
      </x:c>
      <x:c r="N139" s="21" t="str">
        <x:v>否</x:v>
      </x:c>
      <x:c r="O139" s="21" t="str"/>
      <x:c r="P139" s="21" t="str">
        <x:v>source_and_lexicon_matched</x:v>
      </x:c>
      <x:c r="Q139" s="21" t="str">
        <x:v>rule_generated_exception_review</x:v>
      </x:c>
      <x:c r="R139" s="20" t="str">
        <x:v>https://hebrewsyntax.org/bbh2new/</x:v>
      </x:c>
    </x:row>
    <x:row r="140" ht="28" customHeight="1">
      <x:c r="A140" s="21" t="n">
        <x:v>136</x:v>
      </x:c>
      <x:c r="B140" s="21" t="n">
        <x:f>ROUNDUP(A140/20,0)</x:f>
        <x:v>7</x:v>
      </x:c>
      <x:c r="C140" s="21" t="n">
        <x:f>MOD(A140-1,20)+1</x:f>
        <x:v>16</x:v>
      </x:c>
      <x:c r="D140" s="18" t="str">
        <x:v>אֲשֶׁר</x:v>
      </x:c>
      <x:c r="E140" s="19" t="str">
        <x:v>ʾăšer</x:v>
      </x:c>
      <x:c r="F140" s="16" t="str">
        <x:v>אשר</x:v>
      </x:c>
      <x:c r="G140" s="20" t="str">
        <x:v>who, whom, that, which</x:v>
      </x:c>
      <x:c r="H140" s="20" t="str"/>
      <x:c r="I140" s="21" t="str">
        <x:v>BBH2 課序</x:v>
      </x:c>
      <x:c r="J140" s="21" t="n">
        <x:v>8</x:v>
      </x:c>
      <x:c r="K140" s="22" t="n">
        <x:v>5503</x:v>
      </x:c>
      <x:c r="L140" s="21" t="str">
        <x:v>H834</x:v>
      </x:c>
      <x:c r="M140" s="21" t="str">
        <x:v>particle</x:v>
      </x:c>
      <x:c r="N140" s="21" t="str">
        <x:v>否</x:v>
      </x:c>
      <x:c r="O140" s="21" t="str"/>
      <x:c r="P140" s="21" t="str">
        <x:v>source_and_lexicon_matched</x:v>
      </x:c>
      <x:c r="Q140" s="21" t="str">
        <x:v>rule_generated_exception_review</x:v>
      </x:c>
      <x:c r="R140" s="20" t="str">
        <x:v>https://hebrewsyntax.org/bbh2new/</x:v>
      </x:c>
    </x:row>
    <x:row r="141" ht="28" customHeight="1">
      <x:c r="A141" s="21" t="n">
        <x:v>137</x:v>
      </x:c>
      <x:c r="B141" s="21" t="n">
        <x:f>ROUNDUP(A141/20,0)</x:f>
        <x:v>7</x:v>
      </x:c>
      <x:c r="C141" s="21" t="n">
        <x:f>MOD(A141-1,20)+1</x:f>
        <x:v>17</x:v>
      </x:c>
      <x:c r="D141" s="18" t="str">
        <x:v>כַּאֲשֶׁר</x:v>
      </x:c>
      <x:c r="E141" s="19" t="str">
        <x:v>kaʾăšer</x:v>
      </x:c>
      <x:c r="F141" s="16" t="str">
        <x:v>כאשר</x:v>
      </x:c>
      <x:c r="G141" s="20" t="str">
        <x:v>as, when</x:v>
      </x:c>
      <x:c r="H141" s="20" t="str"/>
      <x:c r="I141" s="21" t="str">
        <x:v>BBH2 課序</x:v>
      </x:c>
      <x:c r="J141" s="21" t="n">
        <x:v>8</x:v>
      </x:c>
      <x:c r="K141" s="22" t="n">
        <x:v>5503</x:v>
      </x:c>
      <x:c r="L141" s="21" t="str">
        <x:v>H834</x:v>
      </x:c>
      <x:c r="M141" s="21" t="str">
        <x:v>particle</x:v>
      </x:c>
      <x:c r="N141" s="21" t="str">
        <x:v>否</x:v>
      </x:c>
      <x:c r="O141" s="21" t="str"/>
      <x:c r="P141" s="21" t="str">
        <x:v>source_and_lexicon_matched</x:v>
      </x:c>
      <x:c r="Q141" s="21" t="str">
        <x:v>rule_generated_exception_review</x:v>
      </x:c>
      <x:c r="R141" s="20" t="str">
        <x:v>https://hebrewsyntax.org/bbh2new/</x:v>
      </x:c>
    </x:row>
    <x:row r="142" ht="28" customHeight="1">
      <x:c r="A142" s="21" t="n">
        <x:v>138</x:v>
      </x:c>
      <x:c r="B142" s="21" t="n">
        <x:f>ROUNDUP(A142/20,0)</x:f>
        <x:v>7</x:v>
      </x:c>
      <x:c r="C142" s="21" t="n">
        <x:f>MOD(A142-1,20)+1</x:f>
        <x:v>18</x:v>
      </x:c>
      <x:c r="D142" s="18" t="str">
        <x:v>בְּהֵמָה</x:v>
      </x:c>
      <x:c r="E142" s="19" t="str">
        <x:v>bəhēmâ</x:v>
      </x:c>
      <x:c r="F142" s="16" t="str">
        <x:v>בהמה</x:v>
      </x:c>
      <x:c r="G142" s="20" t="str">
        <x:v>animal(s), beast(s), cattle</x:v>
      </x:c>
      <x:c r="H142" s="20" t="str"/>
      <x:c r="I142" s="21" t="str">
        <x:v>BBH2 課序</x:v>
      </x:c>
      <x:c r="J142" s="21" t="n">
        <x:v>8</x:v>
      </x:c>
      <x:c r="K142" s="22" t="n">
        <x:v>190</x:v>
      </x:c>
      <x:c r="L142" s="21" t="str">
        <x:v>H929</x:v>
      </x:c>
      <x:c r="M142" s="21" t="str">
        <x:v>noun</x:v>
      </x:c>
      <x:c r="N142" s="21" t="str">
        <x:v>否</x:v>
      </x:c>
      <x:c r="O142" s="21" t="str"/>
      <x:c r="P142" s="21" t="str">
        <x:v>source_and_lexicon_matched</x:v>
      </x:c>
      <x:c r="Q142" s="21" t="str">
        <x:v>rule_generated_exception_review</x:v>
      </x:c>
      <x:c r="R142" s="20" t="str">
        <x:v>https://hebrewsyntax.org/bbh2new/</x:v>
      </x:c>
    </x:row>
    <x:row r="143" ht="28" customHeight="1">
      <x:c r="A143" s="21" t="n">
        <x:v>139</x:v>
      </x:c>
      <x:c r="B143" s="21" t="n">
        <x:f>ROUNDUP(A143/20,0)</x:f>
        <x:v>7</x:v>
      </x:c>
      <x:c r="C143" s="21" t="n">
        <x:f>MOD(A143-1,20)+1</x:f>
        <x:v>19</x:v>
      </x:c>
      <x:c r="D143" s="18" t="str">
        <x:v>גַּם</x:v>
      </x:c>
      <x:c r="E143" s="19" t="str">
        <x:v>gam</x:v>
      </x:c>
      <x:c r="F143" s="16" t="str">
        <x:v>גם</x:v>
      </x:c>
      <x:c r="G143" s="20" t="str">
        <x:v>also, even</x:v>
      </x:c>
      <x:c r="H143" s="20" t="str"/>
      <x:c r="I143" s="21" t="str">
        <x:v>BBH2 課序</x:v>
      </x:c>
      <x:c r="J143" s="21" t="n">
        <x:v>8</x:v>
      </x:c>
      <x:c r="K143" s="22" t="n">
        <x:v>769</x:v>
      </x:c>
      <x:c r="L143" s="21" t="str">
        <x:v>H1571</x:v>
      </x:c>
      <x:c r="M143" s="21" t="str">
        <x:v>particle</x:v>
      </x:c>
      <x:c r="N143" s="21" t="str">
        <x:v>否</x:v>
      </x:c>
      <x:c r="O143" s="21" t="str"/>
      <x:c r="P143" s="21" t="str">
        <x:v>source_and_lexicon_matched</x:v>
      </x:c>
      <x:c r="Q143" s="21" t="str">
        <x:v>rule_generated_exception_review</x:v>
      </x:c>
      <x:c r="R143" s="20" t="str">
        <x:v>https://hebrewsyntax.org/bbh2new/</x:v>
      </x:c>
    </x:row>
    <x:row r="144" ht="28" customHeight="1">
      <x:c r="A144" s="21" t="n">
        <x:v>140</x:v>
      </x:c>
      <x:c r="B144" s="21" t="n">
        <x:f>ROUNDUP(A144/20,0)</x:f>
        <x:v>7</x:v>
      </x:c>
      <x:c r="C144" s="21" t="n">
        <x:f>MOD(A144-1,20)+1</x:f>
        <x:v>20</x:v>
      </x:c>
      <x:c r="D144" s="18" t="str">
        <x:v>דָּם</x:v>
      </x:c>
      <x:c r="E144" s="19" t="str">
        <x:v>dām</x:v>
      </x:c>
      <x:c r="F144" s="16" t="str">
        <x:v>דם</x:v>
      </x:c>
      <x:c r="G144" s="20" t="str">
        <x:v>blood</x:v>
      </x:c>
      <x:c r="H144" s="20" t="str"/>
      <x:c r="I144" s="21" t="str">
        <x:v>BBH2 課序</x:v>
      </x:c>
      <x:c r="J144" s="21" t="n">
        <x:v>8</x:v>
      </x:c>
      <x:c r="K144" s="22" t="n">
        <x:v>361</x:v>
      </x:c>
      <x:c r="L144" s="21" t="str">
        <x:v>H1818</x:v>
      </x:c>
      <x:c r="M144" s="21" t="str">
        <x:v>noun</x:v>
      </x:c>
      <x:c r="N144" s="21" t="str">
        <x:v>否</x:v>
      </x:c>
      <x:c r="O144" s="21" t="str"/>
      <x:c r="P144" s="21" t="str">
        <x:v>source_and_lexicon_matched</x:v>
      </x:c>
      <x:c r="Q144" s="21" t="str">
        <x:v>rule_generated_exception_review</x:v>
      </x:c>
      <x:c r="R144" s="20" t="str">
        <x:v>https://hebrewsyntax.org/bbh2new/</x:v>
      </x:c>
    </x:row>
    <x:row r="145" ht="28" customHeight="1">
      <x:c r="A145" s="21" t="n">
        <x:v>141</x:v>
      </x:c>
      <x:c r="B145" s="21" t="n">
        <x:f>ROUNDUP(A145/20,0)</x:f>
        <x:v>8</x:v>
      </x:c>
      <x:c r="C145" s="21" t="n">
        <x:f>MOD(A145-1,20)+1</x:f>
        <x:v>1</x:v>
      </x:c>
      <x:c r="D145" s="18" t="str">
        <x:v>הֲ</x:v>
      </x:c>
      <x:c r="E145" s="19" t="str">
        <x:v>hă</x:v>
      </x:c>
      <x:c r="F145" s="16" t="str">
        <x:v>ה</x:v>
      </x:c>
      <x:c r="G145" s="20" t="str">
        <x:v>interrogative particle</x:v>
      </x:c>
      <x:c r="H145" s="20" t="str"/>
      <x:c r="I145" s="21" t="str">
        <x:v>BBH2 課序</x:v>
      </x:c>
      <x:c r="J145" s="21" t="n">
        <x:v>8</x:v>
      </x:c>
      <x:c r="K145" s="22"/>
      <x:c r="L145" s="21" t="str"/>
      <x:c r="M145" s="21" t="str">
        <x:v>interrogative_particle</x:v>
      </x:c>
      <x:c r="N145" s="21" t="str">
        <x:v>否</x:v>
      </x:c>
      <x:c r="O145" s="21" t="str"/>
      <x:c r="P145" s="21" t="str">
        <x:v>source_verified</x:v>
      </x:c>
      <x:c r="Q145" s="21" t="str">
        <x:v>rule_generated_exception_review</x:v>
      </x:c>
      <x:c r="R145" s="20" t="str">
        <x:v>https://hebrewsyntax.org/bbh2new/</x:v>
      </x:c>
    </x:row>
    <x:row r="146" ht="28" customHeight="1">
      <x:c r="A146" s="21" t="n">
        <x:v>142</x:v>
      </x:c>
      <x:c r="B146" s="21" t="n">
        <x:f>ROUNDUP(A146/20,0)</x:f>
        <x:v>8</x:v>
      </x:c>
      <x:c r="C146" s="21" t="n">
        <x:f>MOD(A146-1,20)+1</x:f>
        <x:v>2</x:v>
      </x:c>
      <x:c r="D146" s="18" t="str">
        <x:v>טָהוֹר</x:v>
      </x:c>
      <x:c r="E146" s="19" t="str">
        <x:v>ṭāhôr</x:v>
      </x:c>
      <x:c r="F146" s="16" t="str">
        <x:v>טהור</x:v>
      </x:c>
      <x:c r="G146" s="20" t="str">
        <x:v>clean, pure</x:v>
      </x:c>
      <x:c r="H146" s="20" t="str"/>
      <x:c r="I146" s="21" t="str">
        <x:v>BBH2 課序</x:v>
      </x:c>
      <x:c r="J146" s="21" t="n">
        <x:v>8</x:v>
      </x:c>
      <x:c r="K146" s="22" t="n">
        <x:v>94</x:v>
      </x:c>
      <x:c r="L146" s="21" t="str">
        <x:v>H2889</x:v>
      </x:c>
      <x:c r="M146" s="21" t="str">
        <x:v>adjective</x:v>
      </x:c>
      <x:c r="N146" s="21" t="str">
        <x:v>否</x:v>
      </x:c>
      <x:c r="O146" s="21" t="str"/>
      <x:c r="P146" s="21" t="str">
        <x:v>source_and_lexicon_matched</x:v>
      </x:c>
      <x:c r="Q146" s="21" t="str">
        <x:v>rule_generated_exception_review</x:v>
      </x:c>
      <x:c r="R146" s="20" t="str">
        <x:v>https://hebrewsyntax.org/bbh2new/</x:v>
      </x:c>
    </x:row>
    <x:row r="147" ht="28" customHeight="1">
      <x:c r="A147" s="21" t="n">
        <x:v>143</x:v>
      </x:c>
      <x:c r="B147" s="21" t="n">
        <x:f>ROUNDUP(A147/20,0)</x:f>
        <x:v>8</x:v>
      </x:c>
      <x:c r="C147" s="21" t="n">
        <x:f>MOD(A147-1,20)+1</x:f>
        <x:v>3</x:v>
      </x:c>
      <x:c r="D147" s="18" t="str">
        <x:v>כִּי</x:v>
      </x:c>
      <x:c r="E147" s="19" t="str">
        <x:v>kî</x:v>
      </x:c>
      <x:c r="F147" s="16" t="str">
        <x:v>כי</x:v>
      </x:c>
      <x:c r="G147" s="20" t="str">
        <x:v>that, because, but, except, indeed, truly</x:v>
      </x:c>
      <x:c r="H147" s="20" t="str"/>
      <x:c r="I147" s="21" t="str">
        <x:v>BBH2 課序</x:v>
      </x:c>
      <x:c r="J147" s="21" t="n">
        <x:v>8</x:v>
      </x:c>
      <x:c r="K147" s="22" t="n">
        <x:v>4488</x:v>
      </x:c>
      <x:c r="L147" s="21" t="str">
        <x:v>H3588</x:v>
      </x:c>
      <x:c r="M147" s="21" t="str">
        <x:v>conjunction</x:v>
      </x:c>
      <x:c r="N147" s="21" t="str">
        <x:v>否</x:v>
      </x:c>
      <x:c r="O147" s="21" t="str"/>
      <x:c r="P147" s="21" t="str">
        <x:v>source_and_lexicon_matched</x:v>
      </x:c>
      <x:c r="Q147" s="21" t="str">
        <x:v>rule_generated_exception_review</x:v>
      </x:c>
      <x:c r="R147" s="20" t="str">
        <x:v>https://hebrewsyntax.org/bbh2new/</x:v>
      </x:c>
    </x:row>
    <x:row r="148" ht="28" customHeight="1">
      <x:c r="A148" s="21" t="n">
        <x:v>144</x:v>
      </x:c>
      <x:c r="B148" s="21" t="n">
        <x:f>ROUNDUP(A148/20,0)</x:f>
        <x:v>8</x:v>
      </x:c>
      <x:c r="C148" s="21" t="n">
        <x:f>MOD(A148-1,20)+1</x:f>
        <x:v>4</x:v>
      </x:c>
      <x:c r="D148" s="18" t="str">
        <x:v>כִּי־אִם</x:v>
      </x:c>
      <x:c r="E148" s="19" t="str">
        <x:v>kî-ʾim</x:v>
      </x:c>
      <x:c r="F148" s="16" t="str">
        <x:v>כיאם</x:v>
      </x:c>
      <x:c r="G148" s="20" t="str">
        <x:v>but, except, only</x:v>
      </x:c>
      <x:c r="H148" s="20" t="str"/>
      <x:c r="I148" s="21" t="str">
        <x:v>BBH2 課序</x:v>
      </x:c>
      <x:c r="J148" s="21" t="n">
        <x:v>8</x:v>
      </x:c>
      <x:c r="K148" s="22"/>
      <x:c r="L148" s="21" t="str"/>
      <x:c r="M148" s="21" t="str">
        <x:v>conjunction_phrase</x:v>
      </x:c>
      <x:c r="N148" s="21" t="str">
        <x:v>否</x:v>
      </x:c>
      <x:c r="O148" s="21" t="str"/>
      <x:c r="P148" s="21" t="str">
        <x:v>source_verified</x:v>
      </x:c>
      <x:c r="Q148" s="21" t="str">
        <x:v>rule_generated_exception_review</x:v>
      </x:c>
      <x:c r="R148" s="20" t="str">
        <x:v>https://hebrewsyntax.org/bbh2new/</x:v>
      </x:c>
    </x:row>
    <x:row r="149" ht="28" customHeight="1">
      <x:c r="A149" s="21" t="n">
        <x:v>145</x:v>
      </x:c>
      <x:c r="B149" s="21" t="n">
        <x:f>ROUNDUP(A149/20,0)</x:f>
        <x:v>8</x:v>
      </x:c>
      <x:c r="C149" s="21" t="n">
        <x:f>MOD(A149-1,20)+1</x:f>
        <x:v>5</x:v>
      </x:c>
      <x:c r="D149" s="18" t="str">
        <x:v>כְּסִיל</x:v>
      </x:c>
      <x:c r="E149" s="19" t="str">
        <x:v>kəsîl</x:v>
      </x:c>
      <x:c r="F149" s="16" t="str">
        <x:v>כסיל</x:v>
      </x:c>
      <x:c r="G149" s="20" t="str">
        <x:v>fool, shameless person</x:v>
      </x:c>
      <x:c r="H149" s="20" t="str"/>
      <x:c r="I149" s="21" t="str">
        <x:v>BBH2 課序</x:v>
      </x:c>
      <x:c r="J149" s="21" t="n">
        <x:v>8</x:v>
      </x:c>
      <x:c r="K149" s="22" t="n">
        <x:v>70</x:v>
      </x:c>
      <x:c r="L149" s="21" t="str">
        <x:v>H3684</x:v>
      </x:c>
      <x:c r="M149" s="21" t="str">
        <x:v>adjective</x:v>
      </x:c>
      <x:c r="N149" s="21" t="str">
        <x:v>否</x:v>
      </x:c>
      <x:c r="O149" s="21" t="str"/>
      <x:c r="P149" s="21" t="str">
        <x:v>source_and_lexicon_matched</x:v>
      </x:c>
      <x:c r="Q149" s="21" t="str">
        <x:v>rule_generated_exception_review</x:v>
      </x:c>
      <x:c r="R149" s="20" t="str">
        <x:v>https://hebrewsyntax.org/bbh2new/</x:v>
      </x:c>
    </x:row>
    <x:row r="150" ht="28" customHeight="1">
      <x:c r="A150" s="21" t="n">
        <x:v>146</x:v>
      </x:c>
      <x:c r="B150" s="21" t="n">
        <x:f>ROUNDUP(A150/20,0)</x:f>
        <x:v>8</x:v>
      </x:c>
      <x:c r="C150" s="21" t="n">
        <x:f>MOD(A150-1,20)+1</x:f>
        <x:v>6</x:v>
      </x:c>
      <x:c r="D150" s="18" t="str">
        <x:v>לָ֫מָּה</x:v>
      </x:c>
      <x:c r="E150" s="19" t="str">
        <x:v>lāmmâ</x:v>
      </x:c>
      <x:c r="F150" s="16" t="str">
        <x:v>למה</x:v>
      </x:c>
      <x:c r="G150" s="20" t="str">
        <x:v>why?</x:v>
      </x:c>
      <x:c r="H150" s="20" t="str"/>
      <x:c r="I150" s="21" t="str">
        <x:v>BBH2 課序</x:v>
      </x:c>
      <x:c r="J150" s="21" t="n">
        <x:v>8</x:v>
      </x:c>
      <x:c r="K150" s="22" t="n">
        <x:v>750</x:v>
      </x:c>
      <x:c r="L150" s="21" t="str">
        <x:v>H4100</x:v>
      </x:c>
      <x:c r="M150" s="21" t="str">
        <x:v>particle</x:v>
      </x:c>
      <x:c r="N150" s="21" t="str">
        <x:v>否</x:v>
      </x:c>
      <x:c r="O150" s="21" t="str"/>
      <x:c r="P150" s="21" t="str">
        <x:v>source_and_lexicon_matched</x:v>
      </x:c>
      <x:c r="Q150" s="21" t="str">
        <x:v>rule_generated_exception_review</x:v>
      </x:c>
      <x:c r="R150" s="20" t="str">
        <x:v>https://hebrewsyntax.org/bbh2new/</x:v>
      </x:c>
    </x:row>
    <x:row r="151" ht="28" customHeight="1">
      <x:c r="A151" s="21" t="n">
        <x:v>147</x:v>
      </x:c>
      <x:c r="B151" s="21" t="n">
        <x:f>ROUNDUP(A151/20,0)</x:f>
        <x:v>8</x:v>
      </x:c>
      <x:c r="C151" s="21" t="n">
        <x:f>MOD(A151-1,20)+1</x:f>
        <x:v>7</x:v>
      </x:c>
      <x:c r="D151" s="18" t="str">
        <x:v>לָמָה</x:v>
      </x:c>
      <x:c r="E151" s="19" t="str">
        <x:v>lāmâ</x:v>
      </x:c>
      <x:c r="F151" s="16" t="str">
        <x:v>למה</x:v>
      </x:c>
      <x:c r="G151" s="20" t="str">
        <x:v>why?</x:v>
      </x:c>
      <x:c r="H151" s="20" t="str"/>
      <x:c r="I151" s="21" t="str">
        <x:v>BBH2 課序</x:v>
      </x:c>
      <x:c r="J151" s="21" t="n">
        <x:v>8</x:v>
      </x:c>
      <x:c r="K151" s="22" t="n">
        <x:v>750</x:v>
      </x:c>
      <x:c r="L151" s="21" t="str">
        <x:v>H4100</x:v>
      </x:c>
      <x:c r="M151" s="21" t="str">
        <x:v>particle</x:v>
      </x:c>
      <x:c r="N151" s="21" t="str">
        <x:v>否</x:v>
      </x:c>
      <x:c r="O151" s="21" t="str"/>
      <x:c r="P151" s="21" t="str">
        <x:v>source_and_lexicon_matched</x:v>
      </x:c>
      <x:c r="Q151" s="21" t="str">
        <x:v>rule_generated_exception_review</x:v>
      </x:c>
      <x:c r="R151" s="20" t="str">
        <x:v>https://hebrewsyntax.org/bbh2new/</x:v>
      </x:c>
    </x:row>
    <x:row r="152" ht="28" customHeight="1">
      <x:c r="A152" s="21" t="n">
        <x:v>148</x:v>
      </x:c>
      <x:c r="B152" s="21" t="n">
        <x:f>ROUNDUP(A152/20,0)</x:f>
        <x:v>8</x:v>
      </x:c>
      <x:c r="C152" s="21" t="n">
        <x:f>MOD(A152-1,20)+1</x:f>
        <x:v>8</x:v>
      </x:c>
      <x:c r="D152" s="18" t="str">
        <x:v>מָה</x:v>
      </x:c>
      <x:c r="E152" s="19" t="str">
        <x:v>mâ</x:v>
      </x:c>
      <x:c r="F152" s="16" t="str">
        <x:v>מה</x:v>
      </x:c>
      <x:c r="G152" s="20" t="str">
        <x:v>what?</x:v>
      </x:c>
      <x:c r="H152" s="20" t="str"/>
      <x:c r="I152" s="21" t="str">
        <x:v>BBH2 課序</x:v>
      </x:c>
      <x:c r="J152" s="21" t="n">
        <x:v>8</x:v>
      </x:c>
      <x:c r="K152" s="22" t="n">
        <x:v>750</x:v>
      </x:c>
      <x:c r="L152" s="21" t="str">
        <x:v>H4100</x:v>
      </x:c>
      <x:c r="M152" s="21" t="str">
        <x:v>particle</x:v>
      </x:c>
      <x:c r="N152" s="21" t="str">
        <x:v>否</x:v>
      </x:c>
      <x:c r="O152" s="21" t="str"/>
      <x:c r="P152" s="21" t="str">
        <x:v>source_and_lexicon_matched</x:v>
      </x:c>
      <x:c r="Q152" s="21" t="str">
        <x:v>rule_generated_exception_review</x:v>
      </x:c>
      <x:c r="R152" s="20" t="str">
        <x:v>https://hebrewsyntax.org/bbh2new/</x:v>
      </x:c>
    </x:row>
    <x:row r="153" ht="28" customHeight="1">
      <x:c r="A153" s="21" t="n">
        <x:v>149</x:v>
      </x:c>
      <x:c r="B153" s="21" t="n">
        <x:f>ROUNDUP(A153/20,0)</x:f>
        <x:v>8</x:v>
      </x:c>
      <x:c r="C153" s="21" t="n">
        <x:f>MOD(A153-1,20)+1</x:f>
        <x:v>9</x:v>
      </x:c>
      <x:c r="D153" s="18" t="str">
        <x:v>מַדּוּעַ</x:v>
      </x:c>
      <x:c r="E153" s="19" t="str">
        <x:v>maddûaʿ</x:v>
      </x:c>
      <x:c r="F153" s="16" t="str">
        <x:v>מדוע</x:v>
      </x:c>
      <x:c r="G153" s="20" t="str">
        <x:v>why?</x:v>
      </x:c>
      <x:c r="H153" s="20" t="str"/>
      <x:c r="I153" s="21" t="str">
        <x:v>BBH2 課序</x:v>
      </x:c>
      <x:c r="J153" s="21" t="n">
        <x:v>8</x:v>
      </x:c>
      <x:c r="K153" s="22" t="n">
        <x:v>72</x:v>
      </x:c>
      <x:c r="L153" s="21" t="str">
        <x:v>H4069</x:v>
      </x:c>
      <x:c r="M153" s="21" t="str">
        <x:v>particle</x:v>
      </x:c>
      <x:c r="N153" s="21" t="str">
        <x:v>否</x:v>
      </x:c>
      <x:c r="O153" s="21" t="str"/>
      <x:c r="P153" s="21" t="str">
        <x:v>source_and_lexicon_matched</x:v>
      </x:c>
      <x:c r="Q153" s="21" t="str">
        <x:v>rule_generated_exception_review</x:v>
      </x:c>
      <x:c r="R153" s="20" t="str">
        <x:v>https://hebrewsyntax.org/bbh2new/</x:v>
      </x:c>
    </x:row>
    <x:row r="154" ht="28" customHeight="1">
      <x:c r="A154" s="21" t="n">
        <x:v>150</x:v>
      </x:c>
      <x:c r="B154" s="21" t="n">
        <x:f>ROUNDUP(A154/20,0)</x:f>
        <x:v>8</x:v>
      </x:c>
      <x:c r="C154" s="21" t="n">
        <x:f>MOD(A154-1,20)+1</x:f>
        <x:v>10</x:v>
      </x:c>
      <x:c r="D154" s="18" t="str">
        <x:v>מִי</x:v>
      </x:c>
      <x:c r="E154" s="19" t="str">
        <x:v>mî</x:v>
      </x:c>
      <x:c r="F154" s="16" t="str">
        <x:v>מי</x:v>
      </x:c>
      <x:c r="G154" s="20" t="str">
        <x:v>who?</x:v>
      </x:c>
      <x:c r="H154" s="20" t="str"/>
      <x:c r="I154" s="21" t="str">
        <x:v>BBH2 課序</x:v>
      </x:c>
      <x:c r="J154" s="21" t="n">
        <x:v>8</x:v>
      </x:c>
      <x:c r="K154" s="22" t="n">
        <x:v>423</x:v>
      </x:c>
      <x:c r="L154" s="21" t="str">
        <x:v>H4310</x:v>
      </x:c>
      <x:c r="M154" s="21" t="str">
        <x:v>particle</x:v>
      </x:c>
      <x:c r="N154" s="21" t="str">
        <x:v>否</x:v>
      </x:c>
      <x:c r="O154" s="21" t="str"/>
      <x:c r="P154" s="21" t="str">
        <x:v>source_and_lexicon_matched</x:v>
      </x:c>
      <x:c r="Q154" s="21" t="str">
        <x:v>rule_generated_exception_review</x:v>
      </x:c>
      <x:c r="R154" s="20" t="str">
        <x:v>https://hebrewsyntax.org/bbh2new/</x:v>
      </x:c>
    </x:row>
    <x:row r="155" ht="28" customHeight="1">
      <x:c r="A155" s="21" t="n">
        <x:v>151</x:v>
      </x:c>
      <x:c r="B155" s="21" t="n">
        <x:f>ROUNDUP(A155/20,0)</x:f>
        <x:v>8</x:v>
      </x:c>
      <x:c r="C155" s="21" t="n">
        <x:f>MOD(A155-1,20)+1</x:f>
        <x:v>11</x:v>
      </x:c>
      <x:c r="D155" s="18" t="str">
        <x:v>עָנִי</x:v>
      </x:c>
      <x:c r="E155" s="19" t="str">
        <x:v>ʿānî</x:v>
      </x:c>
      <x:c r="F155" s="16" t="str">
        <x:v>עני</x:v>
      </x:c>
      <x:c r="G155" s="20" t="str">
        <x:v>poor, humble, afflicted</x:v>
      </x:c>
      <x:c r="H155" s="20" t="str"/>
      <x:c r="I155" s="21" t="str">
        <x:v>BBH2 課序</x:v>
      </x:c>
      <x:c r="J155" s="21" t="n">
        <x:v>8</x:v>
      </x:c>
      <x:c r="K155" s="22" t="n">
        <x:v>79</x:v>
      </x:c>
      <x:c r="L155" s="21" t="str">
        <x:v>H6041</x:v>
      </x:c>
      <x:c r="M155" s="21" t="str">
        <x:v>adjective</x:v>
      </x:c>
      <x:c r="N155" s="21" t="str">
        <x:v>否</x:v>
      </x:c>
      <x:c r="O155" s="21" t="str"/>
      <x:c r="P155" s="21" t="str">
        <x:v>source_and_lexicon_matched</x:v>
      </x:c>
      <x:c r="Q155" s="21" t="str">
        <x:v>rule_generated_exception_review</x:v>
      </x:c>
      <x:c r="R155" s="20" t="str">
        <x:v>https://hebrewsyntax.org/bbh2new/</x:v>
      </x:c>
    </x:row>
    <x:row r="156" ht="28" customHeight="1">
      <x:c r="A156" s="21" t="n">
        <x:v>152</x:v>
      </x:c>
      <x:c r="B156" s="21" t="n">
        <x:f>ROUNDUP(A156/20,0)</x:f>
        <x:v>8</x:v>
      </x:c>
      <x:c r="C156" s="21" t="n">
        <x:f>MOD(A156-1,20)+1</x:f>
        <x:v>12</x:v>
      </x:c>
      <x:c r="D156" s="18" t="str">
        <x:v>שֶׁ֫מֶן</x:v>
      </x:c>
      <x:c r="E156" s="19" t="str">
        <x:v>šemen</x:v>
      </x:c>
      <x:c r="F156" s="16" t="str">
        <x:v>שמן</x:v>
      </x:c>
      <x:c r="G156" s="20" t="str">
        <x:v>oil, fat</x:v>
      </x:c>
      <x:c r="H156" s="20" t="str"/>
      <x:c r="I156" s="21" t="str">
        <x:v>BBH2 課序</x:v>
      </x:c>
      <x:c r="J156" s="21" t="n">
        <x:v>8</x:v>
      </x:c>
      <x:c r="K156" s="22" t="n">
        <x:v>193</x:v>
      </x:c>
      <x:c r="L156" s="21" t="str">
        <x:v>H8081</x:v>
      </x:c>
      <x:c r="M156" s="21" t="str">
        <x:v>noun</x:v>
      </x:c>
      <x:c r="N156" s="21" t="str">
        <x:v>否</x:v>
      </x:c>
      <x:c r="O156" s="21" t="str"/>
      <x:c r="P156" s="21" t="str">
        <x:v>source_and_lexicon_matched</x:v>
      </x:c>
      <x:c r="Q156" s="21" t="str">
        <x:v>rule_generated_exception_review</x:v>
      </x:c>
      <x:c r="R156" s="20" t="str">
        <x:v>https://hebrewsyntax.org/bbh2new/</x:v>
      </x:c>
    </x:row>
    <x:row r="157" ht="28" customHeight="1">
      <x:c r="A157" s="21" t="n">
        <x:v>153</x:v>
      </x:c>
      <x:c r="B157" s="21" t="n">
        <x:f>ROUNDUP(A157/20,0)</x:f>
        <x:v>8</x:v>
      </x:c>
      <x:c r="C157" s="21" t="n">
        <x:f>MOD(A157-1,20)+1</x:f>
        <x:v>13</x:v>
      </x:c>
      <x:c r="D157" s="18" t="str">
        <x:v>שֹׁפֵט</x:v>
      </x:c>
      <x:c r="E157" s="19" t="str">
        <x:v>šōp̄ēṭ</x:v>
      </x:c>
      <x:c r="F157" s="16" t="str">
        <x:v>שפט</x:v>
      </x:c>
      <x:c r="G157" s="20" t="str">
        <x:v>one who judges, a judge</x:v>
      </x:c>
      <x:c r="H157" s="20" t="str"/>
      <x:c r="I157" s="21" t="str">
        <x:v>BBH2 課序</x:v>
      </x:c>
      <x:c r="J157" s="21" t="n">
        <x:v>8</x:v>
      </x:c>
      <x:c r="K157" s="22" t="n">
        <x:v>204</x:v>
      </x:c>
      <x:c r="L157" s="21" t="str">
        <x:v>H8199</x:v>
      </x:c>
      <x:c r="M157" s="21" t="str">
        <x:v>verb</x:v>
      </x:c>
      <x:c r="N157" s="21" t="str">
        <x:v>否</x:v>
      </x:c>
      <x:c r="O157" s="21" t="str"/>
      <x:c r="P157" s="21" t="str">
        <x:v>source_and_lexicon_matched</x:v>
      </x:c>
      <x:c r="Q157" s="21" t="str">
        <x:v>rule_generated_exception_review</x:v>
      </x:c>
      <x:c r="R157" s="20" t="str">
        <x:v>https://hebrewsyntax.org/bbh2new/</x:v>
      </x:c>
    </x:row>
    <x:row r="158" ht="28" customHeight="1">
      <x:c r="A158" s="21" t="n">
        <x:v>154</x:v>
      </x:c>
      <x:c r="B158" s="21" t="n">
        <x:f>ROUNDUP(A158/20,0)</x:f>
        <x:v>8</x:v>
      </x:c>
      <x:c r="C158" s="21" t="n">
        <x:f>MOD(A158-1,20)+1</x:f>
        <x:v>14</x:v>
      </x:c>
      <x:c r="D158" s="18" t="str">
        <x:v>אֲנִי</x:v>
      </x:c>
      <x:c r="E158" s="19" t="str">
        <x:v>ʾănî</x:v>
      </x:c>
      <x:c r="F158" s="16" t="str">
        <x:v>אני</x:v>
      </x:c>
      <x:c r="G158" s="20" t="str">
        <x:v>I (1cs)</x:v>
      </x:c>
      <x:c r="H158" s="20" t="str"/>
      <x:c r="I158" s="21" t="str">
        <x:v>BBH2 課序</x:v>
      </x:c>
      <x:c r="J158" s="21" t="n">
        <x:v>8</x:v>
      </x:c>
      <x:c r="K158" s="22" t="n">
        <x:v>874</x:v>
      </x:c>
      <x:c r="L158" s="21" t="str">
        <x:v>H589</x:v>
      </x:c>
      <x:c r="M158" s="21" t="str">
        <x:v>pronoun</x:v>
      </x:c>
      <x:c r="N158" s="21" t="str">
        <x:v>否</x:v>
      </x:c>
      <x:c r="O158" s="21" t="str"/>
      <x:c r="P158" s="21" t="str">
        <x:v>source_and_lexicon_matched</x:v>
      </x:c>
      <x:c r="Q158" s="21" t="str">
        <x:v>rule_generated_exception_review</x:v>
      </x:c>
      <x:c r="R158" s="20" t="str">
        <x:v>https://hebrewsyntax.org/bbh2new/</x:v>
      </x:c>
    </x:row>
    <x:row r="159" ht="28" customHeight="1">
      <x:c r="A159" s="21" t="n">
        <x:v>155</x:v>
      </x:c>
      <x:c r="B159" s="21" t="n">
        <x:f>ROUNDUP(A159/20,0)</x:f>
        <x:v>8</x:v>
      </x:c>
      <x:c r="C159" s="21" t="n">
        <x:f>MOD(A159-1,20)+1</x:f>
        <x:v>15</x:v>
      </x:c>
      <x:c r="D159" s="18" t="str">
        <x:v>אָנֹכִי</x:v>
      </x:c>
      <x:c r="E159" s="19" t="str">
        <x:v>ʾānōḵî</x:v>
      </x:c>
      <x:c r="F159" s="16" t="str">
        <x:v>אנכי</x:v>
      </x:c>
      <x:c r="G159" s="20" t="str">
        <x:v>I (1cs)</x:v>
      </x:c>
      <x:c r="H159" s="20" t="str"/>
      <x:c r="I159" s="21" t="str">
        <x:v>BBH2 課序</x:v>
      </x:c>
      <x:c r="J159" s="21" t="n">
        <x:v>8</x:v>
      </x:c>
      <x:c r="K159" s="22" t="n">
        <x:v>359</x:v>
      </x:c>
      <x:c r="L159" s="21" t="str">
        <x:v>H595</x:v>
      </x:c>
      <x:c r="M159" s="21" t="str">
        <x:v>pronoun</x:v>
      </x:c>
      <x:c r="N159" s="21" t="str">
        <x:v>否</x:v>
      </x:c>
      <x:c r="O159" s="21" t="str"/>
      <x:c r="P159" s="21" t="str">
        <x:v>source_and_lexicon_matched</x:v>
      </x:c>
      <x:c r="Q159" s="21" t="str">
        <x:v>rule_generated_exception_review</x:v>
      </x:c>
      <x:c r="R159" s="20" t="str">
        <x:v>https://hebrewsyntax.org/bbh2new/</x:v>
      </x:c>
    </x:row>
    <x:row r="160" ht="28" customHeight="1">
      <x:c r="A160" s="21" t="n">
        <x:v>156</x:v>
      </x:c>
      <x:c r="B160" s="21" t="n">
        <x:f>ROUNDUP(A160/20,0)</x:f>
        <x:v>8</x:v>
      </x:c>
      <x:c r="C160" s="21" t="n">
        <x:f>MOD(A160-1,20)+1</x:f>
        <x:v>16</x:v>
      </x:c>
      <x:c r="D160" s="18" t="str">
        <x:v>אַתָּה</x:v>
      </x:c>
      <x:c r="E160" s="19" t="str">
        <x:v>ʾattâ</x:v>
      </x:c>
      <x:c r="F160" s="16" t="str">
        <x:v>אתה</x:v>
      </x:c>
      <x:c r="G160" s="20" t="str">
        <x:v>you (2ms)</x:v>
      </x:c>
      <x:c r="H160" s="20" t="str"/>
      <x:c r="I160" s="21" t="str">
        <x:v>BBH2 課序</x:v>
      </x:c>
      <x:c r="J160" s="21" t="n">
        <x:v>8</x:v>
      </x:c>
      <x:c r="K160" s="22" t="n">
        <x:v>1104</x:v>
      </x:c>
      <x:c r="L160" s="21" t="str">
        <x:v>H859</x:v>
      </x:c>
      <x:c r="M160" s="21" t="str">
        <x:v>pronoun</x:v>
      </x:c>
      <x:c r="N160" s="21" t="str">
        <x:v>否</x:v>
      </x:c>
      <x:c r="O160" s="21" t="str"/>
      <x:c r="P160" s="21" t="str">
        <x:v>source_and_lexicon_matched</x:v>
      </x:c>
      <x:c r="Q160" s="21" t="str">
        <x:v>rule_generated_exception_review</x:v>
      </x:c>
      <x:c r="R160" s="20" t="str">
        <x:v>https://hebrewsyntax.org/bbh2new/</x:v>
      </x:c>
    </x:row>
    <x:row r="161" ht="28" customHeight="1">
      <x:c r="A161" s="21" t="n">
        <x:v>157</x:v>
      </x:c>
      <x:c r="B161" s="21" t="n">
        <x:f>ROUNDUP(A161/20,0)</x:f>
        <x:v>8</x:v>
      </x:c>
      <x:c r="C161" s="21" t="n">
        <x:f>MOD(A161-1,20)+1</x:f>
        <x:v>17</x:v>
      </x:c>
      <x:c r="D161" s="18" t="str">
        <x:v>אַתְּ</x:v>
      </x:c>
      <x:c r="E161" s="19" t="str">
        <x:v>ʾatt</x:v>
      </x:c>
      <x:c r="F161" s="16" t="str">
        <x:v>את</x:v>
      </x:c>
      <x:c r="G161" s="20" t="str">
        <x:v>you (2fs)</x:v>
      </x:c>
      <x:c r="H161" s="20" t="str"/>
      <x:c r="I161" s="21" t="str">
        <x:v>BBH2 課序</x:v>
      </x:c>
      <x:c r="J161" s="21" t="n">
        <x:v>8</x:v>
      </x:c>
      <x:c r="K161" s="22" t="n">
        <x:v>1104</x:v>
      </x:c>
      <x:c r="L161" s="21" t="str">
        <x:v>H859</x:v>
      </x:c>
      <x:c r="M161" s="21" t="str">
        <x:v>pronoun</x:v>
      </x:c>
      <x:c r="N161" s="21" t="str">
        <x:v>否</x:v>
      </x:c>
      <x:c r="O161" s="21" t="str"/>
      <x:c r="P161" s="21" t="str">
        <x:v>source_and_lexicon_matched</x:v>
      </x:c>
      <x:c r="Q161" s="21" t="str">
        <x:v>rule_generated_exception_review</x:v>
      </x:c>
      <x:c r="R161" s="20" t="str">
        <x:v>https://hebrewsyntax.org/bbh2new/</x:v>
      </x:c>
    </x:row>
    <x:row r="162" ht="28" customHeight="1">
      <x:c r="A162" s="21" t="n">
        <x:v>158</x:v>
      </x:c>
      <x:c r="B162" s="21" t="n">
        <x:f>ROUNDUP(A162/20,0)</x:f>
        <x:v>8</x:v>
      </x:c>
      <x:c r="C162" s="21" t="n">
        <x:f>MOD(A162-1,20)+1</x:f>
        <x:v>18</x:v>
      </x:c>
      <x:c r="D162" s="18" t="str">
        <x:v>הוּא</x:v>
      </x:c>
      <x:c r="E162" s="19" t="str">
        <x:v>hûʾ</x:v>
      </x:c>
      <x:c r="F162" s="16" t="str">
        <x:v>הוא</x:v>
      </x:c>
      <x:c r="G162" s="20" t="str">
        <x:v>he, it, that (3ms)</x:v>
      </x:c>
      <x:c r="H162" s="20" t="str"/>
      <x:c r="I162" s="21" t="str">
        <x:v>BBH2 課序</x:v>
      </x:c>
      <x:c r="J162" s="21" t="n">
        <x:v>8</x:v>
      </x:c>
      <x:c r="K162" s="22" t="n">
        <x:v>1889</x:v>
      </x:c>
      <x:c r="L162" s="21" t="str">
        <x:v>H1931</x:v>
      </x:c>
      <x:c r="M162" s="21" t="str">
        <x:v>pronoun</x:v>
      </x:c>
      <x:c r="N162" s="21" t="str">
        <x:v>否</x:v>
      </x:c>
      <x:c r="O162" s="21" t="str"/>
      <x:c r="P162" s="21" t="str">
        <x:v>source_and_lexicon_matched</x:v>
      </x:c>
      <x:c r="Q162" s="21" t="str">
        <x:v>rule_generated_exception_review</x:v>
      </x:c>
      <x:c r="R162" s="20" t="str">
        <x:v>https://hebrewsyntax.org/bbh2new/</x:v>
      </x:c>
    </x:row>
    <x:row r="163" ht="28" customHeight="1">
      <x:c r="A163" s="21" t="n">
        <x:v>159</x:v>
      </x:c>
      <x:c r="B163" s="21" t="n">
        <x:f>ROUNDUP(A163/20,0)</x:f>
        <x:v>8</x:v>
      </x:c>
      <x:c r="C163" s="21" t="n">
        <x:f>MOD(A163-1,20)+1</x:f>
        <x:v>19</x:v>
      </x:c>
      <x:c r="D163" s="18" t="str">
        <x:v>הִיא</x:v>
      </x:c>
      <x:c r="E163" s="19" t="str">
        <x:v>hîʾ</x:v>
      </x:c>
      <x:c r="F163" s="16" t="str">
        <x:v>היא</x:v>
      </x:c>
      <x:c r="G163" s="20" t="str">
        <x:v>she, it, that (3fs)</x:v>
      </x:c>
      <x:c r="H163" s="20" t="str"/>
      <x:c r="I163" s="21" t="str">
        <x:v>BBH2 課序</x:v>
      </x:c>
      <x:c r="J163" s="21" t="n">
        <x:v>8</x:v>
      </x:c>
      <x:c r="K163" s="22" t="n">
        <x:v>1889</x:v>
      </x:c>
      <x:c r="L163" s="21" t="str">
        <x:v>H1931</x:v>
      </x:c>
      <x:c r="M163" s="21" t="str">
        <x:v>pronoun</x:v>
      </x:c>
      <x:c r="N163" s="21" t="str">
        <x:v>否</x:v>
      </x:c>
      <x:c r="O163" s="21" t="str"/>
      <x:c r="P163" s="21" t="str">
        <x:v>source_and_lexicon_matched</x:v>
      </x:c>
      <x:c r="Q163" s="21" t="str">
        <x:v>rule_generated_exception_review</x:v>
      </x:c>
      <x:c r="R163" s="20" t="str">
        <x:v>https://hebrewsyntax.org/bbh2new/</x:v>
      </x:c>
    </x:row>
    <x:row r="164" ht="28" customHeight="1">
      <x:c r="A164" s="21" t="n">
        <x:v>160</x:v>
      </x:c>
      <x:c r="B164" s="21" t="n">
        <x:f>ROUNDUP(A164/20,0)</x:f>
        <x:v>8</x:v>
      </x:c>
      <x:c r="C164" s="21" t="n">
        <x:f>MOD(A164-1,20)+1</x:f>
        <x:v>20</x:v>
      </x:c>
      <x:c r="D164" s="18" t="str">
        <x:v>אֲנַ֫חְנוּ</x:v>
      </x:c>
      <x:c r="E164" s="19" t="str">
        <x:v>ʾănaḥnû</x:v>
      </x:c>
      <x:c r="F164" s="16" t="str">
        <x:v>אנחנו</x:v>
      </x:c>
      <x:c r="G164" s="20" t="str">
        <x:v>we (1cp)</x:v>
      </x:c>
      <x:c r="H164" s="20" t="str"/>
      <x:c r="I164" s="21" t="str">
        <x:v>BBH2 課序</x:v>
      </x:c>
      <x:c r="J164" s="21" t="n">
        <x:v>8</x:v>
      </x:c>
      <x:c r="K164" s="22" t="n">
        <x:v>121</x:v>
      </x:c>
      <x:c r="L164" s="21" t="str">
        <x:v>H587</x:v>
      </x:c>
      <x:c r="M164" s="21" t="str">
        <x:v>pronoun</x:v>
      </x:c>
      <x:c r="N164" s="21" t="str">
        <x:v>否</x:v>
      </x:c>
      <x:c r="O164" s="21" t="str"/>
      <x:c r="P164" s="21" t="str">
        <x:v>source_and_lexicon_matched</x:v>
      </x:c>
      <x:c r="Q164" s="21" t="str">
        <x:v>rule_generated_exception_review</x:v>
      </x:c>
      <x:c r="R164" s="20" t="str">
        <x:v>https://hebrewsyntax.org/bbh2new/</x:v>
      </x:c>
    </x:row>
    <x:row r="165" ht="28" customHeight="1">
      <x:c r="A165" s="21" t="n">
        <x:v>161</x:v>
      </x:c>
      <x:c r="B165" s="21" t="n">
        <x:f>ROUNDUP(A165/20,0)</x:f>
        <x:v>9</x:v>
      </x:c>
      <x:c r="C165" s="21" t="n">
        <x:f>MOD(A165-1,20)+1</x:f>
        <x:v>1</x:v>
      </x:c>
      <x:c r="D165" s="18" t="str">
        <x:v>אַתֶּם</x:v>
      </x:c>
      <x:c r="E165" s="19" t="str">
        <x:v>ʾattem</x:v>
      </x:c>
      <x:c r="F165" s="16" t="str">
        <x:v>אתם</x:v>
      </x:c>
      <x:c r="G165" s="20" t="str">
        <x:v>you (2mp)</x:v>
      </x:c>
      <x:c r="H165" s="20" t="str"/>
      <x:c r="I165" s="21" t="str">
        <x:v>BBH2 課序</x:v>
      </x:c>
      <x:c r="J165" s="21" t="n">
        <x:v>8</x:v>
      </x:c>
      <x:c r="K165" s="22" t="n">
        <x:v>1104</x:v>
      </x:c>
      <x:c r="L165" s="21" t="str">
        <x:v>H859</x:v>
      </x:c>
      <x:c r="M165" s="21" t="str">
        <x:v>pronoun</x:v>
      </x:c>
      <x:c r="N165" s="21" t="str">
        <x:v>否</x:v>
      </x:c>
      <x:c r="O165" s="21" t="str"/>
      <x:c r="P165" s="21" t="str">
        <x:v>source_and_lexicon_matched</x:v>
      </x:c>
      <x:c r="Q165" s="21" t="str">
        <x:v>rule_generated_exception_review</x:v>
      </x:c>
      <x:c r="R165" s="20" t="str">
        <x:v>https://hebrewsyntax.org/bbh2new/</x:v>
      </x:c>
    </x:row>
    <x:row r="166" ht="28" customHeight="1">
      <x:c r="A166" s="21" t="n">
        <x:v>162</x:v>
      </x:c>
      <x:c r="B166" s="21" t="n">
        <x:f>ROUNDUP(A166/20,0)</x:f>
        <x:v>9</x:v>
      </x:c>
      <x:c r="C166" s="21" t="n">
        <x:f>MOD(A166-1,20)+1</x:f>
        <x:v>2</x:v>
      </x:c>
      <x:c r="D166" s="18" t="str">
        <x:v>אַתֵּ֫נָה</x:v>
      </x:c>
      <x:c r="E166" s="19" t="str">
        <x:v>ʾattēnâ</x:v>
      </x:c>
      <x:c r="F166" s="16" t="str">
        <x:v>אתנה</x:v>
      </x:c>
      <x:c r="G166" s="20" t="str">
        <x:v>you (2fp)</x:v>
      </x:c>
      <x:c r="H166" s="20" t="str"/>
      <x:c r="I166" s="21" t="str">
        <x:v>BBH2 課序</x:v>
      </x:c>
      <x:c r="J166" s="21" t="n">
        <x:v>8</x:v>
      </x:c>
      <x:c r="K166" s="22" t="n">
        <x:v>1104</x:v>
      </x:c>
      <x:c r="L166" s="21" t="str">
        <x:v>H859</x:v>
      </x:c>
      <x:c r="M166" s="21" t="str">
        <x:v>pronoun</x:v>
      </x:c>
      <x:c r="N166" s="21" t="str">
        <x:v>否</x:v>
      </x:c>
      <x:c r="O166" s="21" t="str"/>
      <x:c r="P166" s="21" t="str">
        <x:v>source_and_lexicon_matched</x:v>
      </x:c>
      <x:c r="Q166" s="21" t="str">
        <x:v>rule_generated_exception_review</x:v>
      </x:c>
      <x:c r="R166" s="20" t="str">
        <x:v>https://hebrewsyntax.org/bbh2new/</x:v>
      </x:c>
    </x:row>
    <x:row r="167" ht="28" customHeight="1">
      <x:c r="A167" s="21" t="n">
        <x:v>163</x:v>
      </x:c>
      <x:c r="B167" s="21" t="n">
        <x:f>ROUNDUP(A167/20,0)</x:f>
        <x:v>9</x:v>
      </x:c>
      <x:c r="C167" s="21" t="n">
        <x:f>MOD(A167-1,20)+1</x:f>
        <x:v>3</x:v>
      </x:c>
      <x:c r="D167" s="18" t="str">
        <x:v>הֵם</x:v>
      </x:c>
      <x:c r="E167" s="19" t="str">
        <x:v>hēm</x:v>
      </x:c>
      <x:c r="F167" s="16" t="str">
        <x:v>הם</x:v>
      </x:c>
      <x:c r="G167" s="20" t="str">
        <x:v>they, those (3mp)</x:v>
      </x:c>
      <x:c r="H167" s="20" t="str"/>
      <x:c r="I167" s="21" t="str">
        <x:v>BBH2 課序</x:v>
      </x:c>
      <x:c r="J167" s="21" t="n">
        <x:v>8</x:v>
      </x:c>
      <x:c r="K167" s="22" t="n">
        <x:v>566</x:v>
      </x:c>
      <x:c r="L167" s="21" t="str">
        <x:v>H1992</x:v>
      </x:c>
      <x:c r="M167" s="21" t="str">
        <x:v>pronoun</x:v>
      </x:c>
      <x:c r="N167" s="21" t="str">
        <x:v>否</x:v>
      </x:c>
      <x:c r="O167" s="21" t="str"/>
      <x:c r="P167" s="21" t="str">
        <x:v>source_and_lexicon_matched</x:v>
      </x:c>
      <x:c r="Q167" s="21" t="str">
        <x:v>rule_generated_exception_review</x:v>
      </x:c>
      <x:c r="R167" s="20" t="str">
        <x:v>https://hebrewsyntax.org/bbh2new/</x:v>
      </x:c>
    </x:row>
    <x:row r="168" ht="28" customHeight="1">
      <x:c r="A168" s="21" t="n">
        <x:v>164</x:v>
      </x:c>
      <x:c r="B168" s="21" t="n">
        <x:f>ROUNDUP(A168/20,0)</x:f>
        <x:v>9</x:v>
      </x:c>
      <x:c r="C168" s="21" t="n">
        <x:f>MOD(A168-1,20)+1</x:f>
        <x:v>4</x:v>
      </x:c>
      <x:c r="D168" s="18" t="str">
        <x:v>הֵ֫מָּה</x:v>
      </x:c>
      <x:c r="E168" s="19" t="str">
        <x:v>hēmmâ</x:v>
      </x:c>
      <x:c r="F168" s="16" t="str">
        <x:v>המה</x:v>
      </x:c>
      <x:c r="G168" s="20" t="str">
        <x:v>they, those (3mp)</x:v>
      </x:c>
      <x:c r="H168" s="20" t="str"/>
      <x:c r="I168" s="21" t="str">
        <x:v>BBH2 課序</x:v>
      </x:c>
      <x:c r="J168" s="21" t="n">
        <x:v>8</x:v>
      </x:c>
      <x:c r="K168" s="22" t="n">
        <x:v>566</x:v>
      </x:c>
      <x:c r="L168" s="21" t="str">
        <x:v>H1992</x:v>
      </x:c>
      <x:c r="M168" s="21" t="str">
        <x:v>pronoun</x:v>
      </x:c>
      <x:c r="N168" s="21" t="str">
        <x:v>否</x:v>
      </x:c>
      <x:c r="O168" s="21" t="str"/>
      <x:c r="P168" s="21" t="str">
        <x:v>source_and_lexicon_matched</x:v>
      </x:c>
      <x:c r="Q168" s="21" t="str">
        <x:v>rule_generated_exception_review</x:v>
      </x:c>
      <x:c r="R168" s="20" t="str">
        <x:v>https://hebrewsyntax.org/bbh2new/</x:v>
      </x:c>
    </x:row>
    <x:row r="169" ht="28" customHeight="1">
      <x:c r="A169" s="21" t="n">
        <x:v>165</x:v>
      </x:c>
      <x:c r="B169" s="21" t="n">
        <x:f>ROUNDUP(A169/20,0)</x:f>
        <x:v>9</x:v>
      </x:c>
      <x:c r="C169" s="21" t="n">
        <x:f>MOD(A169-1,20)+1</x:f>
        <x:v>5</x:v>
      </x:c>
      <x:c r="D169" s="18" t="str">
        <x:v>הֵן</x:v>
      </x:c>
      <x:c r="E169" s="19" t="str">
        <x:v>hēn</x:v>
      </x:c>
      <x:c r="F169" s="16" t="str">
        <x:v>הן</x:v>
      </x:c>
      <x:c r="G169" s="20" t="str">
        <x:v>they, those (3fp) [ch9: behold! if]</x:v>
      </x:c>
      <x:c r="H169" s="20" t="str"/>
      <x:c r="I169" s="21" t="str">
        <x:v>BBH2 課序</x:v>
      </x:c>
      <x:c r="J169" s="21" t="n">
        <x:v>8</x:v>
      </x:c>
      <x:c r="K169" s="22" t="n">
        <x:v>13</x:v>
      </x:c>
      <x:c r="L169" s="21" t="str">
        <x:v>H2004</x:v>
      </x:c>
      <x:c r="M169" s="21" t="str">
        <x:v>pronoun</x:v>
      </x:c>
      <x:c r="N169" s="21" t="str">
        <x:v>否</x:v>
      </x:c>
      <x:c r="O169" s="21" t="str"/>
      <x:c r="P169" s="21" t="str">
        <x:v>source_and_lexicon_matched</x:v>
      </x:c>
      <x:c r="Q169" s="21" t="str">
        <x:v>rule_generated_exception_review</x:v>
      </x:c>
      <x:c r="R169" s="20" t="str">
        <x:v>https://hebrewsyntax.org/bbh2new/</x:v>
      </x:c>
    </x:row>
    <x:row r="170" ht="28" customHeight="1">
      <x:c r="A170" s="21" t="n">
        <x:v>166</x:v>
      </x:c>
      <x:c r="B170" s="21" t="n">
        <x:f>ROUNDUP(A170/20,0)</x:f>
        <x:v>9</x:v>
      </x:c>
      <x:c r="C170" s="21" t="n">
        <x:f>MOD(A170-1,20)+1</x:f>
        <x:v>6</x:v>
      </x:c>
      <x:c r="D170" s="18" t="str">
        <x:v>הֵ֫נָּה</x:v>
      </x:c>
      <x:c r="E170" s="19" t="str">
        <x:v>hēnnâ</x:v>
      </x:c>
      <x:c r="F170" s="16" t="str">
        <x:v>הנה</x:v>
      </x:c>
      <x:c r="G170" s="20" t="str">
        <x:v>they, those (3fp)</x:v>
      </x:c>
      <x:c r="H170" s="20" t="str"/>
      <x:c r="I170" s="21" t="str">
        <x:v>BBH2 課序</x:v>
      </x:c>
      <x:c r="J170" s="21" t="n">
        <x:v>8</x:v>
      </x:c>
      <x:c r="K170" s="22" t="n">
        <x:v>48</x:v>
      </x:c>
      <x:c r="L170" s="21" t="str">
        <x:v>H2007</x:v>
      </x:c>
      <x:c r="M170" s="21" t="str">
        <x:v>pronoun</x:v>
      </x:c>
      <x:c r="N170" s="21" t="str">
        <x:v>否</x:v>
      </x:c>
      <x:c r="O170" s="21" t="str"/>
      <x:c r="P170" s="21" t="str">
        <x:v>source_and_lexicon_matched</x:v>
      </x:c>
      <x:c r="Q170" s="21" t="str">
        <x:v>rule_generated_exception_review</x:v>
      </x:c>
      <x:c r="R170" s="20" t="str">
        <x:v>https://hebrewsyntax.org/bbh2new/</x:v>
      </x:c>
    </x:row>
    <x:row r="171" ht="28" customHeight="1">
      <x:c r="A171" s="21" t="n">
        <x:v>167</x:v>
      </x:c>
      <x:c r="B171" s="21" t="n">
        <x:f>ROUNDUP(A171/20,0)</x:f>
        <x:v>9</x:v>
      </x:c>
      <x:c r="C171" s="21" t="n">
        <x:f>MOD(A171-1,20)+1</x:f>
        <x:v>7</x:v>
      </x:c>
      <x:c r="D171" s="18" t="str">
        <x:v>זֶה</x:v>
      </x:c>
      <x:c r="E171" s="19" t="str">
        <x:v>zê</x:v>
      </x:c>
      <x:c r="F171" s="16" t="str">
        <x:v>זה</x:v>
      </x:c>
      <x:c r="G171" s="20" t="str">
        <x:v>this (ms)</x:v>
      </x:c>
      <x:c r="H171" s="20" t="str"/>
      <x:c r="I171" s="21" t="str">
        <x:v>BBH2 課序</x:v>
      </x:c>
      <x:c r="J171" s="21" t="n">
        <x:v>8</x:v>
      </x:c>
      <x:c r="K171" s="22" t="n">
        <x:v>1178</x:v>
      </x:c>
      <x:c r="L171" s="21" t="str">
        <x:v>H2088</x:v>
      </x:c>
      <x:c r="M171" s="21" t="str">
        <x:v>pronoun</x:v>
      </x:c>
      <x:c r="N171" s="21" t="str">
        <x:v>否</x:v>
      </x:c>
      <x:c r="O171" s="21" t="str"/>
      <x:c r="P171" s="21" t="str">
        <x:v>source_and_lexicon_matched</x:v>
      </x:c>
      <x:c r="Q171" s="21" t="str">
        <x:v>rule_generated_exception_review</x:v>
      </x:c>
      <x:c r="R171" s="20" t="str">
        <x:v>https://hebrewsyntax.org/bbh2new/</x:v>
      </x:c>
    </x:row>
    <x:row r="172" ht="28" customHeight="1">
      <x:c r="A172" s="21" t="n">
        <x:v>168</x:v>
      </x:c>
      <x:c r="B172" s="21" t="n">
        <x:f>ROUNDUP(A172/20,0)</x:f>
        <x:v>9</x:v>
      </x:c>
      <x:c r="C172" s="21" t="n">
        <x:f>MOD(A172-1,20)+1</x:f>
        <x:v>8</x:v>
      </x:c>
      <x:c r="D172" s="18" t="str">
        <x:v>זֹאת</x:v>
      </x:c>
      <x:c r="E172" s="19" t="str">
        <x:v>zōʾṯ</x:v>
      </x:c>
      <x:c r="F172" s="16" t="str">
        <x:v>זאת</x:v>
      </x:c>
      <x:c r="G172" s="20" t="str">
        <x:v>this (fs)</x:v>
      </x:c>
      <x:c r="H172" s="20" t="str"/>
      <x:c r="I172" s="21" t="str">
        <x:v>BBH2 課序</x:v>
      </x:c>
      <x:c r="J172" s="21" t="n">
        <x:v>8</x:v>
      </x:c>
      <x:c r="K172" s="22" t="n">
        <x:v>605</x:v>
      </x:c>
      <x:c r="L172" s="21" t="str">
        <x:v>H2063</x:v>
      </x:c>
      <x:c r="M172" s="21" t="str">
        <x:v>pronoun</x:v>
      </x:c>
      <x:c r="N172" s="21" t="str">
        <x:v>否</x:v>
      </x:c>
      <x:c r="O172" s="21" t="str"/>
      <x:c r="P172" s="21" t="str">
        <x:v>source_and_lexicon_matched</x:v>
      </x:c>
      <x:c r="Q172" s="21" t="str">
        <x:v>rule_generated_exception_review</x:v>
      </x:c>
      <x:c r="R172" s="20" t="str">
        <x:v>https://hebrewsyntax.org/bbh2new/</x:v>
      </x:c>
    </x:row>
    <x:row r="173" ht="28" customHeight="1">
      <x:c r="A173" s="21" t="n">
        <x:v>169</x:v>
      </x:c>
      <x:c r="B173" s="21" t="n">
        <x:f>ROUNDUP(A173/20,0)</x:f>
        <x:v>9</x:v>
      </x:c>
      <x:c r="C173" s="21" t="n">
        <x:f>MOD(A173-1,20)+1</x:f>
        <x:v>9</x:v>
      </x:c>
      <x:c r="D173" s="18" t="str">
        <x:v>אֵ֫לֶּה</x:v>
      </x:c>
      <x:c r="E173" s="19" t="str">
        <x:v>ʾēllê</x:v>
      </x:c>
      <x:c r="F173" s="16" t="str">
        <x:v>אלה</x:v>
      </x:c>
      <x:c r="G173" s="20" t="str">
        <x:v>these (cp)</x:v>
      </x:c>
      <x:c r="H173" s="20" t="str"/>
      <x:c r="I173" s="21" t="str">
        <x:v>BBH2 課序</x:v>
      </x:c>
      <x:c r="J173" s="21" t="n">
        <x:v>8</x:v>
      </x:c>
      <x:c r="K173" s="22" t="n">
        <x:v>747</x:v>
      </x:c>
      <x:c r="L173" s="21" t="str">
        <x:v>H428</x:v>
      </x:c>
      <x:c r="M173" s="21" t="str">
        <x:v>pronoun</x:v>
      </x:c>
      <x:c r="N173" s="21" t="str">
        <x:v>否</x:v>
      </x:c>
      <x:c r="O173" s="21" t="str"/>
      <x:c r="P173" s="21" t="str">
        <x:v>source_and_lexicon_matched</x:v>
      </x:c>
      <x:c r="Q173" s="21" t="str">
        <x:v>rule_generated_exception_review</x:v>
      </x:c>
      <x:c r="R173" s="20" t="str">
        <x:v>https://hebrewsyntax.org/bbh2new/</x:v>
      </x:c>
    </x:row>
    <x:row r="174" ht="28" customHeight="1">
      <x:c r="A174" s="21" t="n">
        <x:v>170</x:v>
      </x:c>
      <x:c r="B174" s="21" t="n">
        <x:f>ROUNDUP(A174/20,0)</x:f>
        <x:v>9</x:v>
      </x:c>
      <x:c r="C174" s="21" t="n">
        <x:f>MOD(A174-1,20)+1</x:f>
        <x:v>10</x:v>
      </x:c>
      <x:c r="D174" s="18" t="str">
        <x:v>אוֹ</x:v>
      </x:c>
      <x:c r="E174" s="19" t="str">
        <x:v>ʾô</x:v>
      </x:c>
      <x:c r="F174" s="16" t="str">
        <x:v>או</x:v>
      </x:c>
      <x:c r="G174" s="20" t="str">
        <x:v>or</x:v>
      </x:c>
      <x:c r="H174" s="20" t="str"/>
      <x:c r="I174" s="21" t="str">
        <x:v>BBH2 課序</x:v>
      </x:c>
      <x:c r="J174" s="21" t="n">
        <x:v>9</x:v>
      </x:c>
      <x:c r="K174" s="22" t="n">
        <x:v>321</x:v>
      </x:c>
      <x:c r="L174" s="21" t="str">
        <x:v>H176</x:v>
      </x:c>
      <x:c r="M174" s="21" t="str">
        <x:v>conjunction</x:v>
      </x:c>
      <x:c r="N174" s="21" t="str">
        <x:v>否</x:v>
      </x:c>
      <x:c r="O174" s="21" t="str"/>
      <x:c r="P174" s="21" t="str">
        <x:v>source_and_lexicon_matched</x:v>
      </x:c>
      <x:c r="Q174" s="21" t="str">
        <x:v>rule_generated_exception_review</x:v>
      </x:c>
      <x:c r="R174" s="20" t="str">
        <x:v>https://hebrewsyntax.org/bbh2new/</x:v>
      </x:c>
    </x:row>
    <x:row r="175" ht="28" customHeight="1">
      <x:c r="A175" s="21" t="n">
        <x:v>171</x:v>
      </x:c>
      <x:c r="B175" s="21" t="n">
        <x:f>ROUNDUP(A175/20,0)</x:f>
        <x:v>9</x:v>
      </x:c>
      <x:c r="C175" s="21" t="n">
        <x:f>MOD(A175-1,20)+1</x:f>
        <x:v>11</x:v>
      </x:c>
      <x:c r="D175" s="18" t="str">
        <x:v>אַ֫יִן</x:v>
      </x:c>
      <x:c r="E175" s="19" t="str">
        <x:v>ʾayin</x:v>
      </x:c>
      <x:c r="F175" s="16" t="str">
        <x:v>אין</x:v>
      </x:c>
      <x:c r="G175" s="20" t="str">
        <x:v>there is not, there are not</x:v>
      </x:c>
      <x:c r="H175" s="20" t="str"/>
      <x:c r="I175" s="21" t="str">
        <x:v>BBH2 課序</x:v>
      </x:c>
      <x:c r="J175" s="21" t="n">
        <x:v>9</x:v>
      </x:c>
      <x:c r="K175" s="22" t="n">
        <x:v>790</x:v>
      </x:c>
      <x:c r="L175" s="21" t="str">
        <x:v>H369</x:v>
      </x:c>
      <x:c r="M175" s="21" t="str">
        <x:v>particle</x:v>
      </x:c>
      <x:c r="N175" s="21" t="str">
        <x:v>否</x:v>
      </x:c>
      <x:c r="O175" s="21" t="str"/>
      <x:c r="P175" s="21" t="str">
        <x:v>source_and_lexicon_matched</x:v>
      </x:c>
      <x:c r="Q175" s="21" t="str">
        <x:v>rule_generated_exception_review</x:v>
      </x:c>
      <x:c r="R175" s="20" t="str">
        <x:v>https://hebrewsyntax.org/bbh2new/</x:v>
      </x:c>
    </x:row>
    <x:row r="176" ht="28" customHeight="1">
      <x:c r="A176" s="21" t="n">
        <x:v>172</x:v>
      </x:c>
      <x:c r="B176" s="21" t="n">
        <x:f>ROUNDUP(A176/20,0)</x:f>
        <x:v>9</x:v>
      </x:c>
      <x:c r="C176" s="21" t="n">
        <x:f>MOD(A176-1,20)+1</x:f>
        <x:v>12</x:v>
      </x:c>
      <x:c r="D176" s="18" t="str">
        <x:v>אֵין</x:v>
      </x:c>
      <x:c r="E176" s="19" t="str">
        <x:v>ʾên</x:v>
      </x:c>
      <x:c r="F176" s="16" t="str">
        <x:v>אין</x:v>
      </x:c>
      <x:c r="G176" s="20" t="str">
        <x:v>there is not, there are not</x:v>
      </x:c>
      <x:c r="H176" s="20" t="str"/>
      <x:c r="I176" s="21" t="str">
        <x:v>BBH2 課序</x:v>
      </x:c>
      <x:c r="J176" s="21" t="n">
        <x:v>9</x:v>
      </x:c>
      <x:c r="K176" s="22" t="n">
        <x:v>790</x:v>
      </x:c>
      <x:c r="L176" s="21" t="str">
        <x:v>H369</x:v>
      </x:c>
      <x:c r="M176" s="21" t="str">
        <x:v>particle</x:v>
      </x:c>
      <x:c r="N176" s="21" t="str">
        <x:v>否</x:v>
      </x:c>
      <x:c r="O176" s="21" t="str"/>
      <x:c r="P176" s="21" t="str">
        <x:v>source_and_lexicon_matched</x:v>
      </x:c>
      <x:c r="Q176" s="21" t="str">
        <x:v>rule_generated_exception_review</x:v>
      </x:c>
      <x:c r="R176" s="20" t="str">
        <x:v>https://hebrewsyntax.org/bbh2new/</x:v>
      </x:c>
    </x:row>
    <x:row r="177" ht="28" customHeight="1">
      <x:c r="A177" s="21" t="n">
        <x:v>173</x:v>
      </x:c>
      <x:c r="B177" s="21" t="n">
        <x:f>ROUNDUP(A177/20,0)</x:f>
        <x:v>9</x:v>
      </x:c>
      <x:c r="C177" s="21" t="n">
        <x:f>MOD(A177-1,20)+1</x:f>
        <x:v>13</x:v>
      </x:c>
      <x:c r="D177" s="18" t="str">
        <x:v>אַף</x:v>
      </x:c>
      <x:c r="E177" s="19" t="str">
        <x:v>ʾap̄</x:v>
      </x:c>
      <x:c r="F177" s="16" t="str">
        <x:v>אף</x:v>
      </x:c>
      <x:c r="G177" s="20" t="str">
        <x:v>nostril, nose; anger; [ch15: also, indeed, even]</x:v>
      </x:c>
      <x:c r="H177" s="20" t="str"/>
      <x:c r="I177" s="21" t="str">
        <x:v>BBH2 課序</x:v>
      </x:c>
      <x:c r="J177" s="21" t="n">
        <x:v>9</x:v>
      </x:c>
      <x:c r="K177" s="22" t="n">
        <x:v>276</x:v>
      </x:c>
      <x:c r="L177" s="21" t="str">
        <x:v>H639</x:v>
      </x:c>
      <x:c r="M177" s="21" t="str">
        <x:v>noun</x:v>
      </x:c>
      <x:c r="N177" s="21" t="str">
        <x:v>否</x:v>
      </x:c>
      <x:c r="O177" s="21" t="str"/>
      <x:c r="P177" s="21" t="str">
        <x:v>source_and_lexicon_matched</x:v>
      </x:c>
      <x:c r="Q177" s="21" t="str">
        <x:v>rule_generated_exception_review</x:v>
      </x:c>
      <x:c r="R177" s="20" t="str">
        <x:v>https://hebrewsyntax.org/bbh2new/</x:v>
      </x:c>
    </x:row>
    <x:row r="178" ht="28" customHeight="1">
      <x:c r="A178" s="21" t="n">
        <x:v>174</x:v>
      </x:c>
      <x:c r="B178" s="21" t="n">
        <x:f>ROUNDUP(A178/20,0)</x:f>
        <x:v>9</x:v>
      </x:c>
      <x:c r="C178" s="21" t="n">
        <x:f>MOD(A178-1,20)+1</x:f>
        <x:v>14</x:v>
      </x:c>
      <x:c r="D178" s="18" t="str">
        <x:v>אַפַּ֫יִם</x:v>
      </x:c>
      <x:c r="E178" s="19" t="str">
        <x:v>ʾappayim</x:v>
      </x:c>
      <x:c r="F178" s="16" t="str">
        <x:v>אפים</x:v>
      </x:c>
      <x:c r="G178" s="20" t="str">
        <x:v>(pair of) nostrils [dual of אַף]</x:v>
      </x:c>
      <x:c r="H178" s="20" t="str"/>
      <x:c r="I178" s="21" t="str">
        <x:v>BBH2 課序</x:v>
      </x:c>
      <x:c r="J178" s="21" t="n">
        <x:v>9</x:v>
      </x:c>
      <x:c r="K178" s="22" t="n">
        <x:v>276</x:v>
      </x:c>
      <x:c r="L178" s="21" t="str">
        <x:v>H639</x:v>
      </x:c>
      <x:c r="M178" s="21" t="str">
        <x:v>noun</x:v>
      </x:c>
      <x:c r="N178" s="21" t="str">
        <x:v>否</x:v>
      </x:c>
      <x:c r="O178" s="21" t="str"/>
      <x:c r="P178" s="21" t="str">
        <x:v>source_and_lexicon_matched</x:v>
      </x:c>
      <x:c r="Q178" s="21" t="str">
        <x:v>rule_generated_exception_review</x:v>
      </x:c>
      <x:c r="R178" s="20" t="str">
        <x:v>https://hebrewsyntax.org/bbh2new/</x:v>
      </x:c>
    </x:row>
    <x:row r="179" ht="28" customHeight="1">
      <x:c r="A179" s="21" t="n">
        <x:v>175</x:v>
      </x:c>
      <x:c r="B179" s="21" t="n">
        <x:f>ROUNDUP(A179/20,0)</x:f>
        <x:v>9</x:v>
      </x:c>
      <x:c r="C179" s="21" t="n">
        <x:f>MOD(A179-1,20)+1</x:f>
        <x:v>15</x:v>
      </x:c>
      <x:c r="D179" s="18" t="str">
        <x:v>בֹּ֫קֶר</x:v>
      </x:c>
      <x:c r="E179" s="19" t="str">
        <x:v>bōqer</x:v>
      </x:c>
      <x:c r="F179" s="16" t="str">
        <x:v>בקר</x:v>
      </x:c>
      <x:c r="G179" s="20" t="str">
        <x:v>morning</x:v>
      </x:c>
      <x:c r="H179" s="20" t="str"/>
      <x:c r="I179" s="21" t="str">
        <x:v>BBH2 課序</x:v>
      </x:c>
      <x:c r="J179" s="21" t="n">
        <x:v>9</x:v>
      </x:c>
      <x:c r="K179" s="22" t="n">
        <x:v>214</x:v>
      </x:c>
      <x:c r="L179" s="21" t="str">
        <x:v>H1242</x:v>
      </x:c>
      <x:c r="M179" s="21" t="str">
        <x:v>noun</x:v>
      </x:c>
      <x:c r="N179" s="21" t="str">
        <x:v>否</x:v>
      </x:c>
      <x:c r="O179" s="21" t="str"/>
      <x:c r="P179" s="21" t="str">
        <x:v>source_and_lexicon_matched</x:v>
      </x:c>
      <x:c r="Q179" s="21" t="str">
        <x:v>rule_generated_exception_review</x:v>
      </x:c>
      <x:c r="R179" s="20" t="str">
        <x:v>https://hebrewsyntax.org/bbh2new/</x:v>
      </x:c>
    </x:row>
    <x:row r="180" ht="28" customHeight="1">
      <x:c r="A180" s="21" t="n">
        <x:v>176</x:v>
      </x:c>
      <x:c r="B180" s="21" t="n">
        <x:f>ROUNDUP(A180/20,0)</x:f>
        <x:v>9</x:v>
      </x:c>
      <x:c r="C180" s="21" t="n">
        <x:f>MOD(A180-1,20)+1</x:f>
        <x:v>16</x:v>
      </x:c>
      <x:c r="D180" s="18" t="str">
        <x:v>בָּקָר</x:v>
      </x:c>
      <x:c r="E180" s="19" t="str">
        <x:v>bāqār</x:v>
      </x:c>
      <x:c r="F180" s="16" t="str">
        <x:v>בקר</x:v>
      </x:c>
      <x:c r="G180" s="20" t="str">
        <x:v>cattle, herd</x:v>
      </x:c>
      <x:c r="H180" s="20" t="str"/>
      <x:c r="I180" s="21" t="str">
        <x:v>BBH2 課序</x:v>
      </x:c>
      <x:c r="J180" s="21" t="n">
        <x:v>9</x:v>
      </x:c>
      <x:c r="K180" s="22" t="n">
        <x:v>183</x:v>
      </x:c>
      <x:c r="L180" s="21" t="str">
        <x:v>H1241</x:v>
      </x:c>
      <x:c r="M180" s="21" t="str">
        <x:v>noun</x:v>
      </x:c>
      <x:c r="N180" s="21" t="str">
        <x:v>否</x:v>
      </x:c>
      <x:c r="O180" s="21" t="str"/>
      <x:c r="P180" s="21" t="str">
        <x:v>source_and_lexicon_matched</x:v>
      </x:c>
      <x:c r="Q180" s="21" t="str">
        <x:v>rule_generated_exception_review</x:v>
      </x:c>
      <x:c r="R180" s="20" t="str">
        <x:v>https://hebrewsyntax.org/bbh2new/</x:v>
      </x:c>
    </x:row>
    <x:row r="181" ht="28" customHeight="1">
      <x:c r="A181" s="21" t="n">
        <x:v>177</x:v>
      </x:c>
      <x:c r="B181" s="21" t="n">
        <x:f>ROUNDUP(A181/20,0)</x:f>
        <x:v>9</x:v>
      </x:c>
      <x:c r="C181" s="21" t="n">
        <x:f>MOD(A181-1,20)+1</x:f>
        <x:v>17</x:v>
      </x:c>
      <x:c r="D181" s="18" t="str">
        <x:v>בְּרָכָה</x:v>
      </x:c>
      <x:c r="E181" s="19" t="str">
        <x:v>bərāḵâ</x:v>
      </x:c>
      <x:c r="F181" s="16" t="str">
        <x:v>ברכה</x:v>
      </x:c>
      <x:c r="G181" s="20" t="str">
        <x:v>blessing, gift</x:v>
      </x:c>
      <x:c r="H181" s="20" t="str"/>
      <x:c r="I181" s="21" t="str">
        <x:v>BBH2 課序</x:v>
      </x:c>
      <x:c r="J181" s="21" t="n">
        <x:v>9</x:v>
      </x:c>
      <x:c r="K181" s="22" t="n">
        <x:v>69</x:v>
      </x:c>
      <x:c r="L181" s="21" t="str">
        <x:v>H1293</x:v>
      </x:c>
      <x:c r="M181" s="21" t="str">
        <x:v>noun</x:v>
      </x:c>
      <x:c r="N181" s="21" t="str">
        <x:v>否</x:v>
      </x:c>
      <x:c r="O181" s="21" t="str"/>
      <x:c r="P181" s="21" t="str">
        <x:v>source_and_lexicon_matched</x:v>
      </x:c>
      <x:c r="Q181" s="21" t="str">
        <x:v>rule_generated_exception_review</x:v>
      </x:c>
      <x:c r="R181" s="20" t="str">
        <x:v>https://hebrewsyntax.org/bbh2new/</x:v>
      </x:c>
    </x:row>
    <x:row r="182" ht="28" customHeight="1">
      <x:c r="A182" s="21" t="n">
        <x:v>178</x:v>
      </x:c>
      <x:c r="B182" s="21" t="n">
        <x:f>ROUNDUP(A182/20,0)</x:f>
        <x:v>9</x:v>
      </x:c>
      <x:c r="C182" s="21" t="n">
        <x:f>MOD(A182-1,20)+1</x:f>
        <x:v>18</x:v>
      </x:c>
      <x:c r="D182" s="18" t="str">
        <x:v>הֵן</x:v>
      </x:c>
      <x:c r="E182" s="19" t="str">
        <x:v>hēn</x:v>
      </x:c>
      <x:c r="F182" s="16" t="str">
        <x:v>הן</x:v>
      </x:c>
      <x:c r="G182" s="20" t="str">
        <x:v>behold! if [ch8: they (f), those (f)]</x:v>
      </x:c>
      <x:c r="H182" s="20" t="str"/>
      <x:c r="I182" s="21" t="str">
        <x:v>BBH2 課序</x:v>
      </x:c>
      <x:c r="J182" s="21" t="n">
        <x:v>9</x:v>
      </x:c>
      <x:c r="K182" s="22" t="n">
        <x:v>318</x:v>
      </x:c>
      <x:c r="L182" s="21" t="str">
        <x:v>H2005</x:v>
      </x:c>
      <x:c r="M182" s="21" t="str">
        <x:v>particle</x:v>
      </x:c>
      <x:c r="N182" s="21" t="str">
        <x:v>否</x:v>
      </x:c>
      <x:c r="O182" s="21" t="str"/>
      <x:c r="P182" s="21" t="str">
        <x:v>source_and_lexicon_matched</x:v>
      </x:c>
      <x:c r="Q182" s="21" t="str">
        <x:v>rule_generated_exception_review</x:v>
      </x:c>
      <x:c r="R182" s="20" t="str">
        <x:v>https://hebrewsyntax.org/bbh2new/</x:v>
      </x:c>
    </x:row>
    <x:row r="183" ht="28" customHeight="1">
      <x:c r="A183" s="21" t="n">
        <x:v>179</x:v>
      </x:c>
      <x:c r="B183" s="21" t="n">
        <x:f>ROUNDUP(A183/20,0)</x:f>
        <x:v>9</x:v>
      </x:c>
      <x:c r="C183" s="21" t="n">
        <x:f>MOD(A183-1,20)+1</x:f>
        <x:v>19</x:v>
      </x:c>
      <x:c r="D183" s="18" t="str">
        <x:v>הִנֵּה</x:v>
      </x:c>
      <x:c r="E183" s="19" t="str">
        <x:v>hinnê</x:v>
      </x:c>
      <x:c r="F183" s="16" t="str">
        <x:v>הנה</x:v>
      </x:c>
      <x:c r="G183" s="20" t="str">
        <x:v>behold!</x:v>
      </x:c>
      <x:c r="H183" s="20" t="str"/>
      <x:c r="I183" s="21" t="str">
        <x:v>BBH2 課序</x:v>
      </x:c>
      <x:c r="J183" s="21" t="n">
        <x:v>9</x:v>
      </x:c>
      <x:c r="K183" s="22" t="n">
        <x:v>843</x:v>
      </x:c>
      <x:c r="L183" s="21" t="str">
        <x:v>H2009</x:v>
      </x:c>
      <x:c r="M183" s="21" t="str">
        <x:v>particle</x:v>
      </x:c>
      <x:c r="N183" s="21" t="str">
        <x:v>否</x:v>
      </x:c>
      <x:c r="O183" s="21" t="str"/>
      <x:c r="P183" s="21" t="str">
        <x:v>source_and_lexicon_matched</x:v>
      </x:c>
      <x:c r="Q183" s="21" t="str">
        <x:v>rule_generated_exception_review</x:v>
      </x:c>
      <x:c r="R183" s="20" t="str">
        <x:v>https://hebrewsyntax.org/bbh2new/</x:v>
      </x:c>
    </x:row>
    <x:row r="184" ht="28" customHeight="1">
      <x:c r="A184" s="21" t="n">
        <x:v>180</x:v>
      </x:c>
      <x:c r="B184" s="21" t="n">
        <x:f>ROUNDUP(A184/20,0)</x:f>
        <x:v>9</x:v>
      </x:c>
      <x:c r="C184" s="21" t="n">
        <x:f>MOD(A184-1,20)+1</x:f>
        <x:v>20</x:v>
      </x:c>
      <x:c r="D184" s="18" t="str">
        <x:v>חַטָּאת</x:v>
      </x:c>
      <x:c r="E184" s="19" t="str">
        <x:v>ḥaṭṭāʾṯ</x:v>
      </x:c>
      <x:c r="F184" s="16" t="str">
        <x:v>חטאת</x:v>
      </x:c>
      <x:c r="G184" s="20" t="str">
        <x:v>sin, sin offering [F]</x:v>
      </x:c>
      <x:c r="H184" s="20" t="str"/>
      <x:c r="I184" s="21" t="str">
        <x:v>BBH2 課序</x:v>
      </x:c>
      <x:c r="J184" s="21" t="n">
        <x:v>9</x:v>
      </x:c>
      <x:c r="K184" s="22" t="n">
        <x:v>299</x:v>
      </x:c>
      <x:c r="L184" s="21" t="str">
        <x:v>H2403</x:v>
      </x:c>
      <x:c r="M184" s="21" t="str">
        <x:v>noun</x:v>
      </x:c>
      <x:c r="N184" s="21" t="str">
        <x:v>否</x:v>
      </x:c>
      <x:c r="O184" s="21" t="str"/>
      <x:c r="P184" s="21" t="str">
        <x:v>source_and_lexicon_matched</x:v>
      </x:c>
      <x:c r="Q184" s="21" t="str">
        <x:v>rule_generated_exception_review</x:v>
      </x:c>
      <x:c r="R184" s="20" t="str">
        <x:v>https://hebrewsyntax.org/bbh2new/</x:v>
      </x:c>
    </x:row>
    <x:row r="185" ht="28" customHeight="1">
      <x:c r="A185" s="21" t="n">
        <x:v>181</x:v>
      </x:c>
      <x:c r="B185" s="21" t="n">
        <x:f>ROUNDUP(A185/20,0)</x:f>
        <x:v>10</x:v>
      </x:c>
      <x:c r="C185" s="21" t="n">
        <x:f>MOD(A185-1,20)+1</x:f>
        <x:v>1</x:v>
      </x:c>
      <x:c r="D185" s="18" t="str">
        <x:v>יֵשׁ</x:v>
      </x:c>
      <x:c r="E185" s="19" t="str">
        <x:v>yēš</x:v>
      </x:c>
      <x:c r="F185" s="16" t="str">
        <x:v>יש</x:v>
      </x:c>
      <x:c r="G185" s="20" t="str">
        <x:v>there is, there are</x:v>
      </x:c>
      <x:c r="H185" s="20" t="str"/>
      <x:c r="I185" s="21" t="str">
        <x:v>BBH2 課序</x:v>
      </x:c>
      <x:c r="J185" s="21" t="n">
        <x:v>9</x:v>
      </x:c>
      <x:c r="K185" s="22" t="n">
        <x:v>138</x:v>
      </x:c>
      <x:c r="L185" s="21" t="str">
        <x:v>H3426</x:v>
      </x:c>
      <x:c r="M185" s="21" t="str">
        <x:v>particle</x:v>
      </x:c>
      <x:c r="N185" s="21" t="str">
        <x:v>否</x:v>
      </x:c>
      <x:c r="O185" s="21" t="str"/>
      <x:c r="P185" s="21" t="str">
        <x:v>source_and_lexicon_matched</x:v>
      </x:c>
      <x:c r="Q185" s="21" t="str">
        <x:v>rule_generated_exception_review</x:v>
      </x:c>
      <x:c r="R185" s="20" t="str">
        <x:v>https://hebrewsyntax.org/bbh2new/</x:v>
      </x:c>
    </x:row>
    <x:row r="186" ht="28" customHeight="1">
      <x:c r="A186" s="21" t="n">
        <x:v>182</x:v>
      </x:c>
      <x:c r="B186" s="21" t="n">
        <x:f>ROUNDUP(A186/20,0)</x:f>
        <x:v>10</x:v>
      </x:c>
      <x:c r="C186" s="21" t="n">
        <x:f>MOD(A186-1,20)+1</x:f>
        <x:v>2</x:v>
      </x:c>
      <x:c r="D186" s="18" t="str">
        <x:v>יֶשׁ־</x:v>
      </x:c>
      <x:c r="E186" s="19" t="str">
        <x:v>yeš-</x:v>
      </x:c>
      <x:c r="F186" s="16" t="str">
        <x:v>יש</x:v>
      </x:c>
      <x:c r="G186" s="20" t="str">
        <x:v>there is, there are</x:v>
      </x:c>
      <x:c r="H186" s="20" t="str"/>
      <x:c r="I186" s="21" t="str">
        <x:v>BBH2 課序</x:v>
      </x:c>
      <x:c r="J186" s="21" t="n">
        <x:v>9</x:v>
      </x:c>
      <x:c r="K186" s="22" t="n">
        <x:v>138</x:v>
      </x:c>
      <x:c r="L186" s="21" t="str">
        <x:v>H3426</x:v>
      </x:c>
      <x:c r="M186" s="21" t="str">
        <x:v>particle</x:v>
      </x:c>
      <x:c r="N186" s="21" t="str">
        <x:v>否</x:v>
      </x:c>
      <x:c r="O186" s="21" t="str"/>
      <x:c r="P186" s="21" t="str">
        <x:v>source_and_lexicon_matched</x:v>
      </x:c>
      <x:c r="Q186" s="21" t="str">
        <x:v>rule_generated_exception_review</x:v>
      </x:c>
      <x:c r="R186" s="20" t="str">
        <x:v>https://hebrewsyntax.org/bbh2new/</x:v>
      </x:c>
    </x:row>
    <x:row r="187" ht="28" customHeight="1">
      <x:c r="A187" s="21" t="n">
        <x:v>183</x:v>
      </x:c>
      <x:c r="B187" s="21" t="n">
        <x:f>ROUNDUP(A187/20,0)</x:f>
        <x:v>10</x:v>
      </x:c>
      <x:c r="C187" s="21" t="n">
        <x:f>MOD(A187-1,20)+1</x:f>
        <x:v>3</x:v>
      </x:c>
      <x:c r="D187" s="18" t="str">
        <x:v>כָּבוֹד</x:v>
      </x:c>
      <x:c r="E187" s="19" t="str">
        <x:v>kāḇôḏ</x:v>
      </x:c>
      <x:c r="F187" s="16" t="str">
        <x:v>כבוד</x:v>
      </x:c>
      <x:c r="G187" s="20" t="str">
        <x:v>glory, splendor, honor, abundance</x:v>
      </x:c>
      <x:c r="H187" s="20" t="str"/>
      <x:c r="I187" s="21" t="str">
        <x:v>BBH2 課序</x:v>
      </x:c>
      <x:c r="J187" s="21" t="n">
        <x:v>9</x:v>
      </x:c>
      <x:c r="K187" s="22" t="n">
        <x:v>200</x:v>
      </x:c>
      <x:c r="L187" s="21" t="str">
        <x:v>H3519</x:v>
      </x:c>
      <x:c r="M187" s="21" t="str">
        <x:v>noun</x:v>
      </x:c>
      <x:c r="N187" s="21" t="str">
        <x:v>否</x:v>
      </x:c>
      <x:c r="O187" s="21" t="str"/>
      <x:c r="P187" s="21" t="str">
        <x:v>source_and_lexicon_matched</x:v>
      </x:c>
      <x:c r="Q187" s="21" t="str">
        <x:v>rule_generated_exception_review</x:v>
      </x:c>
      <x:c r="R187" s="20" t="str">
        <x:v>https://hebrewsyntax.org/bbh2new/</x:v>
      </x:c>
    </x:row>
    <x:row r="188" ht="28" customHeight="1">
      <x:c r="A188" s="21" t="n">
        <x:v>184</x:v>
      </x:c>
      <x:c r="B188" s="21" t="n">
        <x:f>ROUNDUP(A188/20,0)</x:f>
        <x:v>10</x:v>
      </x:c>
      <x:c r="C188" s="21" t="n">
        <x:f>MOD(A188-1,20)+1</x:f>
        <x:v>4</x:v>
      </x:c>
      <x:c r="D188" s="18" t="str">
        <x:v>כְּלִי</x:v>
      </x:c>
      <x:c r="E188" s="19" t="str">
        <x:v>kəlî</x:v>
      </x:c>
      <x:c r="F188" s="16" t="str">
        <x:v>כלי</x:v>
      </x:c>
      <x:c r="G188" s="20" t="str">
        <x:v>vessel, implement, weapon</x:v>
      </x:c>
      <x:c r="H188" s="20" t="str"/>
      <x:c r="I188" s="21" t="str">
        <x:v>BBH2 課序</x:v>
      </x:c>
      <x:c r="J188" s="21" t="n">
        <x:v>9</x:v>
      </x:c>
      <x:c r="K188" s="22" t="n">
        <x:v>325</x:v>
      </x:c>
      <x:c r="L188" s="21" t="str">
        <x:v>H3627</x:v>
      </x:c>
      <x:c r="M188" s="21" t="str">
        <x:v>noun</x:v>
      </x:c>
      <x:c r="N188" s="21" t="str">
        <x:v>否</x:v>
      </x:c>
      <x:c r="O188" s="21" t="str"/>
      <x:c r="P188" s="21" t="str">
        <x:v>source_and_lexicon_matched</x:v>
      </x:c>
      <x:c r="Q188" s="21" t="str">
        <x:v>rule_generated_exception_review</x:v>
      </x:c>
      <x:c r="R188" s="20" t="str">
        <x:v>https://hebrewsyntax.org/bbh2new/</x:v>
      </x:c>
    </x:row>
    <x:row r="189" ht="28" customHeight="1">
      <x:c r="A189" s="21" t="n">
        <x:v>185</x:v>
      </x:c>
      <x:c r="B189" s="21" t="n">
        <x:f>ROUNDUP(A189/20,0)</x:f>
        <x:v>10</x:v>
      </x:c>
      <x:c r="C189" s="21" t="n">
        <x:f>MOD(A189-1,20)+1</x:f>
        <x:v>5</x:v>
      </x:c>
      <x:c r="D189" s="18" t="str">
        <x:v>לֶ֫חֶם</x:v>
      </x:c>
      <x:c r="E189" s="19" t="str">
        <x:v>leḥem</x:v>
      </x:c>
      <x:c r="F189" s="16" t="str">
        <x:v>לחם</x:v>
      </x:c>
      <x:c r="G189" s="20" t="str">
        <x:v>bread, food</x:v>
      </x:c>
      <x:c r="H189" s="20" t="str"/>
      <x:c r="I189" s="21" t="str">
        <x:v>BBH2 課序</x:v>
      </x:c>
      <x:c r="J189" s="21" t="n">
        <x:v>9</x:v>
      </x:c>
      <x:c r="K189" s="22" t="n">
        <x:v>299</x:v>
      </x:c>
      <x:c r="L189" s="21" t="str">
        <x:v>H3899</x:v>
      </x:c>
      <x:c r="M189" s="21" t="str">
        <x:v>noun</x:v>
      </x:c>
      <x:c r="N189" s="21" t="str">
        <x:v>否</x:v>
      </x:c>
      <x:c r="O189" s="21" t="str"/>
      <x:c r="P189" s="21" t="str">
        <x:v>source_and_lexicon_matched</x:v>
      </x:c>
      <x:c r="Q189" s="21" t="str">
        <x:v>rule_generated_exception_review</x:v>
      </x:c>
      <x:c r="R189" s="20" t="str">
        <x:v>https://hebrewsyntax.org/bbh2new/</x:v>
      </x:c>
    </x:row>
    <x:row r="190" ht="28" customHeight="1">
      <x:c r="A190" s="21" t="n">
        <x:v>186</x:v>
      </x:c>
      <x:c r="B190" s="21" t="n">
        <x:f>ROUNDUP(A190/20,0)</x:f>
        <x:v>10</x:v>
      </x:c>
      <x:c r="C190" s="21" t="n">
        <x:f>MOD(A190-1,20)+1</x:f>
        <x:v>6</x:v>
      </x:c>
      <x:c r="D190" s="18" t="str">
        <x:v>לְבַד</x:v>
      </x:c>
      <x:c r="E190" s="19" t="str">
        <x:v>ləḇaḏ</x:v>
      </x:c>
      <x:c r="F190" s="16" t="str">
        <x:v>לבד</x:v>
      </x:c>
      <x:c r="G190" s="20" t="str">
        <x:v>alone, by oneself</x:v>
      </x:c>
      <x:c r="H190" s="20" t="str"/>
      <x:c r="I190" s="21" t="str">
        <x:v>BBH2 課序</x:v>
      </x:c>
      <x:c r="J190" s="21" t="n">
        <x:v>9</x:v>
      </x:c>
      <x:c r="K190" s="22" t="n">
        <x:v>202</x:v>
      </x:c>
      <x:c r="L190" s="21" t="str">
        <x:v>H905</x:v>
      </x:c>
      <x:c r="M190" s="21" t="str">
        <x:v>noun</x:v>
      </x:c>
      <x:c r="N190" s="21" t="str">
        <x:v>否</x:v>
      </x:c>
      <x:c r="O190" s="21" t="str"/>
      <x:c r="P190" s="21" t="str">
        <x:v>source_and_lexicon_matched</x:v>
      </x:c>
      <x:c r="Q190" s="21" t="str">
        <x:v>rule_generated_exception_review</x:v>
      </x:c>
      <x:c r="R190" s="20" t="str">
        <x:v>https://hebrewsyntax.org/bbh2new/</x:v>
      </x:c>
    </x:row>
    <x:row r="191" ht="28" customHeight="1">
      <x:c r="A191" s="21" t="n">
        <x:v>187</x:v>
      </x:c>
      <x:c r="B191" s="21" t="n">
        <x:f>ROUNDUP(A191/20,0)</x:f>
        <x:v>10</x:v>
      </x:c>
      <x:c r="C191" s="21" t="n">
        <x:f>MOD(A191-1,20)+1</x:f>
        <x:v>7</x:v>
      </x:c>
      <x:c r="D191" s="18" t="str">
        <x:v>מִשְׁפָּחָה</x:v>
      </x:c>
      <x:c r="E191" s="19" t="str">
        <x:v>mišpāḥâ</x:v>
      </x:c>
      <x:c r="F191" s="16" t="str">
        <x:v>משפחה</x:v>
      </x:c>
      <x:c r="G191" s="20" t="str">
        <x:v>family, clan</x:v>
      </x:c>
      <x:c r="H191" s="20" t="str"/>
      <x:c r="I191" s="21" t="str">
        <x:v>BBH2 課序</x:v>
      </x:c>
      <x:c r="J191" s="21" t="n">
        <x:v>9</x:v>
      </x:c>
      <x:c r="K191" s="22" t="n">
        <x:v>304</x:v>
      </x:c>
      <x:c r="L191" s="21" t="str">
        <x:v>H4940</x:v>
      </x:c>
      <x:c r="M191" s="21" t="str">
        <x:v>noun</x:v>
      </x:c>
      <x:c r="N191" s="21" t="str">
        <x:v>否</x:v>
      </x:c>
      <x:c r="O191" s="21" t="str"/>
      <x:c r="P191" s="21" t="str">
        <x:v>source_and_lexicon_matched</x:v>
      </x:c>
      <x:c r="Q191" s="21" t="str">
        <x:v>rule_generated_exception_review</x:v>
      </x:c>
      <x:c r="R191" s="20" t="str">
        <x:v>https://hebrewsyntax.org/bbh2new/</x:v>
      </x:c>
    </x:row>
    <x:row r="192" ht="28" customHeight="1">
      <x:c r="A192" s="21" t="n">
        <x:v>188</x:v>
      </x:c>
      <x:c r="B192" s="21" t="n">
        <x:f>ROUNDUP(A192/20,0)</x:f>
        <x:v>10</x:v>
      </x:c>
      <x:c r="C192" s="21" t="n">
        <x:f>MOD(A192-1,20)+1</x:f>
        <x:v>8</x:v>
      </x:c>
      <x:c r="D192" s="18" t="str">
        <x:v>מִלְחָמָה</x:v>
      </x:c>
      <x:c r="E192" s="19" t="str">
        <x:v>milḥāmâ</x:v>
      </x:c>
      <x:c r="F192" s="16" t="str">
        <x:v>מלחמה</x:v>
      </x:c>
      <x:c r="G192" s="20" t="str">
        <x:v>war, battle, struggle</x:v>
      </x:c>
      <x:c r="H192" s="20" t="str"/>
      <x:c r="I192" s="21" t="str">
        <x:v>BBH2 課序</x:v>
      </x:c>
      <x:c r="J192" s="21" t="n">
        <x:v>9</x:v>
      </x:c>
      <x:c r="K192" s="22" t="n">
        <x:v>319</x:v>
      </x:c>
      <x:c r="L192" s="21" t="str">
        <x:v>H4421</x:v>
      </x:c>
      <x:c r="M192" s="21" t="str">
        <x:v>noun</x:v>
      </x:c>
      <x:c r="N192" s="21" t="str">
        <x:v>否</x:v>
      </x:c>
      <x:c r="O192" s="21" t="str"/>
      <x:c r="P192" s="21" t="str">
        <x:v>source_and_lexicon_matched</x:v>
      </x:c>
      <x:c r="Q192" s="21" t="str">
        <x:v>rule_generated_exception_review</x:v>
      </x:c>
      <x:c r="R192" s="20" t="str">
        <x:v>https://hebrewsyntax.org/bbh2new/</x:v>
      </x:c>
    </x:row>
    <x:row r="193" ht="28" customHeight="1">
      <x:c r="A193" s="21" t="n">
        <x:v>189</x:v>
      </x:c>
      <x:c r="B193" s="21" t="n">
        <x:f>ROUNDUP(A193/20,0)</x:f>
        <x:v>10</x:v>
      </x:c>
      <x:c r="C193" s="21" t="n">
        <x:f>MOD(A193-1,20)+1</x:f>
        <x:v>9</x:v>
      </x:c>
      <x:c r="D193" s="18" t="str">
        <x:v>סָבִיב</x:v>
      </x:c>
      <x:c r="E193" s="19" t="str">
        <x:v>sāḇîḇ</x:v>
      </x:c>
      <x:c r="F193" s="16" t="str">
        <x:v>סביב</x:v>
      </x:c>
      <x:c r="G193" s="20" t="str">
        <x:v>around, about, surroundings, circuit</x:v>
      </x:c>
      <x:c r="H193" s="20" t="str"/>
      <x:c r="I193" s="21" t="str">
        <x:v>BBH2 課序</x:v>
      </x:c>
      <x:c r="J193" s="21" t="n">
        <x:v>9</x:v>
      </x:c>
      <x:c r="K193" s="22" t="n">
        <x:v>337</x:v>
      </x:c>
      <x:c r="L193" s="21" t="str">
        <x:v>H5439</x:v>
      </x:c>
      <x:c r="M193" s="21" t="str">
        <x:v>noun</x:v>
      </x:c>
      <x:c r="N193" s="21" t="str">
        <x:v>否</x:v>
      </x:c>
      <x:c r="O193" s="21" t="str"/>
      <x:c r="P193" s="21" t="str">
        <x:v>source_and_lexicon_matched</x:v>
      </x:c>
      <x:c r="Q193" s="21" t="str">
        <x:v>rule_generated_exception_review</x:v>
      </x:c>
      <x:c r="R193" s="20" t="str">
        <x:v>https://hebrewsyntax.org/bbh2new/</x:v>
      </x:c>
    </x:row>
    <x:row r="194" ht="28" customHeight="1">
      <x:c r="A194" s="21" t="n">
        <x:v>190</x:v>
      </x:c>
      <x:c r="B194" s="21" t="n">
        <x:f>ROUNDUP(A194/20,0)</x:f>
        <x:v>10</x:v>
      </x:c>
      <x:c r="C194" s="21" t="n">
        <x:f>MOD(A194-1,20)+1</x:f>
        <x:v>10</x:v>
      </x:c>
      <x:c r="D194" s="18" t="str">
        <x:v>עַם</x:v>
      </x:c>
      <x:c r="E194" s="19" t="str">
        <x:v>ʿam</x:v>
      </x:c>
      <x:c r="F194" s="16" t="str">
        <x:v>עם</x:v>
      </x:c>
      <x:c r="G194" s="20" t="str">
        <x:v>people</x:v>
      </x:c>
      <x:c r="H194" s="20" t="str"/>
      <x:c r="I194" s="21" t="str">
        <x:v>BBH2 課序</x:v>
      </x:c>
      <x:c r="J194" s="21" t="n">
        <x:v>9</x:v>
      </x:c>
      <x:c r="K194" s="22" t="n">
        <x:v>1870</x:v>
      </x:c>
      <x:c r="L194" s="21" t="str">
        <x:v>H5971</x:v>
      </x:c>
      <x:c r="M194" s="21" t="str">
        <x:v>noun</x:v>
      </x:c>
      <x:c r="N194" s="21" t="str">
        <x:v>否</x:v>
      </x:c>
      <x:c r="O194" s="21" t="str"/>
      <x:c r="P194" s="21" t="str">
        <x:v>source_and_lexicon_matched</x:v>
      </x:c>
      <x:c r="Q194" s="21" t="str">
        <x:v>rule_generated_exception_review</x:v>
      </x:c>
      <x:c r="R194" s="20" t="str">
        <x:v>https://hebrewsyntax.org/bbh2new/</x:v>
      </x:c>
    </x:row>
    <x:row r="195" ht="28" customHeight="1">
      <x:c r="A195" s="21" t="n">
        <x:v>191</x:v>
      </x:c>
      <x:c r="B195" s="21" t="n">
        <x:f>ROUNDUP(A195/20,0)</x:f>
        <x:v>10</x:v>
      </x:c>
      <x:c r="C195" s="21" t="n">
        <x:f>MOD(A195-1,20)+1</x:f>
        <x:v>11</x:v>
      </x:c>
      <x:c r="D195" s="18" t="str">
        <x:v>עֵץ</x:v>
      </x:c>
      <x:c r="E195" s="19" t="str">
        <x:v>ʿēṣ</x:v>
      </x:c>
      <x:c r="F195" s="16" t="str">
        <x:v>עץ</x:v>
      </x:c>
      <x:c r="G195" s="20" t="str">
        <x:v>tree, wood</x:v>
      </x:c>
      <x:c r="H195" s="20" t="str"/>
      <x:c r="I195" s="21" t="str">
        <x:v>BBH2 課序</x:v>
      </x:c>
      <x:c r="J195" s="21" t="n">
        <x:v>9</x:v>
      </x:c>
      <x:c r="K195" s="22" t="n">
        <x:v>330</x:v>
      </x:c>
      <x:c r="L195" s="21" t="str">
        <x:v>H6086</x:v>
      </x:c>
      <x:c r="M195" s="21" t="str">
        <x:v>noun</x:v>
      </x:c>
      <x:c r="N195" s="21" t="str">
        <x:v>否</x:v>
      </x:c>
      <x:c r="O195" s="21" t="str"/>
      <x:c r="P195" s="21" t="str">
        <x:v>source_and_lexicon_matched</x:v>
      </x:c>
      <x:c r="Q195" s="21" t="str">
        <x:v>rule_generated_exception_review</x:v>
      </x:c>
      <x:c r="R195" s="20" t="str">
        <x:v>https://hebrewsyntax.org/bbh2new/</x:v>
      </x:c>
    </x:row>
    <x:row r="196" ht="28" customHeight="1">
      <x:c r="A196" s="21" t="n">
        <x:v>192</x:v>
      </x:c>
      <x:c r="B196" s="21" t="n">
        <x:f>ROUNDUP(A196/20,0)</x:f>
        <x:v>10</x:v>
      </x:c>
      <x:c r="C196" s="21" t="n">
        <x:f>MOD(A196-1,20)+1</x:f>
        <x:v>12</x:v>
      </x:c>
      <x:c r="D196" s="18" t="str">
        <x:v>אֶ֫בֶן</x:v>
      </x:c>
      <x:c r="E196" s="19" t="str">
        <x:v>ʾeḇen</x:v>
      </x:c>
      <x:c r="F196" s="16" t="str">
        <x:v>אבן</x:v>
      </x:c>
      <x:c r="G196" s="20" t="str">
        <x:v>stone [F]</x:v>
      </x:c>
      <x:c r="H196" s="20" t="str"/>
      <x:c r="I196" s="21" t="str">
        <x:v>BBH2 課序</x:v>
      </x:c>
      <x:c r="J196" s="21" t="n">
        <x:v>10</x:v>
      </x:c>
      <x:c r="K196" s="22" t="n">
        <x:v>273</x:v>
      </x:c>
      <x:c r="L196" s="21" t="str">
        <x:v>H68</x:v>
      </x:c>
      <x:c r="M196" s="21" t="str">
        <x:v>noun</x:v>
      </x:c>
      <x:c r="N196" s="21" t="str">
        <x:v>否</x:v>
      </x:c>
      <x:c r="O196" s="21" t="str"/>
      <x:c r="P196" s="21" t="str">
        <x:v>source_and_lexicon_matched</x:v>
      </x:c>
      <x:c r="Q196" s="21" t="str">
        <x:v>rule_generated_exception_review</x:v>
      </x:c>
      <x:c r="R196" s="20" t="str">
        <x:v>https://hebrewsyntax.org/bbh2new/</x:v>
      </x:c>
    </x:row>
    <x:row r="197" ht="28" customHeight="1">
      <x:c r="A197" s="21" t="n">
        <x:v>193</x:v>
      </x:c>
      <x:c r="B197" s="21" t="n">
        <x:f>ROUNDUP(A197/20,0)</x:f>
        <x:v>10</x:v>
      </x:c>
      <x:c r="C197" s="21" t="n">
        <x:f>MOD(A197-1,20)+1</x:f>
        <x:v>13</x:v>
      </x:c>
      <x:c r="D197" s="18" t="str">
        <x:v>אֲדָמָה</x:v>
      </x:c>
      <x:c r="E197" s="19" t="str">
        <x:v>ʾăḏāmâ</x:v>
      </x:c>
      <x:c r="F197" s="16" t="str">
        <x:v>אדמה</x:v>
      </x:c>
      <x:c r="G197" s="20" t="str">
        <x:v>ground, land, earth</x:v>
      </x:c>
      <x:c r="H197" s="20" t="str"/>
      <x:c r="I197" s="21" t="str">
        <x:v>BBH2 課序</x:v>
      </x:c>
      <x:c r="J197" s="21" t="n">
        <x:v>10</x:v>
      </x:c>
      <x:c r="K197" s="22" t="n">
        <x:v>225</x:v>
      </x:c>
      <x:c r="L197" s="21" t="str">
        <x:v>H127</x:v>
      </x:c>
      <x:c r="M197" s="21" t="str">
        <x:v>noun</x:v>
      </x:c>
      <x:c r="N197" s="21" t="str">
        <x:v>否</x:v>
      </x:c>
      <x:c r="O197" s="21" t="str"/>
      <x:c r="P197" s="21" t="str">
        <x:v>source_and_lexicon_matched</x:v>
      </x:c>
      <x:c r="Q197" s="21" t="str">
        <x:v>rule_generated_exception_review</x:v>
      </x:c>
      <x:c r="R197" s="20" t="str">
        <x:v>https://hebrewsyntax.org/bbh2new/</x:v>
      </x:c>
    </x:row>
    <x:row r="198" ht="28" customHeight="1">
      <x:c r="A198" s="21" t="n">
        <x:v>194</x:v>
      </x:c>
      <x:c r="B198" s="21" t="n">
        <x:f>ROUNDUP(A198/20,0)</x:f>
        <x:v>10</x:v>
      </x:c>
      <x:c r="C198" s="21" t="n">
        <x:f>MOD(A198-1,20)+1</x:f>
        <x:v>14</x:v>
      </x:c>
      <x:c r="D198" s="18" t="str">
        <x:v>אֹיֵב</x:v>
      </x:c>
      <x:c r="E198" s="19" t="str">
        <x:v>ʾōyēḇ</x:v>
      </x:c>
      <x:c r="F198" s="16" t="str">
        <x:v>איב</x:v>
      </x:c>
      <x:c r="G198" s="20" t="str">
        <x:v>enemy</x:v>
      </x:c>
      <x:c r="H198" s="20" t="str"/>
      <x:c r="I198" s="21" t="str">
        <x:v>BBH2 課序</x:v>
      </x:c>
      <x:c r="J198" s="21" t="n">
        <x:v>10</x:v>
      </x:c>
      <x:c r="K198" s="22" t="n">
        <x:v>284</x:v>
      </x:c>
      <x:c r="L198" s="21" t="str">
        <x:v>H341</x:v>
      </x:c>
      <x:c r="M198" s="21" t="str">
        <x:v>verb</x:v>
      </x:c>
      <x:c r="N198" s="21" t="str">
        <x:v>否</x:v>
      </x:c>
      <x:c r="O198" s="21" t="str"/>
      <x:c r="P198" s="21" t="str">
        <x:v>source_and_lexicon_matched</x:v>
      </x:c>
      <x:c r="Q198" s="21" t="str">
        <x:v>rule_generated_exception_review</x:v>
      </x:c>
      <x:c r="R198" s="20" t="str">
        <x:v>https://hebrewsyntax.org/bbh2new/</x:v>
      </x:c>
    </x:row>
    <x:row r="199" ht="28" customHeight="1">
      <x:c r="A199" s="21" t="n">
        <x:v>195</x:v>
      </x:c>
      <x:c r="B199" s="21" t="n">
        <x:f>ROUNDUP(A199/20,0)</x:f>
        <x:v>10</x:v>
      </x:c>
      <x:c r="C199" s="21" t="n">
        <x:f>MOD(A199-1,20)+1</x:f>
        <x:v>15</x:v>
      </x:c>
      <x:c r="D199" s="18" t="str">
        <x:v>בָּשָׂר</x:v>
      </x:c>
      <x:c r="E199" s="19" t="str">
        <x:v>bāśār</x:v>
      </x:c>
      <x:c r="F199" s="16" t="str">
        <x:v>בשר</x:v>
      </x:c>
      <x:c r="G199" s="20" t="str">
        <x:v>flesh, meat, skin</x:v>
      </x:c>
      <x:c r="H199" s="20" t="str"/>
      <x:c r="I199" s="21" t="str">
        <x:v>BBH2 課序</x:v>
      </x:c>
      <x:c r="J199" s="21" t="n">
        <x:v>10</x:v>
      </x:c>
      <x:c r="K199" s="22" t="n">
        <x:v>270</x:v>
      </x:c>
      <x:c r="L199" s="21" t="str">
        <x:v>H1320</x:v>
      </x:c>
      <x:c r="M199" s="21" t="str">
        <x:v>noun</x:v>
      </x:c>
      <x:c r="N199" s="21" t="str">
        <x:v>否</x:v>
      </x:c>
      <x:c r="O199" s="21" t="str"/>
      <x:c r="P199" s="21" t="str">
        <x:v>source_and_lexicon_matched</x:v>
      </x:c>
      <x:c r="Q199" s="21" t="str">
        <x:v>rule_generated_exception_review</x:v>
      </x:c>
      <x:c r="R199" s="20" t="str">
        <x:v>https://hebrewsyntax.org/bbh2new/</x:v>
      </x:c>
    </x:row>
    <x:row r="200" ht="28" customHeight="1">
      <x:c r="A200" s="21" t="n">
        <x:v>196</x:v>
      </x:c>
      <x:c r="B200" s="21" t="n">
        <x:f>ROUNDUP(A200/20,0)</x:f>
        <x:v>10</x:v>
      </x:c>
      <x:c r="C200" s="21" t="n">
        <x:f>MOD(A200-1,20)+1</x:f>
        <x:v>16</x:v>
      </x:c>
      <x:c r="D200" s="18" t="str">
        <x:v>בְּרִית</x:v>
      </x:c>
      <x:c r="E200" s="19" t="str">
        <x:v>bərîṯ</x:v>
      </x:c>
      <x:c r="F200" s="16" t="str">
        <x:v>ברית</x:v>
      </x:c>
      <x:c r="G200" s="20" t="str">
        <x:v>covenant [F]</x:v>
      </x:c>
      <x:c r="H200" s="20" t="str"/>
      <x:c r="I200" s="21" t="str">
        <x:v>BBH2 課序</x:v>
      </x:c>
      <x:c r="J200" s="21" t="n">
        <x:v>10</x:v>
      </x:c>
      <x:c r="K200" s="22" t="n">
        <x:v>284</x:v>
      </x:c>
      <x:c r="L200" s="21" t="str">
        <x:v>H1285</x:v>
      </x:c>
      <x:c r="M200" s="21" t="str">
        <x:v>noun</x:v>
      </x:c>
      <x:c r="N200" s="21" t="str">
        <x:v>否</x:v>
      </x:c>
      <x:c r="O200" s="21" t="str"/>
      <x:c r="P200" s="21" t="str">
        <x:v>source_and_lexicon_matched</x:v>
      </x:c>
      <x:c r="Q200" s="21" t="str">
        <x:v>rule_generated_exception_review</x:v>
      </x:c>
      <x:c r="R200" s="20" t="str">
        <x:v>https://hebrewsyntax.org/bbh2new/</x:v>
      </x:c>
    </x:row>
    <x:row r="201" ht="28" customHeight="1">
      <x:c r="A201" s="21" t="n">
        <x:v>197</x:v>
      </x:c>
      <x:c r="B201" s="21" t="n">
        <x:f>ROUNDUP(A201/20,0)</x:f>
        <x:v>10</x:v>
      </x:c>
      <x:c r="C201" s="21" t="n">
        <x:f>MOD(A201-1,20)+1</x:f>
        <x:v>17</x:v>
      </x:c>
      <x:c r="D201" s="18" t="str">
        <x:v>גְּבוּל</x:v>
      </x:c>
      <x:c r="E201" s="19" t="str">
        <x:v>gəḇûl</x:v>
      </x:c>
      <x:c r="F201" s="16" t="str">
        <x:v>גבול</x:v>
      </x:c>
      <x:c r="G201" s="20" t="str">
        <x:v>border, boundary, territory</x:v>
      </x:c>
      <x:c r="H201" s="20" t="str"/>
      <x:c r="I201" s="21" t="str">
        <x:v>BBH2 課序</x:v>
      </x:c>
      <x:c r="J201" s="21" t="n">
        <x:v>10</x:v>
      </x:c>
      <x:c r="K201" s="22" t="n">
        <x:v>241</x:v>
      </x:c>
      <x:c r="L201" s="21" t="str">
        <x:v>H1366</x:v>
      </x:c>
      <x:c r="M201" s="21" t="str">
        <x:v>noun</x:v>
      </x:c>
      <x:c r="N201" s="21" t="str">
        <x:v>否</x:v>
      </x:c>
      <x:c r="O201" s="21" t="str"/>
      <x:c r="P201" s="21" t="str">
        <x:v>source_and_lexicon_matched</x:v>
      </x:c>
      <x:c r="Q201" s="21" t="str">
        <x:v>rule_generated_exception_review</x:v>
      </x:c>
      <x:c r="R201" s="20" t="str">
        <x:v>https://hebrewsyntax.org/bbh2new/</x:v>
      </x:c>
    </x:row>
    <x:row r="202" ht="28" customHeight="1">
      <x:c r="A202" s="21" t="n">
        <x:v>198</x:v>
      </x:c>
      <x:c r="B202" s="21" t="n">
        <x:f>ROUNDUP(A202/20,0)</x:f>
        <x:v>10</x:v>
      </x:c>
      <x:c r="C202" s="21" t="n">
        <x:f>MOD(A202-1,20)+1</x:f>
        <x:v>18</x:v>
      </x:c>
      <x:c r="D202" s="18" t="str">
        <x:v>חַ֫יִל</x:v>
      </x:c>
      <x:c r="E202" s="19" t="str">
        <x:v>ḥayil</x:v>
      </x:c>
      <x:c r="F202" s="16" t="str">
        <x:v>חיל</x:v>
      </x:c>
      <x:c r="G202" s="20" t="str">
        <x:v>strength, wealth, army</x:v>
      </x:c>
      <x:c r="H202" s="20" t="str"/>
      <x:c r="I202" s="21" t="str">
        <x:v>BBH2 課序</x:v>
      </x:c>
      <x:c r="J202" s="21" t="n">
        <x:v>10</x:v>
      </x:c>
      <x:c r="K202" s="22" t="n">
        <x:v>234</x:v>
      </x:c>
      <x:c r="L202" s="21" t="str">
        <x:v>H2428</x:v>
      </x:c>
      <x:c r="M202" s="21" t="str">
        <x:v>noun</x:v>
      </x:c>
      <x:c r="N202" s="21" t="str">
        <x:v>否</x:v>
      </x:c>
      <x:c r="O202" s="21" t="str"/>
      <x:c r="P202" s="21" t="str">
        <x:v>source_and_lexicon_matched</x:v>
      </x:c>
      <x:c r="Q202" s="21" t="str">
        <x:v>rule_generated_exception_review</x:v>
      </x:c>
      <x:c r="R202" s="20" t="str">
        <x:v>https://hebrewsyntax.org/bbh2new/</x:v>
      </x:c>
    </x:row>
    <x:row r="203" ht="28" customHeight="1">
      <x:c r="A203" s="21" t="n">
        <x:v>199</x:v>
      </x:c>
      <x:c r="B203" s="21" t="n">
        <x:f>ROUNDUP(A203/20,0)</x:f>
        <x:v>10</x:v>
      </x:c>
      <x:c r="C203" s="21" t="n">
        <x:f>MOD(A203-1,20)+1</x:f>
        <x:v>19</x:v>
      </x:c>
      <x:c r="D203" s="18" t="str">
        <x:v>חֶ֫סֶד</x:v>
      </x:c>
      <x:c r="E203" s="19" t="str">
        <x:v>ḥeseḏ</x:v>
      </x:c>
      <x:c r="F203" s="16" t="str">
        <x:v>חסד</x:v>
      </x:c>
      <x:c r="G203" s="20" t="str">
        <x:v>loyalty, faithfulness, steadfast love, lovingkindness</x:v>
      </x:c>
      <x:c r="H203" s="20" t="str"/>
      <x:c r="I203" s="21" t="str">
        <x:v>BBH2 課序</x:v>
      </x:c>
      <x:c r="J203" s="21" t="n">
        <x:v>10</x:v>
      </x:c>
      <x:c r="K203" s="22" t="n">
        <x:v>251</x:v>
      </x:c>
      <x:c r="L203" s="21" t="str">
        <x:v>H2617</x:v>
      </x:c>
      <x:c r="M203" s="21" t="str">
        <x:v>noun</x:v>
      </x:c>
      <x:c r="N203" s="21" t="str">
        <x:v>否</x:v>
      </x:c>
      <x:c r="O203" s="21" t="str"/>
      <x:c r="P203" s="21" t="str">
        <x:v>source_and_lexicon_matched</x:v>
      </x:c>
      <x:c r="Q203" s="21" t="str">
        <x:v>rule_generated_exception_review</x:v>
      </x:c>
      <x:c r="R203" s="20" t="str">
        <x:v>https://hebrewsyntax.org/bbh2new/</x:v>
      </x:c>
    </x:row>
    <x:row r="204" ht="28" customHeight="1">
      <x:c r="A204" s="21" t="n">
        <x:v>200</x:v>
      </x:c>
      <x:c r="B204" s="21" t="n">
        <x:f>ROUNDUP(A204/20,0)</x:f>
        <x:v>10</x:v>
      </x:c>
      <x:c r="C204" s="21" t="n">
        <x:f>MOD(A204-1,20)+1</x:f>
        <x:v>20</x:v>
      </x:c>
      <x:c r="D204" s="18" t="str">
        <x:v>חֹ֫דֶשׁ</x:v>
      </x:c>
      <x:c r="E204" s="19" t="str">
        <x:v>ḥōḏeš</x:v>
      </x:c>
      <x:c r="F204" s="16" t="str">
        <x:v>חדש</x:v>
      </x:c>
      <x:c r="G204" s="20" t="str">
        <x:v>month, new moon</x:v>
      </x:c>
      <x:c r="H204" s="20" t="str"/>
      <x:c r="I204" s="21" t="str">
        <x:v>BBH2 課序</x:v>
      </x:c>
      <x:c r="J204" s="21" t="n">
        <x:v>10</x:v>
      </x:c>
      <x:c r="K204" s="22" t="n">
        <x:v>283</x:v>
      </x:c>
      <x:c r="L204" s="21" t="str">
        <x:v>H2320</x:v>
      </x:c>
      <x:c r="M204" s="21" t="str">
        <x:v>noun</x:v>
      </x:c>
      <x:c r="N204" s="21" t="str">
        <x:v>否</x:v>
      </x:c>
      <x:c r="O204" s="21" t="str"/>
      <x:c r="P204" s="21" t="str">
        <x:v>source_and_lexicon_matched</x:v>
      </x:c>
      <x:c r="Q204" s="21" t="str">
        <x:v>rule_generated_exception_review</x:v>
      </x:c>
      <x:c r="R204" s="20" t="str">
        <x:v>https://hebrewsyntax.org/bbh2new/</x:v>
      </x:c>
    </x:row>
    <x:row r="205" ht="28" customHeight="1">
      <x:c r="A205" s="21" t="n">
        <x:v>201</x:v>
      </x:c>
      <x:c r="B205" s="21" t="n">
        <x:f>ROUNDUP(A205/20,0)</x:f>
        <x:v>11</x:v>
      </x:c>
      <x:c r="C205" s="21" t="n">
        <x:f>MOD(A205-1,20)+1</x:f>
        <x:v>1</x:v>
      </x:c>
      <x:c r="D205" s="18" t="str">
        <x:v>יָד</x:v>
      </x:c>
      <x:c r="E205" s="19" t="str">
        <x:v>yāḏ</x:v>
      </x:c>
      <x:c r="F205" s="16" t="str">
        <x:v>יד</x:v>
      </x:c>
      <x:c r="G205" s="20" t="str">
        <x:v>hand; side, power [F]</x:v>
      </x:c>
      <x:c r="H205" s="20" t="str"/>
      <x:c r="I205" s="21" t="str">
        <x:v>BBH2 課序</x:v>
      </x:c>
      <x:c r="J205" s="21" t="n">
        <x:v>10</x:v>
      </x:c>
      <x:c r="K205" s="22" t="n">
        <x:v>1627</x:v>
      </x:c>
      <x:c r="L205" s="21" t="str">
        <x:v>H3027</x:v>
      </x:c>
      <x:c r="M205" s="21" t="str">
        <x:v>noun</x:v>
      </x:c>
      <x:c r="N205" s="21" t="str">
        <x:v>否</x:v>
      </x:c>
      <x:c r="O205" s="21" t="str"/>
      <x:c r="P205" s="21" t="str">
        <x:v>source_and_lexicon_matched</x:v>
      </x:c>
      <x:c r="Q205" s="21" t="str">
        <x:v>rule_generated_exception_review</x:v>
      </x:c>
      <x:c r="R205" s="20" t="str">
        <x:v>https://hebrewsyntax.org/bbh2new/</x:v>
      </x:c>
    </x:row>
    <x:row r="206" ht="28" customHeight="1">
      <x:c r="A206" s="21" t="n">
        <x:v>202</x:v>
      </x:c>
      <x:c r="B206" s="21" t="n">
        <x:f>ROUNDUP(A206/20,0)</x:f>
        <x:v>11</x:v>
      </x:c>
      <x:c r="C206" s="21" t="n">
        <x:f>MOD(A206-1,20)+1</x:f>
        <x:v>2</x:v>
      </x:c>
      <x:c r="D206" s="18" t="str">
        <x:v>יָדוֹת</x:v>
      </x:c>
      <x:c r="E206" s="19" t="str">
        <x:v>yāḏôṯ</x:v>
      </x:c>
      <x:c r="F206" s="16" t="str">
        <x:v>ידות</x:v>
      </x:c>
      <x:c r="G206" s="20" t="str">
        <x:v>hands</x:v>
      </x:c>
      <x:c r="H206" s="20" t="str"/>
      <x:c r="I206" s="21" t="str">
        <x:v>BBH2 課序</x:v>
      </x:c>
      <x:c r="J206" s="21" t="n">
        <x:v>10</x:v>
      </x:c>
      <x:c r="K206" s="22" t="n">
        <x:v>1627</x:v>
      </x:c>
      <x:c r="L206" s="21" t="str">
        <x:v>H3027</x:v>
      </x:c>
      <x:c r="M206" s="21" t="str">
        <x:v>noun</x:v>
      </x:c>
      <x:c r="N206" s="21" t="str">
        <x:v>否</x:v>
      </x:c>
      <x:c r="O206" s="21" t="str"/>
      <x:c r="P206" s="21" t="str">
        <x:v>source_and_lexicon_matched</x:v>
      </x:c>
      <x:c r="Q206" s="21" t="str">
        <x:v>rule_generated_exception_review</x:v>
      </x:c>
      <x:c r="R206" s="20" t="str">
        <x:v>https://hebrewsyntax.org/bbh2new/</x:v>
      </x:c>
    </x:row>
    <x:row r="207" ht="28" customHeight="1">
      <x:c r="A207" s="21" t="n">
        <x:v>203</x:v>
      </x:c>
      <x:c r="B207" s="21" t="n">
        <x:f>ROUNDUP(A207/20,0)</x:f>
        <x:v>11</x:v>
      </x:c>
      <x:c r="C207" s="21" t="n">
        <x:f>MOD(A207-1,20)+1</x:f>
        <x:v>3</x:v>
      </x:c>
      <x:c r="D207" s="18" t="str">
        <x:v>מָ֫וֶת</x:v>
      </x:c>
      <x:c r="E207" s="19" t="str">
        <x:v>māweṯ</x:v>
      </x:c>
      <x:c r="F207" s="16" t="str">
        <x:v>מות</x:v>
      </x:c>
      <x:c r="G207" s="20" t="str">
        <x:v>death, dying [M]</x:v>
      </x:c>
      <x:c r="H207" s="20" t="str"/>
      <x:c r="I207" s="21" t="str">
        <x:v>BBH2 課序</x:v>
      </x:c>
      <x:c r="J207" s="21" t="n">
        <x:v>10</x:v>
      </x:c>
      <x:c r="K207" s="22" t="n">
        <x:v>158</x:v>
      </x:c>
      <x:c r="L207" s="21" t="str">
        <x:v>H4194</x:v>
      </x:c>
      <x:c r="M207" s="21" t="str">
        <x:v>noun</x:v>
      </x:c>
      <x:c r="N207" s="21" t="str">
        <x:v>否</x:v>
      </x:c>
      <x:c r="O207" s="21" t="str"/>
      <x:c r="P207" s="21" t="str">
        <x:v>source_and_lexicon_matched</x:v>
      </x:c>
      <x:c r="Q207" s="21" t="str">
        <x:v>rule_generated_exception_review</x:v>
      </x:c>
      <x:c r="R207" s="20" t="str">
        <x:v>https://hebrewsyntax.org/bbh2new/</x:v>
      </x:c>
    </x:row>
    <x:row r="208" ht="28" customHeight="1">
      <x:c r="A208" s="21" t="n">
        <x:v>204</x:v>
      </x:c>
      <x:c r="B208" s="21" t="n">
        <x:f>ROUNDUP(A208/20,0)</x:f>
        <x:v>11</x:v>
      </x:c>
      <x:c r="C208" s="21" t="n">
        <x:f>MOD(A208-1,20)+1</x:f>
        <x:v>4</x:v>
      </x:c>
      <x:c r="D208" s="18" t="str">
        <x:v>מוֹת</x:v>
      </x:c>
      <x:c r="E208" s="19" t="str">
        <x:v>môṯ</x:v>
      </x:c>
      <x:c r="F208" s="16" t="str">
        <x:v>מות</x:v>
      </x:c>
      <x:c r="G208" s="20" t="str">
        <x:v>death of</x:v>
      </x:c>
      <x:c r="H208" s="20" t="str"/>
      <x:c r="I208" s="21" t="str">
        <x:v>BBH2 課序</x:v>
      </x:c>
      <x:c r="J208" s="21" t="n">
        <x:v>10</x:v>
      </x:c>
      <x:c r="K208" s="22" t="n">
        <x:v>158</x:v>
      </x:c>
      <x:c r="L208" s="21" t="str">
        <x:v>H4193</x:v>
      </x:c>
      <x:c r="M208" s="21" t="str">
        <x:v>noun</x:v>
      </x:c>
      <x:c r="N208" s="21" t="str">
        <x:v>否</x:v>
      </x:c>
      <x:c r="O208" s="21" t="str"/>
      <x:c r="P208" s="21" t="str">
        <x:v>source_and_lexicon_matched</x:v>
      </x:c>
      <x:c r="Q208" s="21" t="str">
        <x:v>rule_generated_exception_review</x:v>
      </x:c>
      <x:c r="R208" s="20" t="str">
        <x:v>https://hebrewsyntax.org/bbh2new/</x:v>
      </x:c>
    </x:row>
    <x:row r="209" ht="28" customHeight="1">
      <x:c r="A209" s="21" t="n">
        <x:v>205</x:v>
      </x:c>
      <x:c r="B209" s="21" t="n">
        <x:f>ROUNDUP(A209/20,0)</x:f>
        <x:v>11</x:v>
      </x:c>
      <x:c r="C209" s="21" t="n">
        <x:f>MOD(A209-1,20)+1</x:f>
        <x:v>5</x:v>
      </x:c>
      <x:c r="D209" s="18" t="str">
        <x:v>מַטֶּה</x:v>
      </x:c>
      <x:c r="E209" s="19" t="str">
        <x:v>maṭṭê</x:v>
      </x:c>
      <x:c r="F209" s="16" t="str">
        <x:v>מטה</x:v>
      </x:c>
      <x:c r="G209" s="20" t="str">
        <x:v>staff, rod, tribe</x:v>
      </x:c>
      <x:c r="H209" s="20" t="str"/>
      <x:c r="I209" s="21" t="str">
        <x:v>BBH2 課序</x:v>
      </x:c>
      <x:c r="J209" s="21" t="n">
        <x:v>10</x:v>
      </x:c>
      <x:c r="K209" s="22" t="n">
        <x:v>252</x:v>
      </x:c>
      <x:c r="L209" s="21" t="str">
        <x:v>H4294</x:v>
      </x:c>
      <x:c r="M209" s="21" t="str">
        <x:v>noun</x:v>
      </x:c>
      <x:c r="N209" s="21" t="str">
        <x:v>否</x:v>
      </x:c>
      <x:c r="O209" s="21" t="str"/>
      <x:c r="P209" s="21" t="str">
        <x:v>source_and_lexicon_matched</x:v>
      </x:c>
      <x:c r="Q209" s="21" t="str">
        <x:v>rule_generated_exception_review</x:v>
      </x:c>
      <x:c r="R209" s="20" t="str">
        <x:v>https://hebrewsyntax.org/bbh2new/</x:v>
      </x:c>
    </x:row>
    <x:row r="210" ht="28" customHeight="1">
      <x:c r="A210" s="21" t="n">
        <x:v>206</x:v>
      </x:c>
      <x:c r="B210" s="21" t="n">
        <x:f>ROUNDUP(A210/20,0)</x:f>
        <x:v>11</x:v>
      </x:c>
      <x:c r="C210" s="21" t="n">
        <x:f>MOD(A210-1,20)+1</x:f>
        <x:v>6</x:v>
      </x:c>
      <x:c r="D210" s="18" t="str">
        <x:v>מִדְבָּר</x:v>
      </x:c>
      <x:c r="E210" s="19" t="str">
        <x:v>miḏbār</x:v>
      </x:c>
      <x:c r="F210" s="16" t="str">
        <x:v>מדבר</x:v>
      </x:c>
      <x:c r="G210" s="20" t="str">
        <x:v>wilderness, desert, pasture</x:v>
      </x:c>
      <x:c r="H210" s="20" t="str"/>
      <x:c r="I210" s="21" t="str">
        <x:v>BBH2 課序</x:v>
      </x:c>
      <x:c r="J210" s="21" t="n">
        <x:v>10</x:v>
      </x:c>
      <x:c r="K210" s="22" t="n">
        <x:v>271</x:v>
      </x:c>
      <x:c r="L210" s="21" t="str">
        <x:v>H4057</x:v>
      </x:c>
      <x:c r="M210" s="21" t="str">
        <x:v>noun</x:v>
      </x:c>
      <x:c r="N210" s="21" t="str">
        <x:v>否</x:v>
      </x:c>
      <x:c r="O210" s="21" t="str"/>
      <x:c r="P210" s="21" t="str">
        <x:v>source_and_lexicon_matched</x:v>
      </x:c>
      <x:c r="Q210" s="21" t="str">
        <x:v>rule_generated_exception_review</x:v>
      </x:c>
      <x:c r="R210" s="20" t="str">
        <x:v>https://hebrewsyntax.org/bbh2new/</x:v>
      </x:c>
    </x:row>
    <x:row r="211" ht="28" customHeight="1">
      <x:c r="A211" s="21" t="n">
        <x:v>207</x:v>
      </x:c>
      <x:c r="B211" s="21" t="n">
        <x:f>ROUNDUP(A211/20,0)</x:f>
        <x:v>11</x:v>
      </x:c>
      <x:c r="C211" s="21" t="n">
        <x:f>MOD(A211-1,20)+1</x:f>
        <x:v>7</x:v>
      </x:c>
      <x:c r="D211" s="18" t="str">
        <x:v>עוֹד</x:v>
      </x:c>
      <x:c r="E211" s="19" t="str">
        <x:v>ʿôḏ</x:v>
      </x:c>
      <x:c r="F211" s="16" t="str">
        <x:v>עוד</x:v>
      </x:c>
      <x:c r="G211" s="20" t="str">
        <x:v>again, still, as long as</x:v>
      </x:c>
      <x:c r="H211" s="20" t="str"/>
      <x:c r="I211" s="21" t="str">
        <x:v>BBH2 課序</x:v>
      </x:c>
      <x:c r="J211" s="21" t="n">
        <x:v>10</x:v>
      </x:c>
      <x:c r="K211" s="22" t="n">
        <x:v>489</x:v>
      </x:c>
      <x:c r="L211" s="21" t="str">
        <x:v>H5750</x:v>
      </x:c>
      <x:c r="M211" s="21" t="str">
        <x:v>adverb</x:v>
      </x:c>
      <x:c r="N211" s="21" t="str">
        <x:v>否</x:v>
      </x:c>
      <x:c r="O211" s="21" t="str"/>
      <x:c r="P211" s="21" t="str">
        <x:v>source_and_lexicon_matched</x:v>
      </x:c>
      <x:c r="Q211" s="21" t="str">
        <x:v>rule_generated_exception_review</x:v>
      </x:c>
      <x:c r="R211" s="20" t="str">
        <x:v>https://hebrewsyntax.org/bbh2new/</x:v>
      </x:c>
    </x:row>
    <x:row r="212" ht="28" customHeight="1">
      <x:c r="A212" s="21" t="n">
        <x:v>208</x:v>
      </x:c>
      <x:c r="B212" s="21" t="n">
        <x:f>ROUNDUP(A212/20,0)</x:f>
        <x:v>11</x:v>
      </x:c>
      <x:c r="C212" s="21" t="n">
        <x:f>MOD(A212-1,20)+1</x:f>
        <x:v>8</x:v>
      </x:c>
      <x:c r="D212" s="18" t="str">
        <x:v>עֵת</x:v>
      </x:c>
      <x:c r="E212" s="19" t="str">
        <x:v>ʿēṯ</x:v>
      </x:c>
      <x:c r="F212" s="16" t="str">
        <x:v>עת</x:v>
      </x:c>
      <x:c r="G212" s="20" t="str">
        <x:v>time, point of time [F]</x:v>
      </x:c>
      <x:c r="H212" s="20" t="str"/>
      <x:c r="I212" s="21" t="str">
        <x:v>BBH2 課序</x:v>
      </x:c>
      <x:c r="J212" s="21" t="n">
        <x:v>10</x:v>
      </x:c>
      <x:c r="K212" s="22" t="n">
        <x:v>296</x:v>
      </x:c>
      <x:c r="L212" s="21" t="str">
        <x:v>H6256</x:v>
      </x:c>
      <x:c r="M212" s="21" t="str">
        <x:v>noun</x:v>
      </x:c>
      <x:c r="N212" s="21" t="str">
        <x:v>否</x:v>
      </x:c>
      <x:c r="O212" s="21" t="str"/>
      <x:c r="P212" s="21" t="str">
        <x:v>source_and_lexicon_matched</x:v>
      </x:c>
      <x:c r="Q212" s="21" t="str">
        <x:v>rule_generated_exception_review</x:v>
      </x:c>
      <x:c r="R212" s="20" t="str">
        <x:v>https://hebrewsyntax.org/bbh2new/</x:v>
      </x:c>
    </x:row>
    <x:row r="213" ht="28" customHeight="1">
      <x:c r="A213" s="21" t="n">
        <x:v>209</x:v>
      </x:c>
      <x:c r="B213" s="21" t="n">
        <x:f>ROUNDUP(A213/20,0)</x:f>
        <x:v>11</x:v>
      </x:c>
      <x:c r="C213" s="21" t="n">
        <x:f>MOD(A213-1,20)+1</x:f>
        <x:v>9</x:v>
      </x:c>
      <x:c r="D213" s="18" t="str">
        <x:v>עֹלָה</x:v>
      </x:c>
      <x:c r="E213" s="19" t="str">
        <x:v>ʿōlâ</x:v>
      </x:c>
      <x:c r="F213" s="16" t="str">
        <x:v>עלה</x:v>
      </x:c>
      <x:c r="G213" s="20" t="str">
        <x:v>whole burnt offering</x:v>
      </x:c>
      <x:c r="H213" s="20" t="str"/>
      <x:c r="I213" s="21" t="str">
        <x:v>BBH2 課序</x:v>
      </x:c>
      <x:c r="J213" s="21" t="n">
        <x:v>10</x:v>
      </x:c>
      <x:c r="K213" s="22" t="n">
        <x:v>289</x:v>
      </x:c>
      <x:c r="L213" s="21" t="str">
        <x:v>H5930</x:v>
      </x:c>
      <x:c r="M213" s="21" t="str">
        <x:v>noun</x:v>
      </x:c>
      <x:c r="N213" s="21" t="str">
        <x:v>否</x:v>
      </x:c>
      <x:c r="O213" s="21" t="str"/>
      <x:c r="P213" s="21" t="str">
        <x:v>source_and_lexicon_matched</x:v>
      </x:c>
      <x:c r="Q213" s="21" t="str">
        <x:v>rule_generated_exception_review</x:v>
      </x:c>
      <x:c r="R213" s="20" t="str">
        <x:v>https://hebrewsyntax.org/bbh2new/</x:v>
      </x:c>
    </x:row>
    <x:row r="214" ht="28" customHeight="1">
      <x:c r="A214" s="21" t="n">
        <x:v>210</x:v>
      </x:c>
      <x:c r="B214" s="21" t="n">
        <x:f>ROUNDUP(A214/20,0)</x:f>
        <x:v>11</x:v>
      </x:c>
      <x:c r="C214" s="21" t="n">
        <x:f>MOD(A214-1,20)+1</x:f>
        <x:v>10</x:v>
      </x:c>
      <x:c r="D214" s="18" t="str">
        <x:v>פָּנִים</x:v>
      </x:c>
      <x:c r="E214" s="19" t="str">
        <x:v>pānîm</x:v>
      </x:c>
      <x:c r="F214" s="16" t="str">
        <x:v>פנים</x:v>
      </x:c>
      <x:c r="G214" s="20" t="str">
        <x:v>face, front</x:v>
      </x:c>
      <x:c r="H214" s="20" t="str"/>
      <x:c r="I214" s="21" t="str">
        <x:v>BBH2 課序</x:v>
      </x:c>
      <x:c r="J214" s="21" t="n">
        <x:v>10</x:v>
      </x:c>
      <x:c r="K214" s="22" t="n">
        <x:v>2127</x:v>
      </x:c>
      <x:c r="L214" s="21" t="str">
        <x:v>H6440</x:v>
      </x:c>
      <x:c r="M214" s="21" t="str">
        <x:v>noun</x:v>
      </x:c>
      <x:c r="N214" s="21" t="str">
        <x:v>否</x:v>
      </x:c>
      <x:c r="O214" s="21" t="str"/>
      <x:c r="P214" s="21" t="str">
        <x:v>source_and_lexicon_matched</x:v>
      </x:c>
      <x:c r="Q214" s="21" t="str">
        <x:v>rule_generated_exception_review</x:v>
      </x:c>
      <x:c r="R214" s="20" t="str">
        <x:v>https://hebrewsyntax.org/bbh2new/</x:v>
      </x:c>
    </x:row>
    <x:row r="215" ht="28" customHeight="1">
      <x:c r="A215" s="21" t="n">
        <x:v>211</x:v>
      </x:c>
      <x:c r="B215" s="21" t="n">
        <x:f>ROUNDUP(A215/20,0)</x:f>
        <x:v>11</x:v>
      </x:c>
      <x:c r="C215" s="21" t="n">
        <x:f>MOD(A215-1,20)+1</x:f>
        <x:v>11</x:v>
      </x:c>
      <x:c r="D215" s="18" t="str">
        <x:v>פְּנֵי</x:v>
      </x:c>
      <x:c r="E215" s="19" t="str">
        <x:v>pənê</x:v>
      </x:c>
      <x:c r="F215" s="16" t="str">
        <x:v>פני</x:v>
      </x:c>
      <x:c r="G215" s="20" t="str">
        <x:v>face of, front of</x:v>
      </x:c>
      <x:c r="H215" s="20" t="str"/>
      <x:c r="I215" s="21" t="str">
        <x:v>BBH2 課序</x:v>
      </x:c>
      <x:c r="J215" s="21" t="n">
        <x:v>10</x:v>
      </x:c>
      <x:c r="K215" s="22" t="n">
        <x:v>2127</x:v>
      </x:c>
      <x:c r="L215" s="21" t="str">
        <x:v>H6440</x:v>
      </x:c>
      <x:c r="M215" s="21" t="str">
        <x:v>noun</x:v>
      </x:c>
      <x:c r="N215" s="21" t="str">
        <x:v>否</x:v>
      </x:c>
      <x:c r="O215" s="21" t="str"/>
      <x:c r="P215" s="21" t="str">
        <x:v>source_and_lexicon_matched</x:v>
      </x:c>
      <x:c r="Q215" s="21" t="str">
        <x:v>rule_generated_exception_review</x:v>
      </x:c>
      <x:c r="R215" s="20" t="str">
        <x:v>https://hebrewsyntax.org/bbh2new/</x:v>
      </x:c>
    </x:row>
    <x:row r="216" ht="28" customHeight="1">
      <x:c r="A216" s="21" t="n">
        <x:v>212</x:v>
      </x:c>
      <x:c r="B216" s="21" t="n">
        <x:f>ROUNDUP(A216/20,0)</x:f>
        <x:v>11</x:v>
      </x:c>
      <x:c r="C216" s="21" t="n">
        <x:f>MOD(A216-1,20)+1</x:f>
        <x:v>12</x:v>
      </x:c>
      <x:c r="D216" s="18" t="str">
        <x:v>צֹאן</x:v>
      </x:c>
      <x:c r="E216" s="19" t="str">
        <x:v>ṣōʾn</x:v>
      </x:c>
      <x:c r="F216" s="16" t="str">
        <x:v>צאן</x:v>
      </x:c>
      <x:c r="G216" s="20" t="str">
        <x:v>flock(s), flock of sheep and goats</x:v>
      </x:c>
      <x:c r="H216" s="20" t="str"/>
      <x:c r="I216" s="21" t="str">
        <x:v>BBH2 課序</x:v>
      </x:c>
      <x:c r="J216" s="21" t="n">
        <x:v>10</x:v>
      </x:c>
      <x:c r="K216" s="22" t="n">
        <x:v>274</x:v>
      </x:c>
      <x:c r="L216" s="21" t="str">
        <x:v>H6629</x:v>
      </x:c>
      <x:c r="M216" s="21" t="str">
        <x:v>noun</x:v>
      </x:c>
      <x:c r="N216" s="21" t="str">
        <x:v>否</x:v>
      </x:c>
      <x:c r="O216" s="21" t="str"/>
      <x:c r="P216" s="21" t="str">
        <x:v>source_and_lexicon_matched</x:v>
      </x:c>
      <x:c r="Q216" s="21" t="str">
        <x:v>rule_generated_exception_review</x:v>
      </x:c>
      <x:c r="R216" s="20" t="str">
        <x:v>https://hebrewsyntax.org/bbh2new/</x:v>
      </x:c>
    </x:row>
    <x:row r="217" ht="28" customHeight="1">
      <x:c r="A217" s="21" t="n">
        <x:v>213</x:v>
      </x:c>
      <x:c r="B217" s="21" t="n">
        <x:f>ROUNDUP(A217/20,0)</x:f>
        <x:v>11</x:v>
      </x:c>
      <x:c r="C217" s="21" t="n">
        <x:f>MOD(A217-1,20)+1</x:f>
        <x:v>13</x:v>
      </x:c>
      <x:c r="D217" s="18" t="str">
        <x:v>רֶ֫גֶל</x:v>
      </x:c>
      <x:c r="E217" s="19" t="str">
        <x:v>reg̅el</x:v>
      </x:c>
      <x:c r="F217" s="16" t="str">
        <x:v>רגל</x:v>
      </x:c>
      <x:c r="G217" s="20" t="str">
        <x:v>foot [F]</x:v>
      </x:c>
      <x:c r="H217" s="20" t="str"/>
      <x:c r="I217" s="21" t="str">
        <x:v>BBH2 課序</x:v>
      </x:c>
      <x:c r="J217" s="21" t="n">
        <x:v>10</x:v>
      </x:c>
      <x:c r="K217" s="22" t="n">
        <x:v>251</x:v>
      </x:c>
      <x:c r="L217" s="21" t="str">
        <x:v>H7272</x:v>
      </x:c>
      <x:c r="M217" s="21" t="str">
        <x:v>noun</x:v>
      </x:c>
      <x:c r="N217" s="21" t="str">
        <x:v>否</x:v>
      </x:c>
      <x:c r="O217" s="21" t="str"/>
      <x:c r="P217" s="21" t="str">
        <x:v>source_and_lexicon_matched</x:v>
      </x:c>
      <x:c r="Q217" s="21" t="str">
        <x:v>rule_generated_exception_review</x:v>
      </x:c>
      <x:c r="R217" s="20" t="str">
        <x:v>https://hebrewsyntax.org/bbh2new/</x:v>
      </x:c>
    </x:row>
    <x:row r="218" ht="28" customHeight="1">
      <x:c r="A218" s="21" t="n">
        <x:v>214</x:v>
      </x:c>
      <x:c r="B218" s="21" t="n">
        <x:f>ROUNDUP(A218/20,0)</x:f>
        <x:v>11</x:v>
      </x:c>
      <x:c r="C218" s="21" t="n">
        <x:f>MOD(A218-1,20)+1</x:f>
        <x:v>14</x:v>
      </x:c>
      <x:c r="D218" s="18" t="str">
        <x:v>אֲבִי</x:v>
      </x:c>
      <x:c r="E218" s="19" t="str">
        <x:v>ʾăḇî</x:v>
      </x:c>
      <x:c r="F218" s="16" t="str">
        <x:v>אבי</x:v>
      </x:c>
      <x:c r="G218" s="20" t="str">
        <x:v>father of</x:v>
      </x:c>
      <x:c r="H218" s="20" t="str"/>
      <x:c r="I218" s="21" t="str">
        <x:v>BBH2 課序</x:v>
      </x:c>
      <x:c r="J218" s="21" t="n">
        <x:v>10</x:v>
      </x:c>
      <x:c r="K218" s="22" t="n">
        <x:v>1213</x:v>
      </x:c>
      <x:c r="L218" s="21" t="str">
        <x:v>H1</x:v>
      </x:c>
      <x:c r="M218" s="21" t="str">
        <x:v>noun</x:v>
      </x:c>
      <x:c r="N218" s="21" t="str">
        <x:v>否</x:v>
      </x:c>
      <x:c r="O218" s="21" t="str"/>
      <x:c r="P218" s="21" t="str">
        <x:v>source_and_lexicon_matched</x:v>
      </x:c>
      <x:c r="Q218" s="21" t="str">
        <x:v>rule_generated_exception_review</x:v>
      </x:c>
      <x:c r="R218" s="20" t="str">
        <x:v>https://hebrewsyntax.org/bbh2new/</x:v>
      </x:c>
    </x:row>
    <x:row r="219" ht="28" customHeight="1">
      <x:c r="A219" s="21" t="n">
        <x:v>215</x:v>
      </x:c>
      <x:c r="B219" s="21" t="n">
        <x:f>ROUNDUP(A219/20,0)</x:f>
        <x:v>11</x:v>
      </x:c>
      <x:c r="C219" s="21" t="n">
        <x:f>MOD(A219-1,20)+1</x:f>
        <x:v>15</x:v>
      </x:c>
      <x:c r="D219" s="18" t="str">
        <x:v>אֲחִי</x:v>
      </x:c>
      <x:c r="E219" s="19" t="str">
        <x:v>ʾăḥî</x:v>
      </x:c>
      <x:c r="F219" s="16" t="str">
        <x:v>אחי</x:v>
      </x:c>
      <x:c r="G219" s="20" t="str">
        <x:v>brother of</x:v>
      </x:c>
      <x:c r="H219" s="20" t="str"/>
      <x:c r="I219" s="21" t="str">
        <x:v>BBH2 課序</x:v>
      </x:c>
      <x:c r="J219" s="21" t="n">
        <x:v>10</x:v>
      </x:c>
      <x:c r="K219" s="22" t="n">
        <x:v>630</x:v>
      </x:c>
      <x:c r="L219" s="21" t="str">
        <x:v>H251</x:v>
      </x:c>
      <x:c r="M219" s="21" t="str">
        <x:v>noun</x:v>
      </x:c>
      <x:c r="N219" s="21" t="str">
        <x:v>否</x:v>
      </x:c>
      <x:c r="O219" s="21" t="str"/>
      <x:c r="P219" s="21" t="str">
        <x:v>source_and_lexicon_matched</x:v>
      </x:c>
      <x:c r="Q219" s="21" t="str">
        <x:v>rule_generated_exception_review</x:v>
      </x:c>
      <x:c r="R219" s="20" t="str">
        <x:v>https://hebrewsyntax.org/bbh2new/</x:v>
      </x:c>
    </x:row>
    <x:row r="220" ht="28" customHeight="1">
      <x:c r="A220" s="21" t="n">
        <x:v>216</x:v>
      </x:c>
      <x:c r="B220" s="21" t="n">
        <x:f>ROUNDUP(A220/20,0)</x:f>
        <x:v>11</x:v>
      </x:c>
      <x:c r="C220" s="21" t="n">
        <x:f>MOD(A220-1,20)+1</x:f>
        <x:v>16</x:v>
      </x:c>
      <x:c r="D220" s="18" t="str">
        <x:v>אֵ֫שֶׁת</x:v>
      </x:c>
      <x:c r="E220" s="19" t="str">
        <x:v>ʾēšeṯ</x:v>
      </x:c>
      <x:c r="F220" s="16" t="str">
        <x:v>אשת</x:v>
      </x:c>
      <x:c r="G220" s="20" t="str">
        <x:v>wife of</x:v>
      </x:c>
      <x:c r="H220" s="20" t="str"/>
      <x:c r="I220" s="21" t="str">
        <x:v>BBH2 課序</x:v>
      </x:c>
      <x:c r="J220" s="21" t="n">
        <x:v>10</x:v>
      </x:c>
      <x:c r="K220" s="22" t="n">
        <x:v>781</x:v>
      </x:c>
      <x:c r="L220" s="21" t="str">
        <x:v>H802</x:v>
      </x:c>
      <x:c r="M220" s="21" t="str">
        <x:v>noun</x:v>
      </x:c>
      <x:c r="N220" s="21" t="str">
        <x:v>否</x:v>
      </x:c>
      <x:c r="O220" s="21" t="str"/>
      <x:c r="P220" s="21" t="str">
        <x:v>source_and_lexicon_matched</x:v>
      </x:c>
      <x:c r="Q220" s="21" t="str">
        <x:v>rule_generated_exception_review</x:v>
      </x:c>
      <x:c r="R220" s="20" t="str">
        <x:v>https://hebrewsyntax.org/bbh2new/</x:v>
      </x:c>
    </x:row>
    <x:row r="221" ht="28" customHeight="1">
      <x:c r="A221" s="21" t="n">
        <x:v>217</x:v>
      </x:c>
      <x:c r="B221" s="21" t="n">
        <x:f>ROUNDUP(A221/20,0)</x:f>
        <x:v>11</x:v>
      </x:c>
      <x:c r="C221" s="21" t="n">
        <x:f>MOD(A221-1,20)+1</x:f>
        <x:v>17</x:v>
      </x:c>
      <x:c r="D221" s="18" t="str">
        <x:v>אַמָּה</x:v>
      </x:c>
      <x:c r="E221" s="19" t="str">
        <x:v>ʾammâ</x:v>
      </x:c>
      <x:c r="F221" s="16" t="str">
        <x:v>אמה</x:v>
      </x:c>
      <x:c r="G221" s="20" t="str">
        <x:v>cubit, forearm</x:v>
      </x:c>
      <x:c r="H221" s="20" t="str"/>
      <x:c r="I221" s="21" t="str">
        <x:v>BBH2 課序</x:v>
      </x:c>
      <x:c r="J221" s="21" t="n">
        <x:v>11</x:v>
      </x:c>
      <x:c r="K221" s="22" t="n">
        <x:v>249</x:v>
      </x:c>
      <x:c r="L221" s="21" t="str">
        <x:v>H520</x:v>
      </x:c>
      <x:c r="M221" s="21" t="str">
        <x:v>noun</x:v>
      </x:c>
      <x:c r="N221" s="21" t="str">
        <x:v>否</x:v>
      </x:c>
      <x:c r="O221" s="21" t="str"/>
      <x:c r="P221" s="21" t="str">
        <x:v>source_and_lexicon_matched</x:v>
      </x:c>
      <x:c r="Q221" s="21" t="str">
        <x:v>rule_generated_exception_review</x:v>
      </x:c>
      <x:c r="R221" s="20" t="str">
        <x:v>https://hebrewsyntax.org/bbh2new/</x:v>
      </x:c>
    </x:row>
    <x:row r="222" ht="28" customHeight="1">
      <x:c r="A222" s="21" t="n">
        <x:v>218</x:v>
      </x:c>
      <x:c r="B222" s="21" t="n">
        <x:f>ROUNDUP(A222/20,0)</x:f>
        <x:v>11</x:v>
      </x:c>
      <x:c r="C222" s="21" t="n">
        <x:f>MOD(A222-1,20)+1</x:f>
        <x:v>18</x:v>
      </x:c>
      <x:c r="D222" s="18" t="str">
        <x:v>אֵם</x:v>
      </x:c>
      <x:c r="E222" s="19" t="str">
        <x:v>ʾēm</x:v>
      </x:c>
      <x:c r="F222" s="16" t="str">
        <x:v>אם</x:v>
      </x:c>
      <x:c r="G222" s="20" t="str">
        <x:v>mother [F]</x:v>
      </x:c>
      <x:c r="H222" s="20" t="str"/>
      <x:c r="I222" s="21" t="str">
        <x:v>BBH2 課序</x:v>
      </x:c>
      <x:c r="J222" s="21" t="n">
        <x:v>11</x:v>
      </x:c>
      <x:c r="K222" s="22" t="n">
        <x:v>220</x:v>
      </x:c>
      <x:c r="L222" s="21" t="str">
        <x:v>H517</x:v>
      </x:c>
      <x:c r="M222" s="21" t="str">
        <x:v>noun</x:v>
      </x:c>
      <x:c r="N222" s="21" t="str">
        <x:v>否</x:v>
      </x:c>
      <x:c r="O222" s="21" t="str"/>
      <x:c r="P222" s="21" t="str">
        <x:v>source_and_lexicon_matched</x:v>
      </x:c>
      <x:c r="Q222" s="21" t="str">
        <x:v>rule_generated_exception_review</x:v>
      </x:c>
      <x:c r="R222" s="20" t="str">
        <x:v>https://hebrewsyntax.org/bbh2new/</x:v>
      </x:c>
    </x:row>
    <x:row r="223" ht="28" customHeight="1">
      <x:c r="A223" s="21" t="n">
        <x:v>219</x:v>
      </x:c>
      <x:c r="B223" s="21" t="n">
        <x:f>ROUNDUP(A223/20,0)</x:f>
        <x:v>11</x:v>
      </x:c>
      <x:c r="C223" s="21" t="n">
        <x:f>MOD(A223-1,20)+1</x:f>
        <x:v>19</x:v>
      </x:c>
      <x:c r="D223" s="18" t="str">
        <x:v>בֶּ֫גֶד</x:v>
      </x:c>
      <x:c r="E223" s="19" t="str">
        <x:v>beg̅eḏ</x:v>
      </x:c>
      <x:c r="F223" s="16" t="str">
        <x:v>בגד</x:v>
      </x:c>
      <x:c r="G223" s="20" t="str">
        <x:v>clothing, garment, covering</x:v>
      </x:c>
      <x:c r="H223" s="20" t="str"/>
      <x:c r="I223" s="21" t="str">
        <x:v>BBH2 課序</x:v>
      </x:c>
      <x:c r="J223" s="21" t="n">
        <x:v>11</x:v>
      </x:c>
      <x:c r="K223" s="22" t="n">
        <x:v>218</x:v>
      </x:c>
      <x:c r="L223" s="21" t="str">
        <x:v>H899</x:v>
      </x:c>
      <x:c r="M223" s="21" t="str">
        <x:v>noun</x:v>
      </x:c>
      <x:c r="N223" s="21" t="str">
        <x:v>否</x:v>
      </x:c>
      <x:c r="O223" s="21" t="str"/>
      <x:c r="P223" s="21" t="str">
        <x:v>source_and_lexicon_matched</x:v>
      </x:c>
      <x:c r="Q223" s="21" t="str">
        <x:v>rule_generated_exception_review</x:v>
      </x:c>
      <x:c r="R223" s="20" t="str">
        <x:v>https://hebrewsyntax.org/bbh2new/</x:v>
      </x:c>
    </x:row>
    <x:row r="224" ht="28" customHeight="1">
      <x:c r="A224" s="21" t="n">
        <x:v>220</x:v>
      </x:c>
      <x:c r="B224" s="21" t="n">
        <x:f>ROUNDUP(A224/20,0)</x:f>
        <x:v>11</x:v>
      </x:c>
      <x:c r="C224" s="21" t="n">
        <x:f>MOD(A224-1,20)+1</x:f>
        <x:v>20</x:v>
      </x:c>
      <x:c r="D224" s="18" t="str">
        <x:v>זֶ֫רַע</x:v>
      </x:c>
      <x:c r="E224" s="19" t="str">
        <x:v>zeraʿ</x:v>
      </x:c>
      <x:c r="F224" s="16" t="str">
        <x:v>זרע</x:v>
      </x:c>
      <x:c r="G224" s="20" t="str">
        <x:v>seed, offspring, descendants</x:v>
      </x:c>
      <x:c r="H224" s="20" t="str"/>
      <x:c r="I224" s="21" t="str">
        <x:v>BBH2 課序</x:v>
      </x:c>
      <x:c r="J224" s="21" t="n">
        <x:v>11</x:v>
      </x:c>
      <x:c r="K224" s="22" t="n">
        <x:v>229</x:v>
      </x:c>
      <x:c r="L224" s="21" t="str">
        <x:v>H2233</x:v>
      </x:c>
      <x:c r="M224" s="21" t="str">
        <x:v>noun</x:v>
      </x:c>
      <x:c r="N224" s="21" t="str">
        <x:v>否</x:v>
      </x:c>
      <x:c r="O224" s="21" t="str"/>
      <x:c r="P224" s="21" t="str">
        <x:v>source_and_lexicon_matched</x:v>
      </x:c>
      <x:c r="Q224" s="21" t="str">
        <x:v>rule_generated_exception_review</x:v>
      </x:c>
      <x:c r="R224" s="20" t="str">
        <x:v>https://hebrewsyntax.org/bbh2new/</x:v>
      </x:c>
    </x:row>
    <x:row r="225" ht="28" customHeight="1">
      <x:c r="A225" s="21" t="n">
        <x:v>221</x:v>
      </x:c>
      <x:c r="B225" s="21" t="n">
        <x:f>ROUNDUP(A225/20,0)</x:f>
        <x:v>12</x:v>
      </x:c>
      <x:c r="C225" s="21" t="n">
        <x:f>MOD(A225-1,20)+1</x:f>
        <x:v>1</x:v>
      </x:c>
      <x:c r="D225" s="18" t="str">
        <x:v>חָצֵר</x:v>
      </x:c>
      <x:c r="E225" s="19" t="str">
        <x:v>ḥāṣēr</x:v>
      </x:c>
      <x:c r="F225" s="16" t="str">
        <x:v>חצר</x:v>
      </x:c>
      <x:c r="G225" s="20" t="str">
        <x:v>courtyard, village, settlement [M/F]</x:v>
      </x:c>
      <x:c r="H225" s="20" t="str"/>
      <x:c r="I225" s="21" t="str">
        <x:v>BBH2 課序</x:v>
      </x:c>
      <x:c r="J225" s="21" t="n">
        <x:v>11</x:v>
      </x:c>
      <x:c r="K225" s="22" t="n">
        <x:v>190</x:v>
      </x:c>
      <x:c r="L225" s="21" t="str">
        <x:v>H2691</x:v>
      </x:c>
      <x:c r="M225" s="21" t="str">
        <x:v>noun</x:v>
      </x:c>
      <x:c r="N225" s="21" t="str">
        <x:v>否</x:v>
      </x:c>
      <x:c r="O225" s="21" t="str"/>
      <x:c r="P225" s="21" t="str">
        <x:v>source_and_lexicon_matched</x:v>
      </x:c>
      <x:c r="Q225" s="21" t="str">
        <x:v>rule_generated_exception_review</x:v>
      </x:c>
      <x:c r="R225" s="20" t="str">
        <x:v>https://hebrewsyntax.org/bbh2new/</x:v>
      </x:c>
    </x:row>
    <x:row r="226" ht="28" customHeight="1">
      <x:c r="A226" s="21" t="n">
        <x:v>222</x:v>
      </x:c>
      <x:c r="B226" s="21" t="n">
        <x:f>ROUNDUP(A226/20,0)</x:f>
        <x:v>12</x:v>
      </x:c>
      <x:c r="C226" s="21" t="n">
        <x:f>MOD(A226-1,20)+1</x:f>
        <x:v>2</x:v>
      </x:c>
      <x:c r="D226" s="18" t="str">
        <x:v>לַ֫יְלָה</x:v>
      </x:c>
      <x:c r="E226" s="19" t="str">
        <x:v>laylâ</x:v>
      </x:c>
      <x:c r="F226" s="16" t="str">
        <x:v>לילה</x:v>
      </x:c>
      <x:c r="G226" s="20" t="str">
        <x:v>night [M]</x:v>
      </x:c>
      <x:c r="H226" s="20" t="str"/>
      <x:c r="I226" s="21" t="str">
        <x:v>BBH2 課序</x:v>
      </x:c>
      <x:c r="J226" s="21" t="n">
        <x:v>11</x:v>
      </x:c>
      <x:c r="K226" s="22" t="n">
        <x:v>235</x:v>
      </x:c>
      <x:c r="L226" s="21" t="str">
        <x:v>H3915</x:v>
      </x:c>
      <x:c r="M226" s="21" t="str">
        <x:v>noun</x:v>
      </x:c>
      <x:c r="N226" s="21" t="str">
        <x:v>否</x:v>
      </x:c>
      <x:c r="O226" s="21" t="str"/>
      <x:c r="P226" s="21" t="str">
        <x:v>source_and_lexicon_matched</x:v>
      </x:c>
      <x:c r="Q226" s="21" t="str">
        <x:v>rule_generated_exception_review</x:v>
      </x:c>
      <x:c r="R226" s="20" t="str">
        <x:v>https://hebrewsyntax.org/bbh2new/</x:v>
      </x:c>
    </x:row>
    <x:row r="227" ht="28" customHeight="1">
      <x:c r="A227" s="21" t="n">
        <x:v>223</x:v>
      </x:c>
      <x:c r="B227" s="21" t="n">
        <x:f>ROUNDUP(A227/20,0)</x:f>
        <x:v>12</x:v>
      </x:c>
      <x:c r="C227" s="21" t="n">
        <x:f>MOD(A227-1,20)+1</x:f>
        <x:v>3</x:v>
      </x:c>
      <x:c r="D227" s="18" t="str">
        <x:v>מוֹעֵד</x:v>
      </x:c>
      <x:c r="E227" s="19" t="str">
        <x:v>môʿēḏ</x:v>
      </x:c>
      <x:c r="F227" s="16" t="str">
        <x:v>מועד</x:v>
      </x:c>
      <x:c r="G227" s="20" t="str">
        <x:v>appointed time (of feast), meeting place, assembly</x:v>
      </x:c>
      <x:c r="H227" s="20" t="str"/>
      <x:c r="I227" s="21" t="str">
        <x:v>BBH2 課序</x:v>
      </x:c>
      <x:c r="J227" s="21" t="n">
        <x:v>11</x:v>
      </x:c>
      <x:c r="K227" s="22" t="n">
        <x:v>223</x:v>
      </x:c>
      <x:c r="L227" s="21" t="str">
        <x:v>H4150</x:v>
      </x:c>
      <x:c r="M227" s="21" t="str">
        <x:v>noun</x:v>
      </x:c>
      <x:c r="N227" s="21" t="str">
        <x:v>否</x:v>
      </x:c>
      <x:c r="O227" s="21" t="str"/>
      <x:c r="P227" s="21" t="str">
        <x:v>source_and_lexicon_matched</x:v>
      </x:c>
      <x:c r="Q227" s="21" t="str">
        <x:v>rule_generated_exception_review</x:v>
      </x:c>
      <x:c r="R227" s="20" t="str">
        <x:v>https://hebrewsyntax.org/bbh2new/</x:v>
      </x:c>
    </x:row>
    <x:row r="228" ht="28" customHeight="1">
      <x:c r="A228" s="21" t="n">
        <x:v>224</x:v>
      </x:c>
      <x:c r="B228" s="21" t="n">
        <x:f>ROUNDUP(A228/20,0)</x:f>
        <x:v>12</x:v>
      </x:c>
      <x:c r="C228" s="21" t="n">
        <x:f>MOD(A228-1,20)+1</x:f>
        <x:v>4</x:v>
      </x:c>
      <x:c r="D228" s="18" t="str">
        <x:v>מַחֲנֶה</x:v>
      </x:c>
      <x:c r="E228" s="19" t="str">
        <x:v>maḥănê</x:v>
      </x:c>
      <x:c r="F228" s="16" t="str">
        <x:v>מחנה</x:v>
      </x:c>
      <x:c r="G228" s="20" t="str">
        <x:v>camp, army</x:v>
      </x:c>
      <x:c r="H228" s="20" t="str"/>
      <x:c r="I228" s="21" t="str">
        <x:v>BBH2 課序</x:v>
      </x:c>
      <x:c r="J228" s="21" t="n">
        <x:v>11</x:v>
      </x:c>
      <x:c r="K228" s="22" t="n">
        <x:v>216</x:v>
      </x:c>
      <x:c r="L228" s="21" t="str">
        <x:v>H4264</x:v>
      </x:c>
      <x:c r="M228" s="21" t="str">
        <x:v>noun</x:v>
      </x:c>
      <x:c r="N228" s="21" t="str">
        <x:v>否</x:v>
      </x:c>
      <x:c r="O228" s="21" t="str"/>
      <x:c r="P228" s="21" t="str">
        <x:v>source_and_lexicon_matched</x:v>
      </x:c>
      <x:c r="Q228" s="21" t="str">
        <x:v>rule_generated_exception_review</x:v>
      </x:c>
      <x:c r="R228" s="20" t="str">
        <x:v>https://hebrewsyntax.org/bbh2new/</x:v>
      </x:c>
    </x:row>
    <x:row r="229" ht="28" customHeight="1">
      <x:c r="A229" s="21" t="n">
        <x:v>225</x:v>
      </x:c>
      <x:c r="B229" s="21" t="n">
        <x:f>ROUNDUP(A229/20,0)</x:f>
        <x:v>12</x:v>
      </x:c>
      <x:c r="C229" s="21" t="n">
        <x:f>MOD(A229-1,20)+1</x:f>
        <x:v>5</x:v>
      </x:c>
      <x:c r="D229" s="18" t="str">
        <x:v>מַלְאָךְ</x:v>
      </x:c>
      <x:c r="E229" s="19" t="str">
        <x:v>malʾāḵ</x:v>
      </x:c>
      <x:c r="F229" s="16" t="str">
        <x:v>מלאך</x:v>
      </x:c>
      <x:c r="G229" s="20" t="str">
        <x:v>messenger, angel</x:v>
      </x:c>
      <x:c r="H229" s="20" t="str"/>
      <x:c r="I229" s="21" t="str">
        <x:v>BBH2 課序</x:v>
      </x:c>
      <x:c r="J229" s="21" t="n">
        <x:v>11</x:v>
      </x:c>
      <x:c r="K229" s="22" t="n">
        <x:v>213</x:v>
      </x:c>
      <x:c r="L229" s="21" t="str">
        <x:v>H4397</x:v>
      </x:c>
      <x:c r="M229" s="21" t="str">
        <x:v>noun</x:v>
      </x:c>
      <x:c r="N229" s="21" t="str">
        <x:v>否</x:v>
      </x:c>
      <x:c r="O229" s="21" t="str"/>
      <x:c r="P229" s="21" t="str">
        <x:v>source_and_lexicon_matched</x:v>
      </x:c>
      <x:c r="Q229" s="21" t="str">
        <x:v>rule_generated_exception_review</x:v>
      </x:c>
      <x:c r="R229" s="20" t="str">
        <x:v>https://hebrewsyntax.org/bbh2new/</x:v>
      </x:c>
    </x:row>
    <x:row r="230" ht="28" customHeight="1">
      <x:c r="A230" s="21" t="n">
        <x:v>226</x:v>
      </x:c>
      <x:c r="B230" s="21" t="n">
        <x:f>ROUNDUP(A230/20,0)</x:f>
        <x:v>12</x:v>
      </x:c>
      <x:c r="C230" s="21" t="n">
        <x:f>MOD(A230-1,20)+1</x:f>
        <x:v>6</x:v>
      </x:c>
      <x:c r="D230" s="18" t="str">
        <x:v>מַעֲשֶׂה</x:v>
      </x:c>
      <x:c r="E230" s="19" t="str">
        <x:v>maʿăśê</x:v>
      </x:c>
      <x:c r="F230" s="16" t="str">
        <x:v>מעשה</x:v>
      </x:c>
      <x:c r="G230" s="20" t="str">
        <x:v>work, deed, act</x:v>
      </x:c>
      <x:c r="H230" s="20" t="str"/>
      <x:c r="I230" s="21" t="str">
        <x:v>BBH2 課序</x:v>
      </x:c>
      <x:c r="J230" s="21" t="n">
        <x:v>11</x:v>
      </x:c>
      <x:c r="K230" s="22" t="n">
        <x:v>235</x:v>
      </x:c>
      <x:c r="L230" s="21" t="str">
        <x:v>H4639</x:v>
      </x:c>
      <x:c r="M230" s="21" t="str">
        <x:v>noun</x:v>
      </x:c>
      <x:c r="N230" s="21" t="str">
        <x:v>否</x:v>
      </x:c>
      <x:c r="O230" s="21" t="str"/>
      <x:c r="P230" s="21" t="str">
        <x:v>source_and_lexicon_matched</x:v>
      </x:c>
      <x:c r="Q230" s="21" t="str">
        <x:v>rule_generated_exception_review</x:v>
      </x:c>
      <x:c r="R230" s="20" t="str">
        <x:v>https://hebrewsyntax.org/bbh2new/</x:v>
      </x:c>
    </x:row>
    <x:row r="231" ht="28" customHeight="1">
      <x:c r="A231" s="21" t="n">
        <x:v>227</x:v>
      </x:c>
      <x:c r="B231" s="21" t="n">
        <x:f>ROUNDUP(A231/20,0)</x:f>
        <x:v>12</x:v>
      </x:c>
      <x:c r="C231" s="21" t="n">
        <x:f>MOD(A231-1,20)+1</x:f>
        <x:v>7</x:v>
      </x:c>
      <x:c r="D231" s="18" t="str">
        <x:v>נַ֫עַר</x:v>
      </x:c>
      <x:c r="E231" s="19" t="str">
        <x:v>naʿar</x:v>
      </x:c>
      <x:c r="F231" s="16" t="str">
        <x:v>נער</x:v>
      </x:c>
      <x:c r="G231" s="20" t="str">
        <x:v>boy, youth, servant</x:v>
      </x:c>
      <x:c r="H231" s="20" t="str"/>
      <x:c r="I231" s="21" t="str">
        <x:v>BBH2 課序</x:v>
      </x:c>
      <x:c r="J231" s="21" t="n">
        <x:v>11</x:v>
      </x:c>
      <x:c r="K231" s="22" t="n">
        <x:v>239</x:v>
      </x:c>
      <x:c r="L231" s="21" t="str">
        <x:v>H5288</x:v>
      </x:c>
      <x:c r="M231" s="21" t="str">
        <x:v>noun</x:v>
      </x:c>
      <x:c r="N231" s="21" t="str">
        <x:v>否</x:v>
      </x:c>
      <x:c r="O231" s="21" t="str"/>
      <x:c r="P231" s="21" t="str">
        <x:v>source_and_lexicon_matched</x:v>
      </x:c>
      <x:c r="Q231" s="21" t="str">
        <x:v>rule_generated_exception_review</x:v>
      </x:c>
      <x:c r="R231" s="20" t="str">
        <x:v>https://hebrewsyntax.org/bbh2new/</x:v>
      </x:c>
    </x:row>
    <x:row r="232" ht="28" customHeight="1">
      <x:c r="A232" s="21" t="n">
        <x:v>228</x:v>
      </x:c>
      <x:c r="B232" s="21" t="n">
        <x:f>ROUNDUP(A232/20,0)</x:f>
        <x:v>12</x:v>
      </x:c>
      <x:c r="C232" s="21" t="n">
        <x:f>MOD(A232-1,20)+1</x:f>
        <x:v>8</x:v>
      </x:c>
      <x:c r="D232" s="18" t="str">
        <x:v>נַחֲלָה</x:v>
      </x:c>
      <x:c r="E232" s="19" t="str">
        <x:v>naḥălâ</x:v>
      </x:c>
      <x:c r="F232" s="16" t="str">
        <x:v>נחלה</x:v>
      </x:c>
      <x:c r="G232" s="20" t="str">
        <x:v>inheritance, property, possession</x:v>
      </x:c>
      <x:c r="H232" s="20" t="str"/>
      <x:c r="I232" s="21" t="str">
        <x:v>BBH2 課序</x:v>
      </x:c>
      <x:c r="J232" s="21" t="n">
        <x:v>11</x:v>
      </x:c>
      <x:c r="K232" s="22" t="n">
        <x:v>222</x:v>
      </x:c>
      <x:c r="L232" s="21" t="str">
        <x:v>H5159</x:v>
      </x:c>
      <x:c r="M232" s="21" t="str">
        <x:v>noun</x:v>
      </x:c>
      <x:c r="N232" s="21" t="str">
        <x:v>否</x:v>
      </x:c>
      <x:c r="O232" s="21" t="str"/>
      <x:c r="P232" s="21" t="str">
        <x:v>source_and_lexicon_matched</x:v>
      </x:c>
      <x:c r="Q232" s="21" t="str">
        <x:v>rule_generated_exception_review</x:v>
      </x:c>
      <x:c r="R232" s="20" t="str">
        <x:v>https://hebrewsyntax.org/bbh2new/</x:v>
      </x:c>
    </x:row>
    <x:row r="233" ht="28" customHeight="1">
      <x:c r="A233" s="21" t="n">
        <x:v>229</x:v>
      </x:c>
      <x:c r="B233" s="21" t="n">
        <x:f>ROUNDUP(A233/20,0)</x:f>
        <x:v>12</x:v>
      </x:c>
      <x:c r="C233" s="21" t="n">
        <x:f>MOD(A233-1,20)+1</x:f>
        <x:v>9</x:v>
      </x:c>
      <x:c r="D233" s="18" t="str">
        <x:v>עָוֹן</x:v>
      </x:c>
      <x:c r="E233" s="19" t="str">
        <x:v>ʿāôn</x:v>
      </x:c>
      <x:c r="F233" s="16" t="str">
        <x:v>עון</x:v>
      </x:c>
      <x:c r="G233" s="20" t="str">
        <x:v>transgression, iniquity, guilt, punishment (of sin)</x:v>
      </x:c>
      <x:c r="H233" s="20" t="str"/>
      <x:c r="I233" s="21" t="str">
        <x:v>BBH2 課序</x:v>
      </x:c>
      <x:c r="J233" s="21" t="n">
        <x:v>11</x:v>
      </x:c>
      <x:c r="K233" s="22" t="n">
        <x:v>232</x:v>
      </x:c>
      <x:c r="L233" s="21" t="str">
        <x:v>H5771</x:v>
      </x:c>
      <x:c r="M233" s="21" t="str">
        <x:v>noun</x:v>
      </x:c>
      <x:c r="N233" s="21" t="str">
        <x:v>否</x:v>
      </x:c>
      <x:c r="O233" s="21" t="str"/>
      <x:c r="P233" s="21" t="str">
        <x:v>source_and_lexicon_matched</x:v>
      </x:c>
      <x:c r="Q233" s="21" t="str">
        <x:v>rule_generated_exception_review</x:v>
      </x:c>
      <x:c r="R233" s="20" t="str">
        <x:v>https://hebrewsyntax.org/bbh2new/</x:v>
      </x:c>
    </x:row>
    <x:row r="234" ht="28" customHeight="1">
      <x:c r="A234" s="21" t="n">
        <x:v>230</x:v>
      </x:c>
      <x:c r="B234" s="21" t="n">
        <x:f>ROUNDUP(A234/20,0)</x:f>
        <x:v>12</x:v>
      </x:c>
      <x:c r="C234" s="21" t="n">
        <x:f>MOD(A234-1,20)+1</x:f>
        <x:v>10</x:v>
      </x:c>
      <x:c r="D234" s="18" t="str">
        <x:v>קֶ֫רֶב</x:v>
      </x:c>
      <x:c r="E234" s="19" t="str">
        <x:v>qereḇ</x:v>
      </x:c>
      <x:c r="F234" s="16" t="str">
        <x:v>קרב</x:v>
      </x:c>
      <x:c r="G234" s="20" t="str">
        <x:v>inner part(s), organ(s), body</x:v>
      </x:c>
      <x:c r="H234" s="20" t="str"/>
      <x:c r="I234" s="21" t="str">
        <x:v>BBH2 課序</x:v>
      </x:c>
      <x:c r="J234" s="21" t="n">
        <x:v>11</x:v>
      </x:c>
      <x:c r="K234" s="22" t="n">
        <x:v>227</x:v>
      </x:c>
      <x:c r="L234" s="21" t="str">
        <x:v>H7130</x:v>
      </x:c>
      <x:c r="M234" s="21" t="str">
        <x:v>noun</x:v>
      </x:c>
      <x:c r="N234" s="21" t="str">
        <x:v>否</x:v>
      </x:c>
      <x:c r="O234" s="21" t="str"/>
      <x:c r="P234" s="21" t="str">
        <x:v>source_and_lexicon_matched</x:v>
      </x:c>
      <x:c r="Q234" s="21" t="str">
        <x:v>rule_generated_exception_review</x:v>
      </x:c>
      <x:c r="R234" s="20" t="str">
        <x:v>https://hebrewsyntax.org/bbh2new/</x:v>
      </x:c>
    </x:row>
    <x:row r="235" ht="28" customHeight="1">
      <x:c r="A235" s="21" t="n">
        <x:v>231</x:v>
      </x:c>
      <x:c r="B235" s="21" t="n">
        <x:f>ROUNDUP(A235/20,0)</x:f>
        <x:v>12</x:v>
      </x:c>
      <x:c r="C235" s="21" t="n">
        <x:f>MOD(A235-1,20)+1</x:f>
        <x:v>11</x:v>
      </x:c>
      <x:c r="D235" s="18" t="str">
        <x:v>בְּקֶ֫רֶב</x:v>
      </x:c>
      <x:c r="E235" s="19" t="str">
        <x:v>bəqereḇ</x:v>
      </x:c>
      <x:c r="F235" s="16" t="str">
        <x:v>בקרב</x:v>
      </x:c>
      <x:c r="G235" s="20" t="str">
        <x:v>in the middle of, among</x:v>
      </x:c>
      <x:c r="H235" s="20" t="str"/>
      <x:c r="I235" s="21" t="str">
        <x:v>BBH2 課序</x:v>
      </x:c>
      <x:c r="J235" s="21" t="n">
        <x:v>11</x:v>
      </x:c>
      <x:c r="K235" s="22" t="n">
        <x:v>227</x:v>
      </x:c>
      <x:c r="L235" s="21" t="str">
        <x:v>H7130</x:v>
      </x:c>
      <x:c r="M235" s="21" t="str">
        <x:v>noun</x:v>
      </x:c>
      <x:c r="N235" s="21" t="str">
        <x:v>否</x:v>
      </x:c>
      <x:c r="O235" s="21" t="str"/>
      <x:c r="P235" s="21" t="str">
        <x:v>source_and_lexicon_matched</x:v>
      </x:c>
      <x:c r="Q235" s="21" t="str">
        <x:v>rule_generated_exception_review</x:v>
      </x:c>
      <x:c r="R235" s="20" t="str">
        <x:v>https://hebrewsyntax.org/bbh2new/</x:v>
      </x:c>
    </x:row>
    <x:row r="236" ht="28" customHeight="1">
      <x:c r="A236" s="21" t="n">
        <x:v>232</x:v>
      </x:c>
      <x:c r="B236" s="21" t="n">
        <x:f>ROUNDUP(A236/20,0)</x:f>
        <x:v>12</x:v>
      </x:c>
      <x:c r="C236" s="21" t="n">
        <x:f>MOD(A236-1,20)+1</x:f>
        <x:v>12</x:v>
      </x:c>
      <x:c r="D236" s="18" t="str">
        <x:v>רַק</x:v>
      </x:c>
      <x:c r="E236" s="19" t="str">
        <x:v>raq</x:v>
      </x:c>
      <x:c r="F236" s="16" t="str">
        <x:v>רק</x:v>
      </x:c>
      <x:c r="G236" s="20" t="str">
        <x:v>only, still, but, however</x:v>
      </x:c>
      <x:c r="H236" s="20" t="str"/>
      <x:c r="I236" s="21" t="str">
        <x:v>BBH2 課序</x:v>
      </x:c>
      <x:c r="J236" s="21" t="n">
        <x:v>11</x:v>
      </x:c>
      <x:c r="K236" s="22" t="n">
        <x:v>109</x:v>
      </x:c>
      <x:c r="L236" s="21" t="str">
        <x:v>H7535</x:v>
      </x:c>
      <x:c r="M236" s="21" t="str">
        <x:v>particle</x:v>
      </x:c>
      <x:c r="N236" s="21" t="str">
        <x:v>否</x:v>
      </x:c>
      <x:c r="O236" s="21" t="str"/>
      <x:c r="P236" s="21" t="str">
        <x:v>source_and_lexicon_matched</x:v>
      </x:c>
      <x:c r="Q236" s="21" t="str">
        <x:v>rule_generated_exception_review</x:v>
      </x:c>
      <x:c r="R236" s="20" t="str">
        <x:v>https://hebrewsyntax.org/bbh2new/</x:v>
      </x:c>
    </x:row>
    <x:row r="237" ht="28" customHeight="1">
      <x:c r="A237" s="21" t="n">
        <x:v>233</x:v>
      </x:c>
      <x:c r="B237" s="21" t="n">
        <x:f>ROUNDUP(A237/20,0)</x:f>
        <x:v>12</x:v>
      </x:c>
      <x:c r="C237" s="21" t="n">
        <x:f>MOD(A237-1,20)+1</x:f>
        <x:v>13</x:v>
      </x:c>
      <x:c r="D237" s="18" t="str">
        <x:v>שָׁלוֹם</x:v>
      </x:c>
      <x:c r="E237" s="19" t="str">
        <x:v>šālôm</x:v>
      </x:c>
      <x:c r="F237" s="16" t="str">
        <x:v>שלום</x:v>
      </x:c>
      <x:c r="G237" s="20" t="str">
        <x:v>peace, welfare, wholeness, deliverance</x:v>
      </x:c>
      <x:c r="H237" s="20" t="str"/>
      <x:c r="I237" s="21" t="str">
        <x:v>BBH2 課序</x:v>
      </x:c>
      <x:c r="J237" s="21" t="n">
        <x:v>11</x:v>
      </x:c>
      <x:c r="K237" s="22" t="n">
        <x:v>237</x:v>
      </x:c>
      <x:c r="L237" s="21" t="str">
        <x:v>H7965</x:v>
      </x:c>
      <x:c r="M237" s="21" t="str">
        <x:v>noun</x:v>
      </x:c>
      <x:c r="N237" s="21" t="str">
        <x:v>否</x:v>
      </x:c>
      <x:c r="O237" s="21" t="str"/>
      <x:c r="P237" s="21" t="str">
        <x:v>source_and_lexicon_matched</x:v>
      </x:c>
      <x:c r="Q237" s="21" t="str">
        <x:v>rule_generated_exception_review</x:v>
      </x:c>
      <x:c r="R237" s="20" t="str">
        <x:v>https://hebrewsyntax.org/bbh2new/</x:v>
      </x:c>
    </x:row>
    <x:row r="238" ht="28" customHeight="1">
      <x:c r="A238" s="21" t="n">
        <x:v>234</x:v>
      </x:c>
      <x:c r="B238" s="21" t="n">
        <x:f>ROUNDUP(A238/20,0)</x:f>
        <x:v>12</x:v>
      </x:c>
      <x:c r="C238" s="21" t="n">
        <x:f>MOD(A238-1,20)+1</x:f>
        <x:v>14</x:v>
      </x:c>
      <x:c r="D238" s="18" t="str">
        <x:v>שָׁם</x:v>
      </x:c>
      <x:c r="E238" s="19" t="str">
        <x:v>šām</x:v>
      </x:c>
      <x:c r="F238" s="16" t="str">
        <x:v>שם</x:v>
      </x:c>
      <x:c r="G238" s="20" t="str">
        <x:v>there, then, at that time</x:v>
      </x:c>
      <x:c r="H238" s="20" t="str"/>
      <x:c r="I238" s="21" t="str">
        <x:v>BBH2 課序</x:v>
      </x:c>
      <x:c r="J238" s="21" t="n">
        <x:v>11</x:v>
      </x:c>
      <x:c r="K238" s="22" t="n">
        <x:v>835</x:v>
      </x:c>
      <x:c r="L238" s="21" t="str">
        <x:v>H8033</x:v>
      </x:c>
      <x:c r="M238" s="21" t="str">
        <x:v>adverb</x:v>
      </x:c>
      <x:c r="N238" s="21" t="str">
        <x:v>否</x:v>
      </x:c>
      <x:c r="O238" s="21" t="str"/>
      <x:c r="P238" s="21" t="str">
        <x:v>source_and_lexicon_matched</x:v>
      </x:c>
      <x:c r="Q238" s="21" t="str">
        <x:v>rule_generated_exception_review</x:v>
      </x:c>
      <x:c r="R238" s="20" t="str">
        <x:v>https://hebrewsyntax.org/bbh2new/</x:v>
      </x:c>
    </x:row>
    <x:row r="239" ht="28" customHeight="1">
      <x:c r="A239" s="21" t="n">
        <x:v>235</x:v>
      </x:c>
      <x:c r="B239" s="21" t="n">
        <x:f>ROUNDUP(A239/20,0)</x:f>
        <x:v>12</x:v>
      </x:c>
      <x:c r="C239" s="21" t="n">
        <x:f>MOD(A239-1,20)+1</x:f>
        <x:v>15</x:v>
      </x:c>
      <x:c r="D239" s="18" t="str">
        <x:v>תָּמִיד</x:v>
      </x:c>
      <x:c r="E239" s="19" t="str">
        <x:v>tāmîḏ</x:v>
      </x:c>
      <x:c r="F239" s="16" t="str">
        <x:v>תמיד</x:v>
      </x:c>
      <x:c r="G239" s="20" t="str">
        <x:v>continually</x:v>
      </x:c>
      <x:c r="H239" s="20" t="str"/>
      <x:c r="I239" s="21" t="str">
        <x:v>BBH2 課序</x:v>
      </x:c>
      <x:c r="J239" s="21" t="n">
        <x:v>11</x:v>
      </x:c>
      <x:c r="K239" s="22" t="n">
        <x:v>104</x:v>
      </x:c>
      <x:c r="L239" s="21" t="str">
        <x:v>H8548</x:v>
      </x:c>
      <x:c r="M239" s="21" t="str">
        <x:v>noun</x:v>
      </x:c>
      <x:c r="N239" s="21" t="str">
        <x:v>否</x:v>
      </x:c>
      <x:c r="O239" s="21" t="str"/>
      <x:c r="P239" s="21" t="str">
        <x:v>source_and_lexicon_matched</x:v>
      </x:c>
      <x:c r="Q239" s="21" t="str">
        <x:v>rule_generated_exception_review</x:v>
      </x:c>
      <x:c r="R239" s="20" t="str">
        <x:v>https://hebrewsyntax.org/bbh2new/</x:v>
      </x:c>
    </x:row>
    <x:row r="240" ht="28" customHeight="1">
      <x:c r="A240" s="21" t="n">
        <x:v>236</x:v>
      </x:c>
      <x:c r="B240" s="21" t="n">
        <x:f>ROUNDUP(A240/20,0)</x:f>
        <x:v>12</x:v>
      </x:c>
      <x:c r="C240" s="21" t="n">
        <x:f>MOD(A240-1,20)+1</x:f>
        <x:v>16</x:v>
      </x:c>
      <x:c r="D240" s="18" t="str">
        <x:v>אָכַל</x:v>
      </x:c>
      <x:c r="E240" s="19" t="str">
        <x:v>ʾāḵal</x:v>
      </x:c>
      <x:c r="F240" s="16" t="str">
        <x:v>אכל</x:v>
      </x:c>
      <x:c r="G240" s="20" t="str">
        <x:v>to eat, consume</x:v>
      </x:c>
      <x:c r="H240" s="20" t="str"/>
      <x:c r="I240" s="21" t="str">
        <x:v>BBH2 課序</x:v>
      </x:c>
      <x:c r="J240" s="21" t="n">
        <x:v>12</x:v>
      </x:c>
      <x:c r="K240" s="22" t="n">
        <x:v>815</x:v>
      </x:c>
      <x:c r="L240" s="21" t="str">
        <x:v>H398</x:v>
      </x:c>
      <x:c r="M240" s="21" t="str">
        <x:v>verb</x:v>
      </x:c>
      <x:c r="N240" s="21" t="str">
        <x:v>否</x:v>
      </x:c>
      <x:c r="O240" s="21" t="str"/>
      <x:c r="P240" s="21" t="str">
        <x:v>source_and_lexicon_matched</x:v>
      </x:c>
      <x:c r="Q240" s="21" t="str">
        <x:v>rule_generated_exception_review</x:v>
      </x:c>
      <x:c r="R240" s="20" t="str">
        <x:v>https://hebrewsyntax.org/bbh2new/</x:v>
      </x:c>
    </x:row>
    <x:row r="241" ht="28" customHeight="1">
      <x:c r="A241" s="21" t="n">
        <x:v>237</x:v>
      </x:c>
      <x:c r="B241" s="21" t="n">
        <x:f>ROUNDUP(A241/20,0)</x:f>
        <x:v>12</x:v>
      </x:c>
      <x:c r="C241" s="21" t="n">
        <x:f>MOD(A241-1,20)+1</x:f>
        <x:v>17</x:v>
      </x:c>
      <x:c r="D241" s="18" t="str">
        <x:v>אָמַר</x:v>
      </x:c>
      <x:c r="E241" s="19" t="str">
        <x:v>ʾāmar</x:v>
      </x:c>
      <x:c r="F241" s="16" t="str">
        <x:v>אמר</x:v>
      </x:c>
      <x:c r="G241" s="20" t="str">
        <x:v>to say, mention, think</x:v>
      </x:c>
      <x:c r="H241" s="20" t="str"/>
      <x:c r="I241" s="21" t="str">
        <x:v>BBH2 課序</x:v>
      </x:c>
      <x:c r="J241" s="21" t="n">
        <x:v>12</x:v>
      </x:c>
      <x:c r="K241" s="22" t="n">
        <x:v>5318</x:v>
      </x:c>
      <x:c r="L241" s="21" t="str">
        <x:v>H559</x:v>
      </x:c>
      <x:c r="M241" s="21" t="str">
        <x:v>verb</x:v>
      </x:c>
      <x:c r="N241" s="21" t="str">
        <x:v>否</x:v>
      </x:c>
      <x:c r="O241" s="21" t="str"/>
      <x:c r="P241" s="21" t="str">
        <x:v>source_and_lexicon_matched</x:v>
      </x:c>
      <x:c r="Q241" s="21" t="str">
        <x:v>rule_generated_exception_review</x:v>
      </x:c>
      <x:c r="R241" s="20" t="str">
        <x:v>https://hebrewsyntax.org/bbh2new/</x:v>
      </x:c>
    </x:row>
    <x:row r="242" ht="28" customHeight="1">
      <x:c r="A242" s="21" t="n">
        <x:v>238</x:v>
      </x:c>
      <x:c r="B242" s="21" t="n">
        <x:f>ROUNDUP(A242/20,0)</x:f>
        <x:v>12</x:v>
      </x:c>
      <x:c r="C242" s="21" t="n">
        <x:f>MOD(A242-1,20)+1</x:f>
        <x:v>18</x:v>
      </x:c>
      <x:c r="D242" s="18" t="str">
        <x:v>הָלַךְ</x:v>
      </x:c>
      <x:c r="E242" s="19" t="str">
        <x:v>hālaḵ</x:v>
      </x:c>
      <x:c r="F242" s="16" t="str">
        <x:v>הלך</x:v>
      </x:c>
      <x:c r="G242" s="20" t="str">
        <x:v>to go, walk, behave, die, pass away</x:v>
      </x:c>
      <x:c r="H242" s="20" t="str"/>
      <x:c r="I242" s="21" t="str">
        <x:v>BBH2 課序</x:v>
      </x:c>
      <x:c r="J242" s="21" t="n">
        <x:v>12</x:v>
      </x:c>
      <x:c r="K242" s="22" t="n">
        <x:v>511</x:v>
      </x:c>
      <x:c r="L242" s="21" t="str">
        <x:v>H1980</x:v>
      </x:c>
      <x:c r="M242" s="21" t="str">
        <x:v>verb</x:v>
      </x:c>
      <x:c r="N242" s="21" t="str">
        <x:v>否</x:v>
      </x:c>
      <x:c r="O242" s="21" t="str"/>
      <x:c r="P242" s="21" t="str">
        <x:v>source_and_lexicon_matched</x:v>
      </x:c>
      <x:c r="Q242" s="21" t="str">
        <x:v>rule_generated_exception_review</x:v>
      </x:c>
      <x:c r="R242" s="20" t="str">
        <x:v>https://hebrewsyntax.org/bbh2new/</x:v>
      </x:c>
    </x:row>
    <x:row r="243" ht="28" customHeight="1">
      <x:c r="A243" s="21" t="n">
        <x:v>239</x:v>
      </x:c>
      <x:c r="B243" s="21" t="n">
        <x:f>ROUNDUP(A243/20,0)</x:f>
        <x:v>12</x:v>
      </x:c>
      <x:c r="C243" s="21" t="n">
        <x:f>MOD(A243-1,20)+1</x:f>
        <x:v>19</x:v>
      </x:c>
      <x:c r="D243" s="18" t="str">
        <x:v>הָיָה</x:v>
      </x:c>
      <x:c r="E243" s="19" t="str">
        <x:v>hāyâ</x:v>
      </x:c>
      <x:c r="F243" s="16" t="str">
        <x:v>היה</x:v>
      </x:c>
      <x:c r="G243" s="20" t="str">
        <x:v>to be, become, happen, occur</x:v>
      </x:c>
      <x:c r="H243" s="20" t="str"/>
      <x:c r="I243" s="21" t="str">
        <x:v>BBH2 課序</x:v>
      </x:c>
      <x:c r="J243" s="21" t="n">
        <x:v>12</x:v>
      </x:c>
      <x:c r="K243" s="22" t="n">
        <x:v>3575</x:v>
      </x:c>
      <x:c r="L243" s="21" t="str">
        <x:v>H1961</x:v>
      </x:c>
      <x:c r="M243" s="21" t="str">
        <x:v>verb</x:v>
      </x:c>
      <x:c r="N243" s="21" t="str">
        <x:v>否</x:v>
      </x:c>
      <x:c r="O243" s="21" t="str"/>
      <x:c r="P243" s="21" t="str">
        <x:v>source_and_lexicon_matched</x:v>
      </x:c>
      <x:c r="Q243" s="21" t="str">
        <x:v>rule_generated_exception_review</x:v>
      </x:c>
      <x:c r="R243" s="20" t="str">
        <x:v>https://hebrewsyntax.org/bbh2new/</x:v>
      </x:c>
    </x:row>
    <x:row r="244" ht="28" customHeight="1">
      <x:c r="A244" s="21" t="n">
        <x:v>240</x:v>
      </x:c>
      <x:c r="B244" s="21" t="n">
        <x:f>ROUNDUP(A244/20,0)</x:f>
        <x:v>12</x:v>
      </x:c>
      <x:c r="C244" s="21" t="n">
        <x:f>MOD(A244-1,20)+1</x:f>
        <x:v>20</x:v>
      </x:c>
      <x:c r="D244" s="18" t="str">
        <x:v>יָצָא</x:v>
      </x:c>
      <x:c r="E244" s="19" t="str">
        <x:v>yāṣāʾ</x:v>
      </x:c>
      <x:c r="F244" s="16" t="str">
        <x:v>יצא</x:v>
      </x:c>
      <x:c r="G244" s="20" t="str">
        <x:v>to go out, go forth, come out, come forth</x:v>
      </x:c>
      <x:c r="H244" s="20" t="str"/>
      <x:c r="I244" s="21" t="str">
        <x:v>BBH2 課序</x:v>
      </x:c>
      <x:c r="J244" s="21" t="n">
        <x:v>12</x:v>
      </x:c>
      <x:c r="K244" s="22" t="n">
        <x:v>1076</x:v>
      </x:c>
      <x:c r="L244" s="21" t="str">
        <x:v>H3318</x:v>
      </x:c>
      <x:c r="M244" s="21" t="str">
        <x:v>verb</x:v>
      </x:c>
      <x:c r="N244" s="21" t="str">
        <x:v>否</x:v>
      </x:c>
      <x:c r="O244" s="21" t="str"/>
      <x:c r="P244" s="21" t="str">
        <x:v>source_and_lexicon_matched</x:v>
      </x:c>
      <x:c r="Q244" s="21" t="str">
        <x:v>rule_generated_exception_review</x:v>
      </x:c>
      <x:c r="R244" s="20" t="str">
        <x:v>https://hebrewsyntax.org/bbh2new/</x:v>
      </x:c>
    </x:row>
    <x:row r="245" ht="28" customHeight="1">
      <x:c r="A245" s="21" t="n">
        <x:v>241</x:v>
      </x:c>
      <x:c r="B245" s="21" t="n">
        <x:f>ROUNDUP(A245/20,0)</x:f>
        <x:v>13</x:v>
      </x:c>
      <x:c r="C245" s="21" t="n">
        <x:f>MOD(A245-1,20)+1</x:f>
        <x:v>1</x:v>
      </x:c>
      <x:c r="D245" s="18" t="str">
        <x:v>יָשַׁב</x:v>
      </x:c>
      <x:c r="E245" s="19" t="str">
        <x:v>yāšaḇ</x:v>
      </x:c>
      <x:c r="F245" s="16" t="str">
        <x:v>ישב</x:v>
      </x:c>
      <x:c r="G245" s="20" t="str">
        <x:v>to sit (down), remain, dwell, inhabit</x:v>
      </x:c>
      <x:c r="H245" s="20" t="str"/>
      <x:c r="I245" s="21" t="str">
        <x:v>BBH2 課序</x:v>
      </x:c>
      <x:c r="J245" s="21" t="n">
        <x:v>12</x:v>
      </x:c>
      <x:c r="K245" s="22" t="n">
        <x:v>1092</x:v>
      </x:c>
      <x:c r="L245" s="21" t="str">
        <x:v>H3427</x:v>
      </x:c>
      <x:c r="M245" s="21" t="str">
        <x:v>verb</x:v>
      </x:c>
      <x:c r="N245" s="21" t="str">
        <x:v>否</x:v>
      </x:c>
      <x:c r="O245" s="21" t="str"/>
      <x:c r="P245" s="21" t="str">
        <x:v>source_and_lexicon_matched</x:v>
      </x:c>
      <x:c r="Q245" s="21" t="str">
        <x:v>rule_generated_exception_review</x:v>
      </x:c>
      <x:c r="R245" s="20" t="str">
        <x:v>https://hebrewsyntax.org/bbh2new/</x:v>
      </x:c>
    </x:row>
    <x:row r="246" ht="28" customHeight="1">
      <x:c r="A246" s="21" t="n">
        <x:v>242</x:v>
      </x:c>
      <x:c r="B246" s="21" t="n">
        <x:f>ROUNDUP(A246/20,0)</x:f>
        <x:v>13</x:v>
      </x:c>
      <x:c r="C246" s="21" t="n">
        <x:f>MOD(A246-1,20)+1</x:f>
        <x:v>2</x:v>
      </x:c>
      <x:c r="D246" s="18" t="str">
        <x:v>נָתַן</x:v>
      </x:c>
      <x:c r="E246" s="19" t="str">
        <x:v>nāṯan</x:v>
      </x:c>
      <x:c r="F246" s="16" t="str">
        <x:v>נתן</x:v>
      </x:c>
      <x:c r="G246" s="20" t="str">
        <x:v>to give, put, set</x:v>
      </x:c>
      <x:c r="H246" s="20" t="str"/>
      <x:c r="I246" s="21" t="str">
        <x:v>BBH2 課序</x:v>
      </x:c>
      <x:c r="J246" s="21" t="n">
        <x:v>12</x:v>
      </x:c>
      <x:c r="K246" s="22" t="n">
        <x:v>2015</x:v>
      </x:c>
      <x:c r="L246" s="21" t="str">
        <x:v>H5414</x:v>
      </x:c>
      <x:c r="M246" s="21" t="str">
        <x:v>verb</x:v>
      </x:c>
      <x:c r="N246" s="21" t="str">
        <x:v>否</x:v>
      </x:c>
      <x:c r="O246" s="21" t="str"/>
      <x:c r="P246" s="21" t="str">
        <x:v>source_and_lexicon_matched</x:v>
      </x:c>
      <x:c r="Q246" s="21" t="str">
        <x:v>rule_generated_exception_review</x:v>
      </x:c>
      <x:c r="R246" s="20" t="str">
        <x:v>https://hebrewsyntax.org/bbh2new/</x:v>
      </x:c>
    </x:row>
    <x:row r="247" ht="28" customHeight="1">
      <x:c r="A247" s="21" t="n">
        <x:v>243</x:v>
      </x:c>
      <x:c r="B247" s="21" t="n">
        <x:f>ROUNDUP(A247/20,0)</x:f>
        <x:v>13</x:v>
      </x:c>
      <x:c r="C247" s="21" t="n">
        <x:f>MOD(A247-1,20)+1</x:f>
        <x:v>3</x:v>
      </x:c>
      <x:c r="D247" s="18" t="str">
        <x:v>עָשָׂה</x:v>
      </x:c>
      <x:c r="E247" s="19" t="str">
        <x:v>ʿāśâ</x:v>
      </x:c>
      <x:c r="F247" s="16" t="str">
        <x:v>עשה</x:v>
      </x:c>
      <x:c r="G247" s="20" t="str">
        <x:v>to do, make, create</x:v>
      </x:c>
      <x:c r="H247" s="20" t="str"/>
      <x:c r="I247" s="21" t="str">
        <x:v>BBH2 課序</x:v>
      </x:c>
      <x:c r="J247" s="21" t="n">
        <x:v>12</x:v>
      </x:c>
      <x:c r="K247" s="22" t="n">
        <x:v>2640</x:v>
      </x:c>
      <x:c r="L247" s="21" t="str">
        <x:v>H6213</x:v>
      </x:c>
      <x:c r="M247" s="21" t="str">
        <x:v>verb</x:v>
      </x:c>
      <x:c r="N247" s="21" t="str">
        <x:v>否</x:v>
      </x:c>
      <x:c r="O247" s="21" t="str"/>
      <x:c r="P247" s="21" t="str">
        <x:v>source_and_lexicon_matched</x:v>
      </x:c>
      <x:c r="Q247" s="21" t="str">
        <x:v>rule_generated_exception_review</x:v>
      </x:c>
      <x:c r="R247" s="20" t="str">
        <x:v>https://hebrewsyntax.org/bbh2new/</x:v>
      </x:c>
    </x:row>
    <x:row r="248" ht="28" customHeight="1">
      <x:c r="A248" s="21" t="n">
        <x:v>244</x:v>
      </x:c>
      <x:c r="B248" s="21" t="n">
        <x:f>ROUNDUP(A248/20,0)</x:f>
        <x:v>13</x:v>
      </x:c>
      <x:c r="C248" s="21" t="n">
        <x:f>MOD(A248-1,20)+1</x:f>
        <x:v>4</x:v>
      </x:c>
      <x:c r="D248" s="18" t="str">
        <x:v>רָאָה</x:v>
      </x:c>
      <x:c r="E248" s="19" t="str">
        <x:v>rāʾâ</x:v>
      </x:c>
      <x:c r="F248" s="16" t="str">
        <x:v>ראה</x:v>
      </x:c>
      <x:c r="G248" s="20" t="str">
        <x:v>to see, perceive, understand</x:v>
      </x:c>
      <x:c r="H248" s="20" t="str"/>
      <x:c r="I248" s="21" t="str">
        <x:v>BBH2 課序</x:v>
      </x:c>
      <x:c r="J248" s="21" t="n">
        <x:v>12</x:v>
      </x:c>
      <x:c r="K248" s="22" t="n">
        <x:v>1314</x:v>
      </x:c>
      <x:c r="L248" s="21" t="str">
        <x:v>H7200</x:v>
      </x:c>
      <x:c r="M248" s="21" t="str">
        <x:v>verb</x:v>
      </x:c>
      <x:c r="N248" s="21" t="str">
        <x:v>否</x:v>
      </x:c>
      <x:c r="O248" s="21" t="str"/>
      <x:c r="P248" s="21" t="str">
        <x:v>source_and_lexicon_matched</x:v>
      </x:c>
      <x:c r="Q248" s="21" t="str">
        <x:v>rule_generated_exception_review</x:v>
      </x:c>
      <x:c r="R248" s="20" t="str">
        <x:v>https://hebrewsyntax.org/bbh2new/</x:v>
      </x:c>
    </x:row>
    <x:row r="249" ht="28" customHeight="1">
      <x:c r="A249" s="21" t="n">
        <x:v>245</x:v>
      </x:c>
      <x:c r="B249" s="21" t="n">
        <x:f>ROUNDUP(A249/20,0)</x:f>
        <x:v>13</x:v>
      </x:c>
      <x:c r="C249" s="21" t="n">
        <x:f>MOD(A249-1,20)+1</x:f>
        <x:v>5</x:v>
      </x:c>
      <x:c r="D249" s="18" t="str">
        <x:v>שָׁבַת</x:v>
      </x:c>
      <x:c r="E249" s="19" t="str">
        <x:v>šāḇaṯ</x:v>
      </x:c>
      <x:c r="F249" s="16" t="str">
        <x:v>שבת</x:v>
      </x:c>
      <x:c r="G249" s="20" t="str">
        <x:v>to stop, cease, rest</x:v>
      </x:c>
      <x:c r="H249" s="20" t="str"/>
      <x:c r="I249" s="21" t="str">
        <x:v>BBH2 課序</x:v>
      </x:c>
      <x:c r="J249" s="21" t="n">
        <x:v>12</x:v>
      </x:c>
      <x:c r="K249" s="22" t="n">
        <x:v>71</x:v>
      </x:c>
      <x:c r="L249" s="21" t="str">
        <x:v>H7673</x:v>
      </x:c>
      <x:c r="M249" s="21" t="str">
        <x:v>verb</x:v>
      </x:c>
      <x:c r="N249" s="21" t="str">
        <x:v>否</x:v>
      </x:c>
      <x:c r="O249" s="21" t="str"/>
      <x:c r="P249" s="21" t="str">
        <x:v>source_and_lexicon_matched</x:v>
      </x:c>
      <x:c r="Q249" s="21" t="str">
        <x:v>rule_generated_exception_review</x:v>
      </x:c>
      <x:c r="R249" s="20" t="str">
        <x:v>https://hebrewsyntax.org/bbh2new/</x:v>
      </x:c>
    </x:row>
    <x:row r="250" ht="28" customHeight="1">
      <x:c r="A250" s="21" t="n">
        <x:v>246</x:v>
      </x:c>
      <x:c r="B250" s="21" t="n">
        <x:f>ROUNDUP(A250/20,0)</x:f>
        <x:v>13</x:v>
      </x:c>
      <x:c r="C250" s="21" t="n">
        <x:f>MOD(A250-1,20)+1</x:f>
        <x:v>6</x:v>
      </x:c>
      <x:c r="D250" s="18" t="str">
        <x:v>שָׁמַע</x:v>
      </x:c>
      <x:c r="E250" s="19" t="str">
        <x:v>šāmaʿ</x:v>
      </x:c>
      <x:c r="F250" s="16" t="str">
        <x:v>שמע</x:v>
      </x:c>
      <x:c r="G250" s="20" t="str">
        <x:v>to hear, listen to, understand, obey</x:v>
      </x:c>
      <x:c r="H250" s="20" t="str"/>
      <x:c r="I250" s="21" t="str">
        <x:v>BBH2 課序</x:v>
      </x:c>
      <x:c r="J250" s="21" t="n">
        <x:v>12</x:v>
      </x:c>
      <x:c r="K250" s="22" t="n">
        <x:v>1165</x:v>
      </x:c>
      <x:c r="L250" s="21" t="str">
        <x:v>H8085</x:v>
      </x:c>
      <x:c r="M250" s="21" t="str">
        <x:v>verb</x:v>
      </x:c>
      <x:c r="N250" s="21" t="str">
        <x:v>否</x:v>
      </x:c>
      <x:c r="O250" s="21" t="str"/>
      <x:c r="P250" s="21" t="str">
        <x:v>source_and_lexicon_matched</x:v>
      </x:c>
      <x:c r="Q250" s="21" t="str">
        <x:v>rule_generated_exception_review</x:v>
      </x:c>
      <x:c r="R250" s="20" t="str">
        <x:v>https://hebrewsyntax.org/bbh2new/</x:v>
      </x:c>
    </x:row>
    <x:row r="251" ht="28" customHeight="1">
      <x:c r="A251" s="21" t="n">
        <x:v>247</x:v>
      </x:c>
      <x:c r="B251" s="21" t="n">
        <x:f>ROUNDUP(A251/20,0)</x:f>
        <x:v>13</x:v>
      </x:c>
      <x:c r="C251" s="21" t="n">
        <x:f>MOD(A251-1,20)+1</x:f>
        <x:v>7</x:v>
      </x:c>
      <x:c r="D251" s="18" t="str">
        <x:v>אֲרוֹן</x:v>
      </x:c>
      <x:c r="E251" s="19" t="str">
        <x:v>ʾărôn</x:v>
      </x:c>
      <x:c r="F251" s="16" t="str">
        <x:v>ארון</x:v>
      </x:c>
      <x:c r="G251" s="20" t="str">
        <x:v>ark, chest, coffin</x:v>
      </x:c>
      <x:c r="H251" s="20" t="str"/>
      <x:c r="I251" s="21" t="str">
        <x:v>BBH2 課序</x:v>
      </x:c>
      <x:c r="J251" s="21" t="n">
        <x:v>12</x:v>
      </x:c>
      <x:c r="K251" s="22" t="n">
        <x:v>202</x:v>
      </x:c>
      <x:c r="L251" s="21" t="str">
        <x:v>H727</x:v>
      </x:c>
      <x:c r="M251" s="21" t="str">
        <x:v>noun</x:v>
      </x:c>
      <x:c r="N251" s="21" t="str">
        <x:v>否</x:v>
      </x:c>
      <x:c r="O251" s="21" t="str"/>
      <x:c r="P251" s="21" t="str">
        <x:v>source_and_lexicon_matched</x:v>
      </x:c>
      <x:c r="Q251" s="21" t="str">
        <x:v>rule_generated_exception_review</x:v>
      </x:c>
      <x:c r="R251" s="20" t="str">
        <x:v>https://hebrewsyntax.org/bbh2new/</x:v>
      </x:c>
    </x:row>
    <x:row r="252" ht="28" customHeight="1">
      <x:c r="A252" s="21" t="n">
        <x:v>248</x:v>
      </x:c>
      <x:c r="B252" s="21" t="n">
        <x:f>ROUNDUP(A252/20,0)</x:f>
        <x:v>13</x:v>
      </x:c>
      <x:c r="C252" s="21" t="n">
        <x:f>MOD(A252-1,20)+1</x:f>
        <x:v>8</x:v>
      </x:c>
      <x:c r="D252" s="18" t="str">
        <x:v>מִנְחָה</x:v>
      </x:c>
      <x:c r="E252" s="19" t="str">
        <x:v>minḥâ</x:v>
      </x:c>
      <x:c r="F252" s="16" t="str">
        <x:v>מנחה</x:v>
      </x:c>
      <x:c r="G252" s="20" t="str">
        <x:v>gift, offering, tribute</x:v>
      </x:c>
      <x:c r="H252" s="20" t="str"/>
      <x:c r="I252" s="21" t="str">
        <x:v>BBH2 課序</x:v>
      </x:c>
      <x:c r="J252" s="21" t="n">
        <x:v>12</x:v>
      </x:c>
      <x:c r="K252" s="22" t="n">
        <x:v>211</x:v>
      </x:c>
      <x:c r="L252" s="21" t="str">
        <x:v>H4503</x:v>
      </x:c>
      <x:c r="M252" s="21" t="str">
        <x:v>noun</x:v>
      </x:c>
      <x:c r="N252" s="21" t="str">
        <x:v>否</x:v>
      </x:c>
      <x:c r="O252" s="21" t="str"/>
      <x:c r="P252" s="21" t="str">
        <x:v>source_and_lexicon_matched</x:v>
      </x:c>
      <x:c r="Q252" s="21" t="str">
        <x:v>rule_generated_exception_review</x:v>
      </x:c>
      <x:c r="R252" s="20" t="str">
        <x:v>https://hebrewsyntax.org/bbh2new/</x:v>
      </x:c>
    </x:row>
    <x:row r="253" ht="28" customHeight="1">
      <x:c r="A253" s="21" t="n">
        <x:v>249</x:v>
      </x:c>
      <x:c r="B253" s="21" t="n">
        <x:f>ROUNDUP(A253/20,0)</x:f>
        <x:v>13</x:v>
      </x:c>
      <x:c r="C253" s="21" t="n">
        <x:f>MOD(A253-1,20)+1</x:f>
        <x:v>9</x:v>
      </x:c>
      <x:c r="D253" s="18" t="str">
        <x:v>שַׁבָּת</x:v>
      </x:c>
      <x:c r="E253" s="19" t="str">
        <x:v>šabbāṯ</x:v>
      </x:c>
      <x:c r="F253" s="16" t="str">
        <x:v>שבת</x:v>
      </x:c>
      <x:c r="G253" s="20" t="str">
        <x:v>Sabbath, period of rest</x:v>
      </x:c>
      <x:c r="H253" s="20" t="str"/>
      <x:c r="I253" s="21" t="str">
        <x:v>BBH2 課序</x:v>
      </x:c>
      <x:c r="J253" s="21" t="n">
        <x:v>12</x:v>
      </x:c>
      <x:c r="K253" s="22" t="n">
        <x:v>111</x:v>
      </x:c>
      <x:c r="L253" s="21" t="str">
        <x:v>H7676</x:v>
      </x:c>
      <x:c r="M253" s="21" t="str">
        <x:v>noun</x:v>
      </x:c>
      <x:c r="N253" s="21" t="str">
        <x:v>是</x:v>
      </x:c>
      <x:c r="O253" s="21" t="str">
        <x:v>專名</x:v>
      </x:c>
      <x:c r="P253" s="21" t="str">
        <x:v>source_and_lexicon_matched</x:v>
      </x:c>
      <x:c r="Q253" s="21" t="str">
        <x:v>rule_generated_exception_review</x:v>
      </x:c>
      <x:c r="R253" s="20" t="str">
        <x:v>https://hebrewsyntax.org/bbh2new/</x:v>
      </x:c>
    </x:row>
    <x:row r="254" ht="28" customHeight="1">
      <x:c r="A254" s="21" t="n">
        <x:v>250</x:v>
      </x:c>
      <x:c r="B254" s="21" t="n">
        <x:f>ROUNDUP(A254/20,0)</x:f>
        <x:v>13</x:v>
      </x:c>
      <x:c r="C254" s="21" t="n">
        <x:f>MOD(A254-1,20)+1</x:f>
        <x:v>10</x:v>
      </x:c>
      <x:c r="D254" s="18" t="str">
        <x:v>אַךְ</x:v>
      </x:c>
      <x:c r="E254" s="19" t="str">
        <x:v>ʾaḵ</x:v>
      </x:c>
      <x:c r="F254" s="16" t="str">
        <x:v>אך</x:v>
      </x:c>
      <x:c r="G254" s="20" t="str">
        <x:v>only, surely, nevertheless</x:v>
      </x:c>
      <x:c r="H254" s="20" t="str"/>
      <x:c r="I254" s="21" t="str">
        <x:v>BBH2 課序</x:v>
      </x:c>
      <x:c r="J254" s="21" t="n">
        <x:v>12</x:v>
      </x:c>
      <x:c r="K254" s="22" t="n">
        <x:v>161</x:v>
      </x:c>
      <x:c r="L254" s="21" t="str">
        <x:v>H389</x:v>
      </x:c>
      <x:c r="M254" s="21" t="str">
        <x:v>particle</x:v>
      </x:c>
      <x:c r="N254" s="21" t="str">
        <x:v>否</x:v>
      </x:c>
      <x:c r="O254" s="21" t="str"/>
      <x:c r="P254" s="21" t="str">
        <x:v>source_and_lexicon_matched</x:v>
      </x:c>
      <x:c r="Q254" s="21" t="str">
        <x:v>rule_generated_exception_review</x:v>
      </x:c>
      <x:c r="R254" s="20" t="str">
        <x:v>https://hebrewsyntax.org/bbh2new/</x:v>
      </x:c>
    </x:row>
    <x:row r="255" ht="28" customHeight="1">
      <x:c r="A255" s="21" t="n">
        <x:v>251</x:v>
      </x:c>
      <x:c r="B255" s="21" t="n">
        <x:f>ROUNDUP(A255/20,0)</x:f>
        <x:v>13</x:v>
      </x:c>
      <x:c r="C255" s="21" t="n">
        <x:f>MOD(A255-1,20)+1</x:f>
        <x:v>11</x:v>
      </x:c>
      <x:c r="D255" s="18" t="str">
        <x:v>אַל</x:v>
      </x:c>
      <x:c r="E255" s="19" t="str">
        <x:v>ʾal</x:v>
      </x:c>
      <x:c r="F255" s="16" t="str">
        <x:v>אל</x:v>
      </x:c>
      <x:c r="G255" s="20" t="str">
        <x:v>no, not</x:v>
      </x:c>
      <x:c r="H255" s="20" t="str"/>
      <x:c r="I255" s="21" t="str">
        <x:v>BBH2 課序</x:v>
      </x:c>
      <x:c r="J255" s="21" t="n">
        <x:v>12</x:v>
      </x:c>
      <x:c r="K255" s="22" t="n">
        <x:v>725</x:v>
      </x:c>
      <x:c r="L255" s="21" t="str">
        <x:v>H408</x:v>
      </x:c>
      <x:c r="M255" s="21" t="str">
        <x:v>particle</x:v>
      </x:c>
      <x:c r="N255" s="21" t="str">
        <x:v>否</x:v>
      </x:c>
      <x:c r="O255" s="21" t="str"/>
      <x:c r="P255" s="21" t="str">
        <x:v>source_and_lexicon_matched</x:v>
      </x:c>
      <x:c r="Q255" s="21" t="str">
        <x:v>rule_generated_exception_review</x:v>
      </x:c>
      <x:c r="R255" s="20" t="str">
        <x:v>https://hebrewsyntax.org/bbh2new/</x:v>
      </x:c>
    </x:row>
    <x:row r="256" ht="28" customHeight="1">
      <x:c r="A256" s="21" t="n">
        <x:v>252</x:v>
      </x:c>
      <x:c r="B256" s="21" t="n">
        <x:f>ROUNDUP(A256/20,0)</x:f>
        <x:v>13</x:v>
      </x:c>
      <x:c r="C256" s="21" t="n">
        <x:f>MOD(A256-1,20)+1</x:f>
        <x:v>12</x:v>
      </x:c>
      <x:c r="D256" s="18" t="str">
        <x:v>אִם</x:v>
      </x:c>
      <x:c r="E256" s="19" t="str">
        <x:v>ʾim</x:v>
      </x:c>
      <x:c r="F256" s="16" t="str">
        <x:v>אם</x:v>
      </x:c>
      <x:c r="G256" s="20" t="str">
        <x:v>if</x:v>
      </x:c>
      <x:c r="H256" s="20" t="str"/>
      <x:c r="I256" s="21" t="str">
        <x:v>BBH2 課序</x:v>
      </x:c>
      <x:c r="J256" s="21" t="n">
        <x:v>12</x:v>
      </x:c>
      <x:c r="K256" s="22" t="n">
        <x:v>1070</x:v>
      </x:c>
      <x:c r="L256" s="21" t="str">
        <x:v>H518</x:v>
      </x:c>
      <x:c r="M256" s="21" t="str">
        <x:v>conjunction</x:v>
      </x:c>
      <x:c r="N256" s="21" t="str">
        <x:v>否</x:v>
      </x:c>
      <x:c r="O256" s="21" t="str"/>
      <x:c r="P256" s="21" t="str">
        <x:v>source_and_lexicon_matched</x:v>
      </x:c>
      <x:c r="Q256" s="21" t="str">
        <x:v>rule_generated_exception_review</x:v>
      </x:c>
      <x:c r="R256" s="20" t="str">
        <x:v>https://hebrewsyntax.org/bbh2new/</x:v>
      </x:c>
    </x:row>
    <x:row r="257" ht="28" customHeight="1">
      <x:c r="A257" s="21" t="n">
        <x:v>253</x:v>
      </x:c>
      <x:c r="B257" s="21" t="n">
        <x:f>ROUNDUP(A257/20,0)</x:f>
        <x:v>13</x:v>
      </x:c>
      <x:c r="C257" s="21" t="n">
        <x:f>MOD(A257-1,20)+1</x:f>
        <x:v>13</x:v>
      </x:c>
      <x:c r="D257" s="18" t="str">
        <x:v>לֹא</x:v>
      </x:c>
      <x:c r="E257" s="19" t="str">
        <x:v>lōʾ</x:v>
      </x:c>
      <x:c r="F257" s="16" t="str">
        <x:v>לא</x:v>
      </x:c>
      <x:c r="G257" s="20" t="str">
        <x:v>no, not</x:v>
      </x:c>
      <x:c r="H257" s="20" t="str"/>
      <x:c r="I257" s="21" t="str">
        <x:v>BBH2 課序</x:v>
      </x:c>
      <x:c r="J257" s="21" t="n">
        <x:v>12</x:v>
      </x:c>
      <x:c r="K257" s="22" t="n">
        <x:v>5191</x:v>
      </x:c>
      <x:c r="L257" s="21" t="str">
        <x:v>H3808</x:v>
      </x:c>
      <x:c r="M257" s="21" t="str">
        <x:v>particle</x:v>
      </x:c>
      <x:c r="N257" s="21" t="str">
        <x:v>否</x:v>
      </x:c>
      <x:c r="O257" s="21" t="str"/>
      <x:c r="P257" s="21" t="str">
        <x:v>source_and_lexicon_matched</x:v>
      </x:c>
      <x:c r="Q257" s="21" t="str">
        <x:v>rule_generated_exception_review</x:v>
      </x:c>
      <x:c r="R257" s="20" t="str">
        <x:v>https://hebrewsyntax.org/bbh2new/</x:v>
      </x:c>
    </x:row>
    <x:row r="258" ht="28" customHeight="1">
      <x:c r="A258" s="21" t="n">
        <x:v>254</x:v>
      </x:c>
      <x:c r="B258" s="21" t="n">
        <x:f>ROUNDUP(A258/20,0)</x:f>
        <x:v>13</x:v>
      </x:c>
      <x:c r="C258" s="21" t="n">
        <x:f>MOD(A258-1,20)+1</x:f>
        <x:v>14</x:v>
      </x:c>
      <x:c r="D258" s="18" t="str">
        <x:v>בָּרַךְ</x:v>
      </x:c>
      <x:c r="E258" s="19" t="str">
        <x:v>bāraḵ</x:v>
      </x:c>
      <x:c r="F258" s="16" t="str">
        <x:v>ברך</x:v>
      </x:c>
      <x:c r="G258" s="20" t="str">
        <x:v>to bless</x:v>
      </x:c>
      <x:c r="H258" s="20" t="str"/>
      <x:c r="I258" s="21" t="str">
        <x:v>BBH2 課序</x:v>
      </x:c>
      <x:c r="J258" s="21" t="n">
        <x:v>13</x:v>
      </x:c>
      <x:c r="K258" s="22" t="n">
        <x:v>330</x:v>
      </x:c>
      <x:c r="L258" s="21" t="str">
        <x:v>H1288</x:v>
      </x:c>
      <x:c r="M258" s="21" t="str">
        <x:v>verb</x:v>
      </x:c>
      <x:c r="N258" s="21" t="str">
        <x:v>否</x:v>
      </x:c>
      <x:c r="O258" s="21" t="str"/>
      <x:c r="P258" s="21" t="str">
        <x:v>source_and_lexicon_matched</x:v>
      </x:c>
      <x:c r="Q258" s="21" t="str">
        <x:v>rule_generated_exception_review</x:v>
      </x:c>
      <x:c r="R258" s="20" t="str">
        <x:v>https://hebrewsyntax.org/bbh2new/</x:v>
      </x:c>
    </x:row>
    <x:row r="259" ht="28" customHeight="1">
      <x:c r="A259" s="21" t="n">
        <x:v>255</x:v>
      </x:c>
      <x:c r="B259" s="21" t="n">
        <x:f>ROUNDUP(A259/20,0)</x:f>
        <x:v>13</x:v>
      </x:c>
      <x:c r="C259" s="21" t="n">
        <x:f>MOD(A259-1,20)+1</x:f>
        <x:v>15</x:v>
      </x:c>
      <x:c r="D259" s="18" t="str">
        <x:v>זָכַר</x:v>
      </x:c>
      <x:c r="E259" s="19" t="str">
        <x:v>zāḵar</x:v>
      </x:c>
      <x:c r="F259" s="16" t="str">
        <x:v>זכר</x:v>
      </x:c>
      <x:c r="G259" s="20" t="str">
        <x:v>to remember, recall, call to mind, mention</x:v>
      </x:c>
      <x:c r="H259" s="20" t="str"/>
      <x:c r="I259" s="21" t="str">
        <x:v>BBH2 課序</x:v>
      </x:c>
      <x:c r="J259" s="21" t="n">
        <x:v>13</x:v>
      </x:c>
      <x:c r="K259" s="22" t="n">
        <x:v>235</x:v>
      </x:c>
      <x:c r="L259" s="21" t="str">
        <x:v>H2142</x:v>
      </x:c>
      <x:c r="M259" s="21" t="str">
        <x:v>verb</x:v>
      </x:c>
      <x:c r="N259" s="21" t="str">
        <x:v>否</x:v>
      </x:c>
      <x:c r="O259" s="21" t="str"/>
      <x:c r="P259" s="21" t="str">
        <x:v>source_and_lexicon_matched</x:v>
      </x:c>
      <x:c r="Q259" s="21" t="str">
        <x:v>rule_generated_exception_review</x:v>
      </x:c>
      <x:c r="R259" s="20" t="str">
        <x:v>https://hebrewsyntax.org/bbh2new/</x:v>
      </x:c>
    </x:row>
    <x:row r="260" ht="28" customHeight="1">
      <x:c r="A260" s="21" t="n">
        <x:v>256</x:v>
      </x:c>
      <x:c r="B260" s="21" t="n">
        <x:f>ROUNDUP(A260/20,0)</x:f>
        <x:v>13</x:v>
      </x:c>
      <x:c r="C260" s="21" t="n">
        <x:f>MOD(A260-1,20)+1</x:f>
        <x:v>16</x:v>
      </x:c>
      <x:c r="D260" s="18" t="str">
        <x:v>זָקֵן</x:v>
      </x:c>
      <x:c r="E260" s="19" t="str">
        <x:v>zāqēn</x:v>
      </x:c>
      <x:c r="F260" s="16" t="str">
        <x:v>זקן</x:v>
      </x:c>
      <x:c r="G260" s="20" t="str">
        <x:v>to be(come) old; [ch7: adjective ‘old’; noun ‘elder’]</x:v>
      </x:c>
      <x:c r="H260" s="20" t="str"/>
      <x:c r="I260" s="21" t="str">
        <x:v>BBH2 課序</x:v>
      </x:c>
      <x:c r="J260" s="21" t="n">
        <x:v>13</x:v>
      </x:c>
      <x:c r="K260" s="22" t="n">
        <x:v>27</x:v>
      </x:c>
      <x:c r="L260" s="21" t="str">
        <x:v>H2204</x:v>
      </x:c>
      <x:c r="M260" s="21" t="str">
        <x:v>verb</x:v>
      </x:c>
      <x:c r="N260" s="21" t="str">
        <x:v>否</x:v>
      </x:c>
      <x:c r="O260" s="21" t="str"/>
      <x:c r="P260" s="21" t="str">
        <x:v>source_and_lexicon_matched</x:v>
      </x:c>
      <x:c r="Q260" s="21" t="str">
        <x:v>rule_generated_exception_review</x:v>
      </x:c>
      <x:c r="R260" s="20" t="str">
        <x:v>https://hebrewsyntax.org/bbh2new/</x:v>
      </x:c>
    </x:row>
    <x:row r="261" ht="28" customHeight="1">
      <x:c r="A261" s="21" t="n">
        <x:v>257</x:v>
      </x:c>
      <x:c r="B261" s="21" t="n">
        <x:f>ROUNDUP(A261/20,0)</x:f>
        <x:v>13</x:v>
      </x:c>
      <x:c r="C261" s="21" t="n">
        <x:f>MOD(A261-1,20)+1</x:f>
        <x:v>17</x:v>
      </x:c>
      <x:c r="D261" s="18" t="str">
        <x:v>חָזַק</x:v>
      </x:c>
      <x:c r="E261" s="19" t="str">
        <x:v>ḥāzaq</x:v>
      </x:c>
      <x:c r="F261" s="16" t="str">
        <x:v>חזק</x:v>
      </x:c>
      <x:c r="G261" s="20" t="str">
        <x:v>to be(come) strong, grow firm, have courage</x:v>
      </x:c>
      <x:c r="H261" s="20" t="str"/>
      <x:c r="I261" s="21" t="str">
        <x:v>BBH2 課序</x:v>
      </x:c>
      <x:c r="J261" s="21" t="n">
        <x:v>13</x:v>
      </x:c>
      <x:c r="K261" s="22" t="n">
        <x:v>290</x:v>
      </x:c>
      <x:c r="L261" s="21" t="str">
        <x:v>H2388</x:v>
      </x:c>
      <x:c r="M261" s="21" t="str">
        <x:v>verb</x:v>
      </x:c>
      <x:c r="N261" s="21" t="str">
        <x:v>否</x:v>
      </x:c>
      <x:c r="O261" s="21" t="str"/>
      <x:c r="P261" s="21" t="str">
        <x:v>source_and_lexicon_matched</x:v>
      </x:c>
      <x:c r="Q261" s="21" t="str">
        <x:v>rule_generated_exception_review</x:v>
      </x:c>
      <x:c r="R261" s="20" t="str">
        <x:v>https://hebrewsyntax.org/bbh2new/</x:v>
      </x:c>
    </x:row>
    <x:row r="262" ht="28" customHeight="1">
      <x:c r="A262" s="21" t="n">
        <x:v>258</x:v>
      </x:c>
      <x:c r="B262" s="21" t="n">
        <x:f>ROUNDUP(A262/20,0)</x:f>
        <x:v>13</x:v>
      </x:c>
      <x:c r="C262" s="21" t="n">
        <x:f>MOD(A262-1,20)+1</x:f>
        <x:v>18</x:v>
      </x:c>
      <x:c r="D262" s="18" t="str">
        <x:v>יָדַע</x:v>
      </x:c>
      <x:c r="E262" s="19" t="str">
        <x:v>yāḏaʿ</x:v>
      </x:c>
      <x:c r="F262" s="16" t="str">
        <x:v>ידע</x:v>
      </x:c>
      <x:c r="G262" s="20" t="str">
        <x:v>to know, know sexually, have understanding</x:v>
      </x:c>
      <x:c r="H262" s="20" t="str"/>
      <x:c r="I262" s="21" t="str">
        <x:v>BBH2 課序</x:v>
      </x:c>
      <x:c r="J262" s="21" t="n">
        <x:v>13</x:v>
      </x:c>
      <x:c r="K262" s="22" t="n">
        <x:v>953</x:v>
      </x:c>
      <x:c r="L262" s="21" t="str">
        <x:v>H3045</x:v>
      </x:c>
      <x:c r="M262" s="21" t="str">
        <x:v>verb</x:v>
      </x:c>
      <x:c r="N262" s="21" t="str">
        <x:v>否</x:v>
      </x:c>
      <x:c r="O262" s="21" t="str"/>
      <x:c r="P262" s="21" t="str">
        <x:v>source_and_lexicon_matched</x:v>
      </x:c>
      <x:c r="Q262" s="21" t="str">
        <x:v>rule_generated_exception_review</x:v>
      </x:c>
      <x:c r="R262" s="20" t="str">
        <x:v>https://hebrewsyntax.org/bbh2new/</x:v>
      </x:c>
    </x:row>
    <x:row r="263" ht="28" customHeight="1">
      <x:c r="A263" s="21" t="n">
        <x:v>259</x:v>
      </x:c>
      <x:c r="B263" s="21" t="n">
        <x:f>ROUNDUP(A263/20,0)</x:f>
        <x:v>13</x:v>
      </x:c>
      <x:c r="C263" s="21" t="n">
        <x:f>MOD(A263-1,20)+1</x:f>
        <x:v>19</x:v>
      </x:c>
      <x:c r="D263" s="18" t="str">
        <x:v>כָּבֵד</x:v>
      </x:c>
      <x:c r="E263" s="19" t="str">
        <x:v>kāḇēḏ</x:v>
      </x:c>
      <x:c r="F263" s="16" t="str">
        <x:v>כבד</x:v>
      </x:c>
      <x:c r="G263" s="20" t="str">
        <x:v>to be heavy, be honored</x:v>
      </x:c>
      <x:c r="H263" s="20" t="str"/>
      <x:c r="I263" s="21" t="str">
        <x:v>BBH2 課序</x:v>
      </x:c>
      <x:c r="J263" s="21" t="n">
        <x:v>13</x:v>
      </x:c>
      <x:c r="K263" s="22" t="n">
        <x:v>116</x:v>
      </x:c>
      <x:c r="L263" s="21" t="str">
        <x:v>H3513</x:v>
      </x:c>
      <x:c r="M263" s="21" t="str">
        <x:v>verb</x:v>
      </x:c>
      <x:c r="N263" s="21" t="str">
        <x:v>否</x:v>
      </x:c>
      <x:c r="O263" s="21" t="str"/>
      <x:c r="P263" s="21" t="str">
        <x:v>source_and_lexicon_matched</x:v>
      </x:c>
      <x:c r="Q263" s="21" t="str">
        <x:v>rule_generated_exception_review</x:v>
      </x:c>
      <x:c r="R263" s="20" t="str">
        <x:v>https://hebrewsyntax.org/bbh2new/</x:v>
      </x:c>
    </x:row>
    <x:row r="264" ht="28" customHeight="1">
      <x:c r="A264" s="21" t="n">
        <x:v>260</x:v>
      </x:c>
      <x:c r="B264" s="21" t="n">
        <x:f>ROUNDUP(A264/20,0)</x:f>
        <x:v>13</x:v>
      </x:c>
      <x:c r="C264" s="21" t="n">
        <x:f>MOD(A264-1,20)+1</x:f>
        <x:v>20</x:v>
      </x:c>
      <x:c r="D264" s="18" t="str">
        <x:v>כָּתַב</x:v>
      </x:c>
      <x:c r="E264" s="19" t="str">
        <x:v>kāṯaḇ</x:v>
      </x:c>
      <x:c r="F264" s="16" t="str">
        <x:v>כתב</x:v>
      </x:c>
      <x:c r="G264" s="20" t="str">
        <x:v>to write (upon) register, record</x:v>
      </x:c>
      <x:c r="H264" s="20" t="str"/>
      <x:c r="I264" s="21" t="str">
        <x:v>BBH2 課序</x:v>
      </x:c>
      <x:c r="J264" s="21" t="n">
        <x:v>13</x:v>
      </x:c>
      <x:c r="K264" s="22" t="n">
        <x:v>227</x:v>
      </x:c>
      <x:c r="L264" s="21" t="str">
        <x:v>H3789</x:v>
      </x:c>
      <x:c r="M264" s="21" t="str">
        <x:v>verb</x:v>
      </x:c>
      <x:c r="N264" s="21" t="str">
        <x:v>否</x:v>
      </x:c>
      <x:c r="O264" s="21" t="str"/>
      <x:c r="P264" s="21" t="str">
        <x:v>source_and_lexicon_matched</x:v>
      </x:c>
      <x:c r="Q264" s="21" t="str">
        <x:v>rule_generated_exception_review</x:v>
      </x:c>
      <x:c r="R264" s="20" t="str">
        <x:v>https://hebrewsyntax.org/bbh2new/</x:v>
      </x:c>
    </x:row>
    <x:row r="265" ht="28" customHeight="1">
      <x:c r="A265" s="21" t="n">
        <x:v>261</x:v>
      </x:c>
      <x:c r="B265" s="21" t="n">
        <x:f>ROUNDUP(A265/20,0)</x:f>
        <x:v>14</x:v>
      </x:c>
      <x:c r="C265" s="21" t="n">
        <x:f>MOD(A265-1,20)+1</x:f>
        <x:v>1</x:v>
      </x:c>
      <x:c r="D265" s="18" t="str">
        <x:v>מָלֵא</x:v>
      </x:c>
      <x:c r="E265" s="19" t="str">
        <x:v>mālēʾ</x:v>
      </x:c>
      <x:c r="F265" s="16" t="str">
        <x:v>מלא</x:v>
      </x:c>
      <x:c r="G265" s="20" t="str">
        <x:v>to be full, fill</x:v>
      </x:c>
      <x:c r="H265" s="20" t="str"/>
      <x:c r="I265" s="21" t="str">
        <x:v>BBH2 課序</x:v>
      </x:c>
      <x:c r="J265" s="21" t="n">
        <x:v>13</x:v>
      </x:c>
      <x:c r="K265" s="22" t="n">
        <x:v>250</x:v>
      </x:c>
      <x:c r="L265" s="21" t="str">
        <x:v>H4390</x:v>
      </x:c>
      <x:c r="M265" s="21" t="str">
        <x:v>verb</x:v>
      </x:c>
      <x:c r="N265" s="21" t="str">
        <x:v>否</x:v>
      </x:c>
      <x:c r="O265" s="21" t="str"/>
      <x:c r="P265" s="21" t="str">
        <x:v>source_and_lexicon_matched</x:v>
      </x:c>
      <x:c r="Q265" s="21" t="str">
        <x:v>rule_generated_exception_review</x:v>
      </x:c>
      <x:c r="R265" s="20" t="str">
        <x:v>https://hebrewsyntax.org/bbh2new/</x:v>
      </x:c>
    </x:row>
    <x:row r="266" ht="28" customHeight="1">
      <x:c r="A266" s="21" t="n">
        <x:v>262</x:v>
      </x:c>
      <x:c r="B266" s="21" t="n">
        <x:f>ROUNDUP(A266/20,0)</x:f>
        <x:v>14</x:v>
      </x:c>
      <x:c r="C266" s="21" t="n">
        <x:f>MOD(A266-1,20)+1</x:f>
        <x:v>2</x:v>
      </x:c>
      <x:c r="D266" s="18" t="str">
        <x:v>מָלַךְ</x:v>
      </x:c>
      <x:c r="E266" s="19" t="str">
        <x:v>mālaḵ</x:v>
      </x:c>
      <x:c r="F266" s="16" t="str">
        <x:v>מלך</x:v>
      </x:c>
      <x:c r="G266" s="20" t="str">
        <x:v>to be(come) king or queen, reign, rule</x:v>
      </x:c>
      <x:c r="H266" s="20" t="str"/>
      <x:c r="I266" s="21" t="str">
        <x:v>BBH2 課序</x:v>
      </x:c>
      <x:c r="J266" s="21" t="n">
        <x:v>13</x:v>
      </x:c>
      <x:c r="K266" s="22" t="n">
        <x:v>351</x:v>
      </x:c>
      <x:c r="L266" s="21" t="str">
        <x:v>H4427</x:v>
      </x:c>
      <x:c r="M266" s="21" t="str">
        <x:v>verb</x:v>
      </x:c>
      <x:c r="N266" s="21" t="str">
        <x:v>否</x:v>
      </x:c>
      <x:c r="O266" s="21" t="str"/>
      <x:c r="P266" s="21" t="str">
        <x:v>source_and_lexicon_matched</x:v>
      </x:c>
      <x:c r="Q266" s="21" t="str">
        <x:v>rule_generated_exception_review</x:v>
      </x:c>
      <x:c r="R266" s="20" t="str">
        <x:v>https://hebrewsyntax.org/bbh2new/</x:v>
      </x:c>
    </x:row>
    <x:row r="267" ht="28" customHeight="1">
      <x:c r="A267" s="21" t="n">
        <x:v>263</x:v>
      </x:c>
      <x:c r="B267" s="21" t="n">
        <x:f>ROUNDUP(A267/20,0)</x:f>
        <x:v>14</x:v>
      </x:c>
      <x:c r="C267" s="21" t="n">
        <x:f>MOD(A267-1,20)+1</x:f>
        <x:v>3</x:v>
      </x:c>
      <x:c r="D267" s="18" t="str">
        <x:v>מָצָא</x:v>
      </x:c>
      <x:c r="E267" s="19" t="str">
        <x:v>māṣāʾ</x:v>
      </x:c>
      <x:c r="F267" s="16" t="str">
        <x:v>מצא</x:v>
      </x:c>
      <x:c r="G267" s="20" t="str">
        <x:v>to find (out), reach, obtain</x:v>
      </x:c>
      <x:c r="H267" s="20" t="str"/>
      <x:c r="I267" s="21" t="str">
        <x:v>BBH2 課序</x:v>
      </x:c>
      <x:c r="J267" s="21" t="n">
        <x:v>13</x:v>
      </x:c>
      <x:c r="K267" s="22" t="n">
        <x:v>457</x:v>
      </x:c>
      <x:c r="L267" s="21" t="str">
        <x:v>H4672</x:v>
      </x:c>
      <x:c r="M267" s="21" t="str">
        <x:v>verb</x:v>
      </x:c>
      <x:c r="N267" s="21" t="str">
        <x:v>否</x:v>
      </x:c>
      <x:c r="O267" s="21" t="str"/>
      <x:c r="P267" s="21" t="str">
        <x:v>source_and_lexicon_matched</x:v>
      </x:c>
      <x:c r="Q267" s="21" t="str">
        <x:v>rule_generated_exception_review</x:v>
      </x:c>
      <x:c r="R267" s="20" t="str">
        <x:v>https://hebrewsyntax.org/bbh2new/</x:v>
      </x:c>
    </x:row>
    <x:row r="268" ht="28" customHeight="1">
      <x:c r="A268" s="21" t="n">
        <x:v>264</x:v>
      </x:c>
      <x:c r="B268" s="21" t="n">
        <x:f>ROUNDUP(A268/20,0)</x:f>
        <x:v>14</x:v>
      </x:c>
      <x:c r="C268" s="21" t="n">
        <x:f>MOD(A268-1,20)+1</x:f>
        <x:v>4</x:v>
      </x:c>
      <x:c r="D268" s="18" t="str">
        <x:v>פָּקַד</x:v>
      </x:c>
      <x:c r="E268" s="19" t="str">
        <x:v>pāqaḏ</x:v>
      </x:c>
      <x:c r="F268" s="16" t="str">
        <x:v>פקד</x:v>
      </x:c>
      <x:c r="G268" s="20" t="str">
        <x:v>to attend, pay attention to, take care of, number, appoint, visit</x:v>
      </x:c>
      <x:c r="H268" s="20" t="str"/>
      <x:c r="I268" s="21" t="str">
        <x:v>BBH2 課序</x:v>
      </x:c>
      <x:c r="J268" s="21" t="n">
        <x:v>13</x:v>
      </x:c>
      <x:c r="K268" s="22" t="n">
        <x:v>304</x:v>
      </x:c>
      <x:c r="L268" s="21" t="str">
        <x:v>H6485</x:v>
      </x:c>
      <x:c r="M268" s="21" t="str">
        <x:v>verb</x:v>
      </x:c>
      <x:c r="N268" s="21" t="str">
        <x:v>否</x:v>
      </x:c>
      <x:c r="O268" s="21" t="str"/>
      <x:c r="P268" s="21" t="str">
        <x:v>source_and_lexicon_matched</x:v>
      </x:c>
      <x:c r="Q268" s="21" t="str">
        <x:v>rule_generated_exception_review</x:v>
      </x:c>
      <x:c r="R268" s="20" t="str">
        <x:v>https://hebrewsyntax.org/bbh2new/</x:v>
      </x:c>
    </x:row>
    <x:row r="269" ht="28" customHeight="1">
      <x:c r="A269" s="21" t="n">
        <x:v>265</x:v>
      </x:c>
      <x:c r="B269" s="21" t="n">
        <x:f>ROUNDUP(A269/20,0)</x:f>
        <x:v>14</x:v>
      </x:c>
      <x:c r="C269" s="21" t="n">
        <x:f>MOD(A269-1,20)+1</x:f>
        <x:v>5</x:v>
      </x:c>
      <x:c r="D269" s="18" t="str">
        <x:v>שָׁכַב</x:v>
      </x:c>
      <x:c r="E269" s="19" t="str">
        <x:v>šāḵaḇ</x:v>
      </x:c>
      <x:c r="F269" s="16" t="str">
        <x:v>שכב</x:v>
      </x:c>
      <x:c r="G269" s="20" t="str">
        <x:v>to lie down, have sexual intercourse</x:v>
      </x:c>
      <x:c r="H269" s="20" t="str"/>
      <x:c r="I269" s="21" t="str">
        <x:v>BBH2 課序</x:v>
      </x:c>
      <x:c r="J269" s="21" t="n">
        <x:v>13</x:v>
      </x:c>
      <x:c r="K269" s="22" t="n">
        <x:v>213</x:v>
      </x:c>
      <x:c r="L269" s="21" t="str">
        <x:v>H7901</x:v>
      </x:c>
      <x:c r="M269" s="21" t="str">
        <x:v>verb</x:v>
      </x:c>
      <x:c r="N269" s="21" t="str">
        <x:v>否</x:v>
      </x:c>
      <x:c r="O269" s="21" t="str"/>
      <x:c r="P269" s="21" t="str">
        <x:v>source_and_lexicon_matched</x:v>
      </x:c>
      <x:c r="Q269" s="21" t="str">
        <x:v>rule_generated_exception_review</x:v>
      </x:c>
      <x:c r="R269" s="20" t="str">
        <x:v>https://hebrewsyntax.org/bbh2new/</x:v>
      </x:c>
    </x:row>
    <x:row r="270" ht="28" customHeight="1">
      <x:c r="A270" s="21" t="n">
        <x:v>266</x:v>
      </x:c>
      <x:c r="B270" s="21" t="n">
        <x:f>ROUNDUP(A270/20,0)</x:f>
        <x:v>14</x:v>
      </x:c>
      <x:c r="C270" s="21" t="n">
        <x:f>MOD(A270-1,20)+1</x:f>
        <x:v>6</x:v>
      </x:c>
      <x:c r="D270" s="18" t="str">
        <x:v>שָׁלַח</x:v>
      </x:c>
      <x:c r="E270" s="19" t="str">
        <x:v>šālaḥ</x:v>
      </x:c>
      <x:c r="F270" s="16" t="str">
        <x:v>שלח</x:v>
      </x:c>
      <x:c r="G270" s="20" t="str">
        <x:v>to send, stretch out</x:v>
      </x:c>
      <x:c r="H270" s="20" t="str"/>
      <x:c r="I270" s="21" t="str">
        <x:v>BBH2 課序</x:v>
      </x:c>
      <x:c r="J270" s="21" t="n">
        <x:v>13</x:v>
      </x:c>
      <x:c r="K270" s="22" t="n">
        <x:v>847</x:v>
      </x:c>
      <x:c r="L270" s="21" t="str">
        <x:v>H7971</x:v>
      </x:c>
      <x:c r="M270" s="21" t="str">
        <x:v>verb</x:v>
      </x:c>
      <x:c r="N270" s="21" t="str">
        <x:v>否</x:v>
      </x:c>
      <x:c r="O270" s="21" t="str"/>
      <x:c r="P270" s="21" t="str">
        <x:v>source_and_lexicon_matched</x:v>
      </x:c>
      <x:c r="Q270" s="21" t="str">
        <x:v>rule_generated_exception_review</x:v>
      </x:c>
      <x:c r="R270" s="20" t="str">
        <x:v>https://hebrewsyntax.org/bbh2new/</x:v>
      </x:c>
    </x:row>
    <x:row r="271" ht="28" customHeight="1">
      <x:c r="A271" s="21" t="n">
        <x:v>267</x:v>
      </x:c>
      <x:c r="B271" s="21" t="n">
        <x:f>ROUNDUP(A271/20,0)</x:f>
        <x:v>14</x:v>
      </x:c>
      <x:c r="C271" s="21" t="n">
        <x:f>MOD(A271-1,20)+1</x:f>
        <x:v>7</x:v>
      </x:c>
      <x:c r="D271" s="18" t="str">
        <x:v>שָׁמַר</x:v>
      </x:c>
      <x:c r="E271" s="19" t="str">
        <x:v>šāmar</x:v>
      </x:c>
      <x:c r="F271" s="16" t="str">
        <x:v>שמר</x:v>
      </x:c>
      <x:c r="G271" s="20" t="str">
        <x:v>to watch (over), guard, keep, observe, protect</x:v>
      </x:c>
      <x:c r="H271" s="20" t="str"/>
      <x:c r="I271" s="21" t="str">
        <x:v>BBH2 課序</x:v>
      </x:c>
      <x:c r="J271" s="21" t="n">
        <x:v>13</x:v>
      </x:c>
      <x:c r="K271" s="22" t="n">
        <x:v>469</x:v>
      </x:c>
      <x:c r="L271" s="21" t="str">
        <x:v>H8104</x:v>
      </x:c>
      <x:c r="M271" s="21" t="str">
        <x:v>verb</x:v>
      </x:c>
      <x:c r="N271" s="21" t="str">
        <x:v>否</x:v>
      </x:c>
      <x:c r="O271" s="21" t="str"/>
      <x:c r="P271" s="21" t="str">
        <x:v>source_and_lexicon_matched</x:v>
      </x:c>
      <x:c r="Q271" s="21" t="str">
        <x:v>rule_generated_exception_review</x:v>
      </x:c>
      <x:c r="R271" s="20" t="str">
        <x:v>https://hebrewsyntax.org/bbh2new/</x:v>
      </x:c>
    </x:row>
    <x:row r="272" ht="28" customHeight="1">
      <x:c r="A272" s="21" t="n">
        <x:v>268</x:v>
      </x:c>
      <x:c r="B272" s="21" t="n">
        <x:f>ROUNDUP(A272/20,0)</x:f>
        <x:v>14</x:v>
      </x:c>
      <x:c r="C272" s="21" t="n">
        <x:f>MOD(A272-1,20)+1</x:f>
        <x:v>8</x:v>
      </x:c>
      <x:c r="D272" s="18" t="str">
        <x:v>בּוֹא</x:v>
      </x:c>
      <x:c r="E272" s="19" t="str">
        <x:v>bôʾ</x:v>
      </x:c>
      <x:c r="F272" s="16" t="str">
        <x:v>בוא</x:v>
      </x:c>
      <x:c r="G272" s="20" t="str">
        <x:v>to go in, enter, come to</x:v>
      </x:c>
      <x:c r="H272" s="20" t="str"/>
      <x:c r="I272" s="21" t="str">
        <x:v>BBH2 課序</x:v>
      </x:c>
      <x:c r="J272" s="21" t="n">
        <x:v>14</x:v>
      </x:c>
      <x:c r="K272" s="22" t="n">
        <x:v>2592</x:v>
      </x:c>
      <x:c r="L272" s="21" t="str">
        <x:v>H935</x:v>
      </x:c>
      <x:c r="M272" s="21" t="str">
        <x:v>verb</x:v>
      </x:c>
      <x:c r="N272" s="21" t="str">
        <x:v>否</x:v>
      </x:c>
      <x:c r="O272" s="21" t="str"/>
      <x:c r="P272" s="21" t="str">
        <x:v>source_and_lexicon_matched</x:v>
      </x:c>
      <x:c r="Q272" s="21" t="str">
        <x:v>rule_generated_exception_review</x:v>
      </x:c>
      <x:c r="R272" s="20" t="str">
        <x:v>https://hebrewsyntax.org/bbh2new/</x:v>
      </x:c>
    </x:row>
    <x:row r="273" ht="28" customHeight="1">
      <x:c r="A273" s="21" t="n">
        <x:v>269</x:v>
      </x:c>
      <x:c r="B273" s="21" t="n">
        <x:f>ROUNDUP(A273/20,0)</x:f>
        <x:v>14</x:v>
      </x:c>
      <x:c r="C273" s="21" t="n">
        <x:f>MOD(A273-1,20)+1</x:f>
        <x:v>9</x:v>
      </x:c>
      <x:c r="D273" s="18" t="str">
        <x:v>בָּנָה</x:v>
      </x:c>
      <x:c r="E273" s="19" t="str">
        <x:v>bānâ</x:v>
      </x:c>
      <x:c r="F273" s="16" t="str">
        <x:v>בנה</x:v>
      </x:c>
      <x:c r="G273" s="20" t="str">
        <x:v>to build (up), build (establish) a family</x:v>
      </x:c>
      <x:c r="H273" s="20" t="str"/>
      <x:c r="I273" s="21" t="str">
        <x:v>BBH2 課序</x:v>
      </x:c>
      <x:c r="J273" s="21" t="n">
        <x:v>14</x:v>
      </x:c>
      <x:c r="K273" s="22" t="n">
        <x:v>377</x:v>
      </x:c>
      <x:c r="L273" s="21" t="str">
        <x:v>H1129</x:v>
      </x:c>
      <x:c r="M273" s="21" t="str">
        <x:v>verb</x:v>
      </x:c>
      <x:c r="N273" s="21" t="str">
        <x:v>否</x:v>
      </x:c>
      <x:c r="O273" s="21" t="str"/>
      <x:c r="P273" s="21" t="str">
        <x:v>source_and_lexicon_matched</x:v>
      </x:c>
      <x:c r="Q273" s="21" t="str">
        <x:v>rule_generated_exception_review</x:v>
      </x:c>
      <x:c r="R273" s="20" t="str">
        <x:v>https://hebrewsyntax.org/bbh2new/</x:v>
      </x:c>
    </x:row>
    <x:row r="274" ht="28" customHeight="1">
      <x:c r="A274" s="21" t="n">
        <x:v>270</x:v>
      </x:c>
      <x:c r="B274" s="21" t="n">
        <x:f>ROUNDUP(A274/20,0)</x:f>
        <x:v>14</x:v>
      </x:c>
      <x:c r="C274" s="21" t="n">
        <x:f>MOD(A274-1,20)+1</x:f>
        <x:v>10</x:v>
      </x:c>
      <x:c r="D274" s="18" t="str">
        <x:v>יָלַד</x:v>
      </x:c>
      <x:c r="E274" s="19" t="str">
        <x:v>yālaḏ</x:v>
      </x:c>
      <x:c r="F274" s="16" t="str">
        <x:v>ילד</x:v>
      </x:c>
      <x:c r="G274" s="20" t="str">
        <x:v>to bring forth, bear</x:v>
      </x:c>
      <x:c r="H274" s="20" t="str"/>
      <x:c r="I274" s="21" t="str">
        <x:v>BBH2 課序</x:v>
      </x:c>
      <x:c r="J274" s="21" t="n">
        <x:v>14</x:v>
      </x:c>
      <x:c r="K274" s="22" t="n">
        <x:v>500</x:v>
      </x:c>
      <x:c r="L274" s="21" t="str">
        <x:v>H3205</x:v>
      </x:c>
      <x:c r="M274" s="21" t="str">
        <x:v>verb</x:v>
      </x:c>
      <x:c r="N274" s="21" t="str">
        <x:v>否</x:v>
      </x:c>
      <x:c r="O274" s="21" t="str"/>
      <x:c r="P274" s="21" t="str">
        <x:v>source_and_lexicon_matched</x:v>
      </x:c>
      <x:c r="Q274" s="21" t="str">
        <x:v>rule_generated_exception_review</x:v>
      </x:c>
      <x:c r="R274" s="20" t="str">
        <x:v>https://hebrewsyntax.org/bbh2new/</x:v>
      </x:c>
    </x:row>
    <x:row r="275" ht="28" customHeight="1">
      <x:c r="A275" s="21" t="n">
        <x:v>271</x:v>
      </x:c>
      <x:c r="B275" s="21" t="n">
        <x:f>ROUNDUP(A275/20,0)</x:f>
        <x:v>14</x:v>
      </x:c>
      <x:c r="C275" s="21" t="n">
        <x:f>MOD(A275-1,20)+1</x:f>
        <x:v>11</x:v>
      </x:c>
      <x:c r="D275" s="18" t="str">
        <x:v>יָרֵא</x:v>
      </x:c>
      <x:c r="E275" s="19" t="str">
        <x:v>yārēʾ</x:v>
      </x:c>
      <x:c r="F275" s="16" t="str">
        <x:v>ירא</x:v>
      </x:c>
      <x:c r="G275" s="20" t="str">
        <x:v>to fear, be afraid, be in awe of</x:v>
      </x:c>
      <x:c r="H275" s="20" t="str"/>
      <x:c r="I275" s="21" t="str">
        <x:v>BBH2 課序</x:v>
      </x:c>
      <x:c r="J275" s="21" t="n">
        <x:v>14</x:v>
      </x:c>
      <x:c r="K275" s="22" t="n">
        <x:v>329</x:v>
      </x:c>
      <x:c r="L275" s="21" t="str">
        <x:v>H3372</x:v>
      </x:c>
      <x:c r="M275" s="21" t="str">
        <x:v>verb</x:v>
      </x:c>
      <x:c r="N275" s="21" t="str">
        <x:v>否</x:v>
      </x:c>
      <x:c r="O275" s="21" t="str"/>
      <x:c r="P275" s="21" t="str">
        <x:v>source_and_lexicon_matched</x:v>
      </x:c>
      <x:c r="Q275" s="21" t="str">
        <x:v>rule_generated_exception_review</x:v>
      </x:c>
      <x:c r="R275" s="20" t="str">
        <x:v>https://hebrewsyntax.org/bbh2new/</x:v>
      </x:c>
    </x:row>
    <x:row r="276" ht="28" customHeight="1">
      <x:c r="A276" s="21" t="n">
        <x:v>272</x:v>
      </x:c>
      <x:c r="B276" s="21" t="n">
        <x:f>ROUNDUP(A276/20,0)</x:f>
        <x:v>14</x:v>
      </x:c>
      <x:c r="C276" s="21" t="n">
        <x:f>MOD(A276-1,20)+1</x:f>
        <x:v>12</x:v>
      </x:c>
      <x:c r="D276" s="18" t="str">
        <x:v>יָרַד</x:v>
      </x:c>
      <x:c r="E276" s="19" t="str">
        <x:v>yāraḏ</x:v>
      </x:c>
      <x:c r="F276" s="16" t="str">
        <x:v>ירד</x:v>
      </x:c>
      <x:c r="G276" s="20" t="str">
        <x:v>to go down, come down, descend</x:v>
      </x:c>
      <x:c r="H276" s="20" t="str"/>
      <x:c r="I276" s="21" t="str">
        <x:v>BBH2 課序</x:v>
      </x:c>
      <x:c r="J276" s="21" t="n">
        <x:v>14</x:v>
      </x:c>
      <x:c r="K276" s="22" t="n">
        <x:v>381</x:v>
      </x:c>
      <x:c r="L276" s="21" t="str">
        <x:v>H3381</x:v>
      </x:c>
      <x:c r="M276" s="21" t="str">
        <x:v>verb</x:v>
      </x:c>
      <x:c r="N276" s="21" t="str">
        <x:v>否</x:v>
      </x:c>
      <x:c r="O276" s="21" t="str"/>
      <x:c r="P276" s="21" t="str">
        <x:v>source_and_lexicon_matched</x:v>
      </x:c>
      <x:c r="Q276" s="21" t="str">
        <x:v>rule_generated_exception_review</x:v>
      </x:c>
      <x:c r="R276" s="20" t="str">
        <x:v>https://hebrewsyntax.org/bbh2new/</x:v>
      </x:c>
    </x:row>
    <x:row r="277" ht="28" customHeight="1">
      <x:c r="A277" s="21" t="n">
        <x:v>273</x:v>
      </x:c>
      <x:c r="B277" s="21" t="n">
        <x:f>ROUNDUP(A277/20,0)</x:f>
        <x:v>14</x:v>
      </x:c>
      <x:c r="C277" s="21" t="n">
        <x:f>MOD(A277-1,20)+1</x:f>
        <x:v>13</x:v>
      </x:c>
      <x:c r="D277" s="18" t="str">
        <x:v>לָקַח</x:v>
      </x:c>
      <x:c r="E277" s="19" t="str">
        <x:v>lāqaḥ</x:v>
      </x:c>
      <x:c r="F277" s="16" t="str">
        <x:v>לקח</x:v>
      </x:c>
      <x:c r="G277" s="20" t="str">
        <x:v>to take, grasp, capture, seize, lay hold of</x:v>
      </x:c>
      <x:c r="H277" s="20" t="str"/>
      <x:c r="I277" s="21" t="str">
        <x:v>BBH2 課序</x:v>
      </x:c>
      <x:c r="J277" s="21" t="n">
        <x:v>14</x:v>
      </x:c>
      <x:c r="K277" s="22" t="n">
        <x:v>967</x:v>
      </x:c>
      <x:c r="L277" s="21" t="str">
        <x:v>H3947</x:v>
      </x:c>
      <x:c r="M277" s="21" t="str">
        <x:v>verb</x:v>
      </x:c>
      <x:c r="N277" s="21" t="str">
        <x:v>否</x:v>
      </x:c>
      <x:c r="O277" s="21" t="str"/>
      <x:c r="P277" s="21" t="str">
        <x:v>source_and_lexicon_matched</x:v>
      </x:c>
      <x:c r="Q277" s="21" t="str">
        <x:v>rule_generated_exception_review</x:v>
      </x:c>
      <x:c r="R277" s="20" t="str">
        <x:v>https://hebrewsyntax.org/bbh2new/</x:v>
      </x:c>
    </x:row>
    <x:row r="278" ht="28" customHeight="1">
      <x:c r="A278" s="21" t="n">
        <x:v>274</x:v>
      </x:c>
      <x:c r="B278" s="21" t="n">
        <x:f>ROUNDUP(A278/20,0)</x:f>
        <x:v>14</x:v>
      </x:c>
      <x:c r="C278" s="21" t="n">
        <x:f>MOD(A278-1,20)+1</x:f>
        <x:v>14</x:v>
      </x:c>
      <x:c r="D278" s="18" t="str">
        <x:v>מוּת</x:v>
      </x:c>
      <x:c r="E278" s="19" t="str">
        <x:v>mûṯ</x:v>
      </x:c>
      <x:c r="F278" s="16" t="str">
        <x:v>מות</x:v>
      </x:c>
      <x:c r="G278" s="20" t="str">
        <x:v>to die</x:v>
      </x:c>
      <x:c r="H278" s="20" t="str"/>
      <x:c r="I278" s="21" t="str">
        <x:v>BBH2 課序</x:v>
      </x:c>
      <x:c r="J278" s="21" t="n">
        <x:v>14</x:v>
      </x:c>
      <x:c r="K278" s="22" t="n">
        <x:v>839</x:v>
      </x:c>
      <x:c r="L278" s="21" t="str">
        <x:v>H4191</x:v>
      </x:c>
      <x:c r="M278" s="21" t="str">
        <x:v>verb</x:v>
      </x:c>
      <x:c r="N278" s="21" t="str">
        <x:v>否</x:v>
      </x:c>
      <x:c r="O278" s="21" t="str"/>
      <x:c r="P278" s="21" t="str">
        <x:v>source_and_lexicon_matched</x:v>
      </x:c>
      <x:c r="Q278" s="21" t="str">
        <x:v>rule_generated_exception_review</x:v>
      </x:c>
      <x:c r="R278" s="20" t="str">
        <x:v>https://hebrewsyntax.org/bbh2new/</x:v>
      </x:c>
    </x:row>
    <x:row r="279" ht="28" customHeight="1">
      <x:c r="A279" s="21" t="n">
        <x:v>275</x:v>
      </x:c>
      <x:c r="B279" s="21" t="n">
        <x:f>ROUNDUP(A279/20,0)</x:f>
        <x:v>14</x:v>
      </x:c>
      <x:c r="C279" s="21" t="n">
        <x:f>MOD(A279-1,20)+1</x:f>
        <x:v>15</x:v>
      </x:c>
      <x:c r="D279" s="18" t="str">
        <x:v>נָפַל</x:v>
      </x:c>
      <x:c r="E279" s="19" t="str">
        <x:v>nāp̄al</x:v>
      </x:c>
      <x:c r="F279" s="16" t="str">
        <x:v>נפל</x:v>
      </x:c>
      <x:c r="G279" s="20" t="str">
        <x:v>to fall, fall prostrate, fall upon</x:v>
      </x:c>
      <x:c r="H279" s="20" t="str"/>
      <x:c r="I279" s="21" t="str">
        <x:v>BBH2 課序</x:v>
      </x:c>
      <x:c r="J279" s="21" t="n">
        <x:v>14</x:v>
      </x:c>
      <x:c r="K279" s="22" t="n">
        <x:v>435</x:v>
      </x:c>
      <x:c r="L279" s="21" t="str">
        <x:v>H5307</x:v>
      </x:c>
      <x:c r="M279" s="21" t="str">
        <x:v>verb</x:v>
      </x:c>
      <x:c r="N279" s="21" t="str">
        <x:v>否</x:v>
      </x:c>
      <x:c r="O279" s="21" t="str"/>
      <x:c r="P279" s="21" t="str">
        <x:v>source_and_lexicon_matched</x:v>
      </x:c>
      <x:c r="Q279" s="21" t="str">
        <x:v>rule_generated_exception_review</x:v>
      </x:c>
      <x:c r="R279" s="20" t="str">
        <x:v>https://hebrewsyntax.org/bbh2new/</x:v>
      </x:c>
    </x:row>
    <x:row r="280" ht="28" customHeight="1">
      <x:c r="A280" s="21" t="n">
        <x:v>276</x:v>
      </x:c>
      <x:c r="B280" s="21" t="n">
        <x:f>ROUNDUP(A280/20,0)</x:f>
        <x:v>14</x:v>
      </x:c>
      <x:c r="C280" s="21" t="n">
        <x:f>MOD(A280-1,20)+1</x:f>
        <x:v>16</x:v>
      </x:c>
      <x:c r="D280" s="18" t="str">
        <x:v>נָשָׂא</x:v>
      </x:c>
      <x:c r="E280" s="19" t="str">
        <x:v>nāśāʾ</x:v>
      </x:c>
      <x:c r="F280" s="16" t="str">
        <x:v>נשא</x:v>
      </x:c>
      <x:c r="G280" s="20" t="str">
        <x:v>to lift, carry, raise, bear (load or burden), take away</x:v>
      </x:c>
      <x:c r="H280" s="20" t="str"/>
      <x:c r="I280" s="21" t="str">
        <x:v>BBH2 課序</x:v>
      </x:c>
      <x:c r="J280" s="21" t="n">
        <x:v>14</x:v>
      </x:c>
      <x:c r="K280" s="22" t="n">
        <x:v>654</x:v>
      </x:c>
      <x:c r="L280" s="21" t="str">
        <x:v>H5375</x:v>
      </x:c>
      <x:c r="M280" s="21" t="str">
        <x:v>verb</x:v>
      </x:c>
      <x:c r="N280" s="21" t="str">
        <x:v>否</x:v>
      </x:c>
      <x:c r="O280" s="21" t="str"/>
      <x:c r="P280" s="21" t="str">
        <x:v>source_and_lexicon_matched</x:v>
      </x:c>
      <x:c r="Q280" s="21" t="str">
        <x:v>rule_generated_exception_review</x:v>
      </x:c>
      <x:c r="R280" s="20" t="str">
        <x:v>https://hebrewsyntax.org/bbh2new/</x:v>
      </x:c>
    </x:row>
    <x:row r="281" ht="28" customHeight="1">
      <x:c r="A281" s="21" t="n">
        <x:v>277</x:v>
      </x:c>
      <x:c r="B281" s="21" t="n">
        <x:f>ROUNDUP(A281/20,0)</x:f>
        <x:v>14</x:v>
      </x:c>
      <x:c r="C281" s="21" t="n">
        <x:f>MOD(A281-1,20)+1</x:f>
        <x:v>17</x:v>
      </x:c>
      <x:c r="D281" s="18" t="str">
        <x:v>עָלָה</x:v>
      </x:c>
      <x:c r="E281" s="19" t="str">
        <x:v>ʿālâ</x:v>
      </x:c>
      <x:c r="F281" s="16" t="str">
        <x:v>עלה</x:v>
      </x:c>
      <x:c r="G281" s="20" t="str">
        <x:v>to go up, ascend</x:v>
      </x:c>
      <x:c r="H281" s="20" t="str"/>
      <x:c r="I281" s="21" t="str">
        <x:v>BBH2 課序</x:v>
      </x:c>
      <x:c r="J281" s="21" t="n">
        <x:v>14</x:v>
      </x:c>
      <x:c r="K281" s="22" t="n">
        <x:v>894</x:v>
      </x:c>
      <x:c r="L281" s="21" t="str">
        <x:v>H5927</x:v>
      </x:c>
      <x:c r="M281" s="21" t="str">
        <x:v>verb</x:v>
      </x:c>
      <x:c r="N281" s="21" t="str">
        <x:v>否</x:v>
      </x:c>
      <x:c r="O281" s="21" t="str"/>
      <x:c r="P281" s="21" t="str">
        <x:v>source_and_lexicon_matched</x:v>
      </x:c>
      <x:c r="Q281" s="21" t="str">
        <x:v>rule_generated_exception_review</x:v>
      </x:c>
      <x:c r="R281" s="20" t="str">
        <x:v>https://hebrewsyntax.org/bbh2new/</x:v>
      </x:c>
    </x:row>
    <x:row r="282" ht="28" customHeight="1">
      <x:c r="A282" s="21" t="n">
        <x:v>278</x:v>
      </x:c>
      <x:c r="B282" s="21" t="n">
        <x:f>ROUNDUP(A282/20,0)</x:f>
        <x:v>14</x:v>
      </x:c>
      <x:c r="C282" s="21" t="n">
        <x:f>MOD(A282-1,20)+1</x:f>
        <x:v>18</x:v>
      </x:c>
      <x:c r="D282" s="18" t="str">
        <x:v>עָבַר</x:v>
      </x:c>
      <x:c r="E282" s="19" t="str">
        <x:v>ʿāḇar</x:v>
      </x:c>
      <x:c r="F282" s="16" t="str">
        <x:v>עבר</x:v>
      </x:c>
      <x:c r="G282" s="20" t="str">
        <x:v>to pass over, pass through, pass by, cross</x:v>
      </x:c>
      <x:c r="H282" s="20" t="str"/>
      <x:c r="I282" s="21" t="str">
        <x:v>BBH2 課序</x:v>
      </x:c>
      <x:c r="J282" s="21" t="n">
        <x:v>14</x:v>
      </x:c>
      <x:c r="K282" s="22" t="n">
        <x:v>562</x:v>
      </x:c>
      <x:c r="L282" s="21" t="str">
        <x:v>H5674</x:v>
      </x:c>
      <x:c r="M282" s="21" t="str">
        <x:v>verb</x:v>
      </x:c>
      <x:c r="N282" s="21" t="str">
        <x:v>否</x:v>
      </x:c>
      <x:c r="O282" s="21" t="str"/>
      <x:c r="P282" s="21" t="str">
        <x:v>source_and_lexicon_matched</x:v>
      </x:c>
      <x:c r="Q282" s="21" t="str">
        <x:v>rule_generated_exception_review</x:v>
      </x:c>
      <x:c r="R282" s="20" t="str">
        <x:v>https://hebrewsyntax.org/bbh2new/</x:v>
      </x:c>
    </x:row>
    <x:row r="283" ht="28" customHeight="1">
      <x:c r="A283" s="21" t="n">
        <x:v>279</x:v>
      </x:c>
      <x:c r="B283" s="21" t="n">
        <x:f>ROUNDUP(A283/20,0)</x:f>
        <x:v>14</x:v>
      </x:c>
      <x:c r="C283" s="21" t="n">
        <x:f>MOD(A283-1,20)+1</x:f>
        <x:v>19</x:v>
      </x:c>
      <x:c r="D283" s="18" t="str">
        <x:v>עָמַד</x:v>
      </x:c>
      <x:c r="E283" s="19" t="str">
        <x:v>ʿāmaḏ</x:v>
      </x:c>
      <x:c r="F283" s="16" t="str">
        <x:v>עמד</x:v>
      </x:c>
      <x:c r="G283" s="20" t="str">
        <x:v>to stand (up), stand still, take one’s stand</x:v>
      </x:c>
      <x:c r="H283" s="20" t="str"/>
      <x:c r="I283" s="21" t="str">
        <x:v>BBH2 課序</x:v>
      </x:c>
      <x:c r="J283" s="21" t="n">
        <x:v>14</x:v>
      </x:c>
      <x:c r="K283" s="22" t="n">
        <x:v>526</x:v>
      </x:c>
      <x:c r="L283" s="21" t="str">
        <x:v>H5975</x:v>
      </x:c>
      <x:c r="M283" s="21" t="str">
        <x:v>verb</x:v>
      </x:c>
      <x:c r="N283" s="21" t="str">
        <x:v>否</x:v>
      </x:c>
      <x:c r="O283" s="21" t="str"/>
      <x:c r="P283" s="21" t="str">
        <x:v>source_and_lexicon_matched</x:v>
      </x:c>
      <x:c r="Q283" s="21" t="str">
        <x:v>rule_generated_exception_review</x:v>
      </x:c>
      <x:c r="R283" s="20" t="str">
        <x:v>https://hebrewsyntax.org/bbh2new/</x:v>
      </x:c>
    </x:row>
    <x:row r="284" ht="28" customHeight="1">
      <x:c r="A284" s="21" t="n">
        <x:v>280</x:v>
      </x:c>
      <x:c r="B284" s="21" t="n">
        <x:f>ROUNDUP(A284/20,0)</x:f>
        <x:v>14</x:v>
      </x:c>
      <x:c r="C284" s="21" t="n">
        <x:f>MOD(A284-1,20)+1</x:f>
        <x:v>20</x:v>
      </x:c>
      <x:c r="D284" s="18" t="str">
        <x:v>קוּם</x:v>
      </x:c>
      <x:c r="E284" s="19" t="str">
        <x:v>qûm</x:v>
      </x:c>
      <x:c r="F284" s="16" t="str">
        <x:v>קום</x:v>
      </x:c>
      <x:c r="G284" s="20" t="str">
        <x:v>to rise, arise, get up, stand</x:v>
      </x:c>
      <x:c r="H284" s="20" t="str"/>
      <x:c r="I284" s="21" t="str">
        <x:v>BBH2 課序</x:v>
      </x:c>
      <x:c r="J284" s="21" t="n">
        <x:v>14</x:v>
      </x:c>
      <x:c r="K284" s="22" t="n">
        <x:v>628</x:v>
      </x:c>
      <x:c r="L284" s="21" t="str">
        <x:v>H6965</x:v>
      </x:c>
      <x:c r="M284" s="21" t="str">
        <x:v>verb</x:v>
      </x:c>
      <x:c r="N284" s="21" t="str">
        <x:v>否</x:v>
      </x:c>
      <x:c r="O284" s="21" t="str"/>
      <x:c r="P284" s="21" t="str">
        <x:v>source_and_lexicon_matched</x:v>
      </x:c>
      <x:c r="Q284" s="21" t="str">
        <x:v>rule_generated_exception_review</x:v>
      </x:c>
      <x:c r="R284" s="20" t="str">
        <x:v>https://hebrewsyntax.org/bbh2new/</x:v>
      </x:c>
    </x:row>
    <x:row r="285" ht="28" customHeight="1">
      <x:c r="A285" s="21" t="n">
        <x:v>281</x:v>
      </x:c>
      <x:c r="B285" s="21" t="n">
        <x:f>ROUNDUP(A285/20,0)</x:f>
        <x:v>15</x:v>
      </x:c>
      <x:c r="C285" s="21" t="n">
        <x:f>MOD(A285-1,20)+1</x:f>
        <x:v>1</x:v>
      </x:c>
      <x:c r="D285" s="18" t="str">
        <x:v>קָרָא</x:v>
      </x:c>
      <x:c r="E285" s="19" t="str">
        <x:v>qārāʾ</x:v>
      </x:c>
      <x:c r="F285" s="16" t="str">
        <x:v>קרא</x:v>
      </x:c>
      <x:c r="G285" s="20" t="str">
        <x:v>to call, summon, proclaim, announce, read aloud</x:v>
      </x:c>
      <x:c r="H285" s="20" t="str"/>
      <x:c r="I285" s="21" t="str">
        <x:v>BBH2 課序</x:v>
      </x:c>
      <x:c r="J285" s="21" t="n">
        <x:v>14</x:v>
      </x:c>
      <x:c r="K285" s="22" t="n">
        <x:v>739</x:v>
      </x:c>
      <x:c r="L285" s="21" t="str">
        <x:v>H7121</x:v>
      </x:c>
      <x:c r="M285" s="21" t="str">
        <x:v>verb</x:v>
      </x:c>
      <x:c r="N285" s="21" t="str">
        <x:v>否</x:v>
      </x:c>
      <x:c r="O285" s="21" t="str"/>
      <x:c r="P285" s="21" t="str">
        <x:v>source_and_lexicon_matched</x:v>
      </x:c>
      <x:c r="Q285" s="21" t="str">
        <x:v>rule_generated_exception_review</x:v>
      </x:c>
      <x:c r="R285" s="20" t="str">
        <x:v>https://hebrewsyntax.org/bbh2new/</x:v>
      </x:c>
    </x:row>
    <x:row r="286" ht="28" customHeight="1">
      <x:c r="A286" s="21" t="n">
        <x:v>282</x:v>
      </x:c>
      <x:c r="B286" s="21" t="n">
        <x:f>ROUNDUP(A286/20,0)</x:f>
        <x:v>15</x:v>
      </x:c>
      <x:c r="C286" s="21" t="n">
        <x:f>MOD(A286-1,20)+1</x:f>
        <x:v>2</x:v>
      </x:c>
      <x:c r="D286" s="18" t="str">
        <x:v>שִׂים</x:v>
      </x:c>
      <x:c r="E286" s="19" t="str">
        <x:v>śîm</x:v>
      </x:c>
      <x:c r="F286" s="16" t="str">
        <x:v>שים</x:v>
      </x:c>
      <x:c r="G286" s="20" t="str">
        <x:v>to set (up), put, place, lay (upon), establish</x:v>
      </x:c>
      <x:c r="H286" s="20" t="str"/>
      <x:c r="I286" s="21" t="str">
        <x:v>BBH2 課序</x:v>
      </x:c>
      <x:c r="J286" s="21" t="n">
        <x:v>14</x:v>
      </x:c>
      <x:c r="K286" s="22" t="n">
        <x:v>586</x:v>
      </x:c>
      <x:c r="L286" s="21" t="str">
        <x:v>H7760</x:v>
      </x:c>
      <x:c r="M286" s="21" t="str">
        <x:v>verb</x:v>
      </x:c>
      <x:c r="N286" s="21" t="str">
        <x:v>否</x:v>
      </x:c>
      <x:c r="O286" s="21" t="str"/>
      <x:c r="P286" s="21" t="str">
        <x:v>source_and_lexicon_matched</x:v>
      </x:c>
      <x:c r="Q286" s="21" t="str">
        <x:v>rule_generated_exception_review</x:v>
      </x:c>
      <x:c r="R286" s="20" t="str">
        <x:v>https://hebrewsyntax.org/bbh2new/</x:v>
      </x:c>
    </x:row>
    <x:row r="287" ht="28" customHeight="1">
      <x:c r="A287" s="21" t="n">
        <x:v>283</x:v>
      </x:c>
      <x:c r="B287" s="21" t="n">
        <x:f>ROUNDUP(A287/20,0)</x:f>
        <x:v>15</x:v>
      </x:c>
      <x:c r="C287" s="21" t="n">
        <x:f>MOD(A287-1,20)+1</x:f>
        <x:v>3</x:v>
      </x:c>
      <x:c r="D287" s="18" t="str">
        <x:v>שׁוּב</x:v>
      </x:c>
      <x:c r="E287" s="19" t="str">
        <x:v>šûḇ</x:v>
      </x:c>
      <x:c r="F287" s="16" t="str">
        <x:v>שוב</x:v>
      </x:c>
      <x:c r="G287" s="20" t="str">
        <x:v>to turn back, return, go back</x:v>
      </x:c>
      <x:c r="H287" s="20" t="str"/>
      <x:c r="I287" s="21" t="str">
        <x:v>BBH2 課序</x:v>
      </x:c>
      <x:c r="J287" s="21" t="n">
        <x:v>14</x:v>
      </x:c>
      <x:c r="K287" s="22" t="n">
        <x:v>1073</x:v>
      </x:c>
      <x:c r="L287" s="21" t="str">
        <x:v>H7725</x:v>
      </x:c>
      <x:c r="M287" s="21" t="str">
        <x:v>verb</x:v>
      </x:c>
      <x:c r="N287" s="21" t="str">
        <x:v>否</x:v>
      </x:c>
      <x:c r="O287" s="21" t="str"/>
      <x:c r="P287" s="21" t="str">
        <x:v>source_and_lexicon_matched</x:v>
      </x:c>
      <x:c r="Q287" s="21" t="str">
        <x:v>rule_generated_exception_review</x:v>
      </x:c>
      <x:c r="R287" s="20" t="str">
        <x:v>https://hebrewsyntax.org/bbh2new/</x:v>
      </x:c>
    </x:row>
    <x:row r="288" ht="28" customHeight="1">
      <x:c r="A288" s="21" t="n">
        <x:v>284</x:v>
      </x:c>
      <x:c r="B288" s="21" t="n">
        <x:f>ROUNDUP(A288/20,0)</x:f>
        <x:v>15</x:v>
      </x:c>
      <x:c r="C288" s="21" t="n">
        <x:f>MOD(A288-1,20)+1</x:f>
        <x:v>4</x:v>
      </x:c>
      <x:c r="D288" s="18" t="str">
        <x:v>פֹּה</x:v>
      </x:c>
      <x:c r="E288" s="19" t="str">
        <x:v>pô</x:v>
      </x:c>
      <x:c r="F288" s="16" t="str">
        <x:v>פה</x:v>
      </x:c>
      <x:c r="G288" s="20" t="str">
        <x:v>here, at this place</x:v>
      </x:c>
      <x:c r="H288" s="20" t="str"/>
      <x:c r="I288" s="21" t="str">
        <x:v>BBH2 課序</x:v>
      </x:c>
      <x:c r="J288" s="21" t="n">
        <x:v>14</x:v>
      </x:c>
      <x:c r="K288" s="22" t="n">
        <x:v>82</x:v>
      </x:c>
      <x:c r="L288" s="21" t="str">
        <x:v>H6311</x:v>
      </x:c>
      <x:c r="M288" s="21" t="str">
        <x:v>adverb</x:v>
      </x:c>
      <x:c r="N288" s="21" t="str">
        <x:v>否</x:v>
      </x:c>
      <x:c r="O288" s="21" t="str"/>
      <x:c r="P288" s="21" t="str">
        <x:v>source_and_lexicon_matched</x:v>
      </x:c>
      <x:c r="Q288" s="21" t="str">
        <x:v>rule_generated_exception_review</x:v>
      </x:c>
      <x:c r="R288" s="20" t="str">
        <x:v>https://hebrewsyntax.org/bbh2new/</x:v>
      </x:c>
    </x:row>
    <x:row r="289" ht="28" customHeight="1">
      <x:c r="A289" s="21" t="n">
        <x:v>285</x:v>
      </x:c>
      <x:c r="B289" s="21" t="n">
        <x:f>ROUNDUP(A289/20,0)</x:f>
        <x:v>15</x:v>
      </x:c>
      <x:c r="C289" s="21" t="n">
        <x:f>MOD(A289-1,20)+1</x:f>
        <x:v>5</x:v>
      </x:c>
      <x:c r="D289" s="18" t="str">
        <x:v>חָיָה</x:v>
      </x:c>
      <x:c r="E289" s="19" t="str">
        <x:v>ḥāyâ</x:v>
      </x:c>
      <x:c r="F289" s="16" t="str">
        <x:v>חיה</x:v>
      </x:c>
      <x:c r="G289" s="20" t="str">
        <x:v>to live, be alive, stay alive, revive, restore to life</x:v>
      </x:c>
      <x:c r="H289" s="20" t="str"/>
      <x:c r="I289" s="21" t="str">
        <x:v>BBH2 課序</x:v>
      </x:c>
      <x:c r="J289" s="21" t="n">
        <x:v>15</x:v>
      </x:c>
      <x:c r="K289" s="22" t="n">
        <x:v>265</x:v>
      </x:c>
      <x:c r="L289" s="21" t="str">
        <x:v>H2421</x:v>
      </x:c>
      <x:c r="M289" s="21" t="str">
        <x:v>verb</x:v>
      </x:c>
      <x:c r="N289" s="21" t="str">
        <x:v>否</x:v>
      </x:c>
      <x:c r="O289" s="21" t="str"/>
      <x:c r="P289" s="21" t="str">
        <x:v>source_and_lexicon_matched</x:v>
      </x:c>
      <x:c r="Q289" s="21" t="str">
        <x:v>rule_generated_exception_review</x:v>
      </x:c>
      <x:c r="R289" s="20" t="str">
        <x:v>https://hebrewsyntax.org/bbh2new/</x:v>
      </x:c>
    </x:row>
    <x:row r="290" ht="28" customHeight="1">
      <x:c r="A290" s="21" t="n">
        <x:v>286</x:v>
      </x:c>
      <x:c r="B290" s="21" t="n">
        <x:f>ROUNDUP(A290/20,0)</x:f>
        <x:v>15</x:v>
      </x:c>
      <x:c r="C290" s="21" t="n">
        <x:f>MOD(A290-1,20)+1</x:f>
        <x:v>6</x:v>
      </x:c>
      <x:c r="D290" s="18" t="str">
        <x:v>יָכֹל</x:v>
      </x:c>
      <x:c r="E290" s="19" t="str">
        <x:v>yāḵōl</x:v>
      </x:c>
      <x:c r="F290" s="16" t="str">
        <x:v>יכל</x:v>
      </x:c>
      <x:c r="G290" s="20" t="str">
        <x:v>to be able, be capable of, endure, prevail, be victorious</x:v>
      </x:c>
      <x:c r="H290" s="20" t="str"/>
      <x:c r="I290" s="21" t="str">
        <x:v>BBH2 課序</x:v>
      </x:c>
      <x:c r="J290" s="21" t="n">
        <x:v>15</x:v>
      </x:c>
      <x:c r="K290" s="22" t="n">
        <x:v>194</x:v>
      </x:c>
      <x:c r="L290" s="21" t="str">
        <x:v>H3201</x:v>
      </x:c>
      <x:c r="M290" s="21" t="str">
        <x:v>verb</x:v>
      </x:c>
      <x:c r="N290" s="21" t="str">
        <x:v>否</x:v>
      </x:c>
      <x:c r="O290" s="21" t="str"/>
      <x:c r="P290" s="21" t="str">
        <x:v>source_and_lexicon_matched</x:v>
      </x:c>
      <x:c r="Q290" s="21" t="str">
        <x:v>rule_generated_exception_review</x:v>
      </x:c>
      <x:c r="R290" s="20" t="str">
        <x:v>https://hebrewsyntax.org/bbh2new/</x:v>
      </x:c>
    </x:row>
    <x:row r="291" ht="28" customHeight="1">
      <x:c r="A291" s="21" t="n">
        <x:v>287</x:v>
      </x:c>
      <x:c r="B291" s="21" t="n">
        <x:f>ROUNDUP(A291/20,0)</x:f>
        <x:v>15</x:v>
      </x:c>
      <x:c r="C291" s="21" t="n">
        <x:f>MOD(A291-1,20)+1</x:f>
        <x:v>7</x:v>
      </x:c>
      <x:c r="D291" s="18" t="str">
        <x:v>כָּרַת</x:v>
      </x:c>
      <x:c r="E291" s="19" t="str">
        <x:v>kāraṯ</x:v>
      </x:c>
      <x:c r="F291" s="16" t="str">
        <x:v>כרת</x:v>
      </x:c>
      <x:c r="G291" s="20" t="str">
        <x:v>to cut off, cut down, make a covenant</x:v>
      </x:c>
      <x:c r="H291" s="20" t="str"/>
      <x:c r="I291" s="21" t="str">
        <x:v>BBH2 課序</x:v>
      </x:c>
      <x:c r="J291" s="21" t="n">
        <x:v>15</x:v>
      </x:c>
      <x:c r="K291" s="22" t="n">
        <x:v>290</x:v>
      </x:c>
      <x:c r="L291" s="21" t="str">
        <x:v>H3772</x:v>
      </x:c>
      <x:c r="M291" s="21" t="str">
        <x:v>verb</x:v>
      </x:c>
      <x:c r="N291" s="21" t="str">
        <x:v>否</x:v>
      </x:c>
      <x:c r="O291" s="21" t="str"/>
      <x:c r="P291" s="21" t="str">
        <x:v>source_and_lexicon_matched</x:v>
      </x:c>
      <x:c r="Q291" s="21" t="str">
        <x:v>rule_generated_exception_review</x:v>
      </x:c>
      <x:c r="R291" s="20" t="str">
        <x:v>https://hebrewsyntax.org/bbh2new/</x:v>
      </x:c>
    </x:row>
    <x:row r="292" ht="28" customHeight="1">
      <x:c r="A292" s="21" t="n">
        <x:v>288</x:v>
      </x:c>
      <x:c r="B292" s="21" t="n">
        <x:f>ROUNDUP(A292/20,0)</x:f>
        <x:v>15</x:v>
      </x:c>
      <x:c r="C292" s="21" t="n">
        <x:f>MOD(A292-1,20)+1</x:f>
        <x:v>8</x:v>
      </x:c>
      <x:c r="D292" s="18" t="str">
        <x:v>סוּר</x:v>
      </x:c>
      <x:c r="E292" s="19" t="str">
        <x:v>sûr</x:v>
      </x:c>
      <x:c r="F292" s="16" t="str">
        <x:v>סור</x:v>
      </x:c>
      <x:c r="G292" s="20" t="str">
        <x:v>to turn aside, turn off, leave</x:v>
      </x:c>
      <x:c r="H292" s="20" t="str"/>
      <x:c r="I292" s="21" t="str">
        <x:v>BBH2 課序</x:v>
      </x:c>
      <x:c r="J292" s="21" t="n">
        <x:v>15</x:v>
      </x:c>
      <x:c r="K292" s="22" t="n">
        <x:v>301</x:v>
      </x:c>
      <x:c r="L292" s="21" t="str">
        <x:v>H5493</x:v>
      </x:c>
      <x:c r="M292" s="21" t="str">
        <x:v>verb</x:v>
      </x:c>
      <x:c r="N292" s="21" t="str">
        <x:v>否</x:v>
      </x:c>
      <x:c r="O292" s="21" t="str"/>
      <x:c r="P292" s="21" t="str">
        <x:v>source_and_lexicon_matched</x:v>
      </x:c>
      <x:c r="Q292" s="21" t="str">
        <x:v>rule_generated_exception_review</x:v>
      </x:c>
      <x:c r="R292" s="20" t="str">
        <x:v>https://hebrewsyntax.org/bbh2new/</x:v>
      </x:c>
    </x:row>
    <x:row r="293" ht="28" customHeight="1">
      <x:c r="A293" s="21" t="n">
        <x:v>289</x:v>
      </x:c>
      <x:c r="B293" s="21" t="n">
        <x:f>ROUNDUP(A293/20,0)</x:f>
        <x:v>15</x:v>
      </x:c>
      <x:c r="C293" s="21" t="n">
        <x:f>MOD(A293-1,20)+1</x:f>
        <x:v>9</x:v>
      </x:c>
      <x:c r="D293" s="18" t="str">
        <x:v>עָבַד</x:v>
      </x:c>
      <x:c r="E293" s="19" t="str">
        <x:v>ʿāḇaḏ</x:v>
      </x:c>
      <x:c r="F293" s="16" t="str">
        <x:v>עבד</x:v>
      </x:c>
      <x:c r="G293" s="20" t="str">
        <x:v>to work, serve, toil, till, cultivate</x:v>
      </x:c>
      <x:c r="H293" s="20" t="str"/>
      <x:c r="I293" s="21" t="str">
        <x:v>BBH2 課序</x:v>
      </x:c>
      <x:c r="J293" s="21" t="n">
        <x:v>15</x:v>
      </x:c>
      <x:c r="K293" s="22" t="n">
        <x:v>289</x:v>
      </x:c>
      <x:c r="L293" s="21" t="str">
        <x:v>H5647</x:v>
      </x:c>
      <x:c r="M293" s="21" t="str">
        <x:v>verb</x:v>
      </x:c>
      <x:c r="N293" s="21" t="str">
        <x:v>否</x:v>
      </x:c>
      <x:c r="O293" s="21" t="str"/>
      <x:c r="P293" s="21" t="str">
        <x:v>source_and_lexicon_matched</x:v>
      </x:c>
      <x:c r="Q293" s="21" t="str">
        <x:v>rule_generated_exception_review</x:v>
      </x:c>
      <x:c r="R293" s="20" t="str">
        <x:v>https://hebrewsyntax.org/bbh2new/</x:v>
      </x:c>
    </x:row>
    <x:row r="294" ht="28" customHeight="1">
      <x:c r="A294" s="21" t="n">
        <x:v>290</x:v>
      </x:c>
      <x:c r="B294" s="21" t="n">
        <x:f>ROUNDUP(A294/20,0)</x:f>
        <x:v>15</x:v>
      </x:c>
      <x:c r="C294" s="21" t="n">
        <x:f>MOD(A294-1,20)+1</x:f>
        <x:v>10</x:v>
      </x:c>
      <x:c r="D294" s="18" t="str">
        <x:v>עָנָה</x:v>
      </x:c>
      <x:c r="E294" s="19" t="str">
        <x:v>ʿānâ</x:v>
      </x:c>
      <x:c r="F294" s="16" t="str">
        <x:v>ענה</x:v>
      </x:c>
      <x:c r="G294" s="20" t="str">
        <x:v>to answer, respond, reply, testify; [ch27: (D) to afflict, oppress, humiliate, violate]</x:v>
      </x:c>
      <x:c r="H294" s="20" t="str"/>
      <x:c r="I294" s="21" t="str">
        <x:v>BBH2 課序</x:v>
      </x:c>
      <x:c r="J294" s="21" t="n">
        <x:v>15</x:v>
      </x:c>
      <x:c r="K294" s="22" t="n">
        <x:v>329</x:v>
      </x:c>
      <x:c r="L294" s="21" t="str">
        <x:v>H6030</x:v>
      </x:c>
      <x:c r="M294" s="21" t="str">
        <x:v>verb</x:v>
      </x:c>
      <x:c r="N294" s="21" t="str">
        <x:v>否</x:v>
      </x:c>
      <x:c r="O294" s="21" t="str"/>
      <x:c r="P294" s="21" t="str">
        <x:v>source_and_lexicon_matched</x:v>
      </x:c>
      <x:c r="Q294" s="21" t="str">
        <x:v>rule_generated_exception_review</x:v>
      </x:c>
      <x:c r="R294" s="20" t="str">
        <x:v>https://hebrewsyntax.org/bbh2new/</x:v>
      </x:c>
    </x:row>
    <x:row r="295" ht="28" customHeight="1">
      <x:c r="A295" s="21" t="n">
        <x:v>291</x:v>
      </x:c>
      <x:c r="B295" s="21" t="n">
        <x:f>ROUNDUP(A295/20,0)</x:f>
        <x:v>15</x:v>
      </x:c>
      <x:c r="C295" s="21" t="n">
        <x:f>MOD(A295-1,20)+1</x:f>
        <x:v>11</x:v>
      </x:c>
      <x:c r="D295" s="18" t="str">
        <x:v>אֹ֫זֶן</x:v>
      </x:c>
      <x:c r="E295" s="19" t="str">
        <x:v>ʾōzen</x:v>
      </x:c>
      <x:c r="F295" s="16" t="str">
        <x:v>אזן</x:v>
      </x:c>
      <x:c r="G295" s="20" t="str">
        <x:v>ear [F]</x:v>
      </x:c>
      <x:c r="H295" s="20" t="str"/>
      <x:c r="I295" s="21" t="str">
        <x:v>BBH2 課序</x:v>
      </x:c>
      <x:c r="J295" s="21" t="n">
        <x:v>15</x:v>
      </x:c>
      <x:c r="K295" s="22" t="n">
        <x:v>188</x:v>
      </x:c>
      <x:c r="L295" s="21" t="str">
        <x:v>H241</x:v>
      </x:c>
      <x:c r="M295" s="21" t="str">
        <x:v>noun</x:v>
      </x:c>
      <x:c r="N295" s="21" t="str">
        <x:v>否</x:v>
      </x:c>
      <x:c r="O295" s="21" t="str"/>
      <x:c r="P295" s="21" t="str">
        <x:v>source_and_lexicon_matched</x:v>
      </x:c>
      <x:c r="Q295" s="21" t="str">
        <x:v>rule_generated_exception_review</x:v>
      </x:c>
      <x:c r="R295" s="20" t="str">
        <x:v>https://hebrewsyntax.org/bbh2new/</x:v>
      </x:c>
    </x:row>
    <x:row r="296" ht="28" customHeight="1">
      <x:c r="A296" s="21" t="n">
        <x:v>292</x:v>
      </x:c>
      <x:c r="B296" s="21" t="n">
        <x:f>ROUNDUP(A296/20,0)</x:f>
        <x:v>15</x:v>
      </x:c>
      <x:c r="C296" s="21" t="n">
        <x:f>MOD(A296-1,20)+1</x:f>
        <x:v>12</x:v>
      </x:c>
      <x:c r="D296" s="18" t="str">
        <x:v>אַ֫יִל</x:v>
      </x:c>
      <x:c r="E296" s="19" t="str">
        <x:v>ʾayil</x:v>
      </x:c>
      <x:c r="F296" s="16" t="str">
        <x:v>איל</x:v>
      </x:c>
      <x:c r="G296" s="20" t="str">
        <x:v>noun: ram, ruler adj: mighty</x:v>
      </x:c>
      <x:c r="H296" s="20" t="str"/>
      <x:c r="I296" s="21" t="str">
        <x:v>BBH2 課序</x:v>
      </x:c>
      <x:c r="J296" s="21" t="n">
        <x:v>15</x:v>
      </x:c>
      <x:c r="K296" s="22" t="n">
        <x:v>196</x:v>
      </x:c>
      <x:c r="L296" s="21" t="str">
        <x:v>H352</x:v>
      </x:c>
      <x:c r="M296" s="21" t="str">
        <x:v>noun</x:v>
      </x:c>
      <x:c r="N296" s="21" t="str">
        <x:v>否</x:v>
      </x:c>
      <x:c r="O296" s="21" t="str"/>
      <x:c r="P296" s="21" t="str">
        <x:v>source_and_lexicon_matched</x:v>
      </x:c>
      <x:c r="Q296" s="21" t="str">
        <x:v>rule_generated_exception_review</x:v>
      </x:c>
      <x:c r="R296" s="20" t="str">
        <x:v>https://hebrewsyntax.org/bbh2new/</x:v>
      </x:c>
    </x:row>
    <x:row r="297" ht="28" customHeight="1">
      <x:c r="A297" s="21" t="n">
        <x:v>293</x:v>
      </x:c>
      <x:c r="B297" s="21" t="n">
        <x:f>ROUNDUP(A297/20,0)</x:f>
        <x:v>15</x:v>
      </x:c>
      <x:c r="C297" s="21" t="n">
        <x:f>MOD(A297-1,20)+1</x:f>
        <x:v>13</x:v>
      </x:c>
      <x:c r="D297" s="18" t="str">
        <x:v>גִּבּוֹר</x:v>
      </x:c>
      <x:c r="E297" s="19" t="str">
        <x:v>gibbôr</x:v>
      </x:c>
      <x:c r="F297" s="16" t="str">
        <x:v>גבור</x:v>
      </x:c>
      <x:c r="G297" s="20" t="str">
        <x:v>adj: mighty, valiant, heroic noun: hero</x:v>
      </x:c>
      <x:c r="H297" s="20" t="str"/>
      <x:c r="I297" s="21" t="str">
        <x:v>BBH2 課序</x:v>
      </x:c>
      <x:c r="J297" s="21" t="n">
        <x:v>15</x:v>
      </x:c>
      <x:c r="K297" s="22" t="n">
        <x:v>160</x:v>
      </x:c>
      <x:c r="L297" s="21" t="str">
        <x:v>H1368</x:v>
      </x:c>
      <x:c r="M297" s="21" t="str">
        <x:v>adjective</x:v>
      </x:c>
      <x:c r="N297" s="21" t="str">
        <x:v>否</x:v>
      </x:c>
      <x:c r="O297" s="21" t="str"/>
      <x:c r="P297" s="21" t="str">
        <x:v>source_and_lexicon_matched</x:v>
      </x:c>
      <x:c r="Q297" s="21" t="str">
        <x:v>rule_generated_exception_review</x:v>
      </x:c>
      <x:c r="R297" s="20" t="str">
        <x:v>https://hebrewsyntax.org/bbh2new/</x:v>
      </x:c>
    </x:row>
    <x:row r="298" ht="28" customHeight="1">
      <x:c r="A298" s="21" t="n">
        <x:v>294</x:v>
      </x:c>
      <x:c r="B298" s="21" t="n">
        <x:f>ROUNDUP(A298/20,0)</x:f>
        <x:v>15</x:v>
      </x:c>
      <x:c r="C298" s="21" t="n">
        <x:f>MOD(A298-1,20)+1</x:f>
        <x:v>14</x:v>
      </x:c>
      <x:c r="D298" s="18" t="str">
        <x:v>זֶ֫בַח</x:v>
      </x:c>
      <x:c r="E298" s="19" t="str">
        <x:v>zeḇaḥ</x:v>
      </x:c>
      <x:c r="F298" s="16" t="str">
        <x:v>זבח</x:v>
      </x:c>
      <x:c r="G298" s="20" t="str">
        <x:v>a sacrifice</x:v>
      </x:c>
      <x:c r="H298" s="20" t="str"/>
      <x:c r="I298" s="21" t="str">
        <x:v>BBH2 課序</x:v>
      </x:c>
      <x:c r="J298" s="21" t="n">
        <x:v>15</x:v>
      </x:c>
      <x:c r="K298" s="22" t="n">
        <x:v>162</x:v>
      </x:c>
      <x:c r="L298" s="21" t="str">
        <x:v>H2077</x:v>
      </x:c>
      <x:c r="M298" s="21" t="str">
        <x:v>noun</x:v>
      </x:c>
      <x:c r="N298" s="21" t="str">
        <x:v>否</x:v>
      </x:c>
      <x:c r="O298" s="21" t="str"/>
      <x:c r="P298" s="21" t="str">
        <x:v>source_and_lexicon_matched</x:v>
      </x:c>
      <x:c r="Q298" s="21" t="str">
        <x:v>rule_generated_exception_review</x:v>
      </x:c>
      <x:c r="R298" s="20" t="str">
        <x:v>https://hebrewsyntax.org/bbh2new/</x:v>
      </x:c>
    </x:row>
    <x:row r="299" ht="28" customHeight="1">
      <x:c r="A299" s="21" t="n">
        <x:v>295</x:v>
      </x:c>
      <x:c r="B299" s="21" t="n">
        <x:f>ROUNDUP(A299/20,0)</x:f>
        <x:v>15</x:v>
      </x:c>
      <x:c r="C299" s="21" t="n">
        <x:f>MOD(A299-1,20)+1</x:f>
        <x:v>15</x:v>
      </x:c>
      <x:c r="D299" s="18" t="str">
        <x:v>צְדָקָה</x:v>
      </x:c>
      <x:c r="E299" s="19" t="str">
        <x:v>ṣəḏāqâ</x:v>
      </x:c>
      <x:c r="F299" s="16" t="str">
        <x:v>צדקה</x:v>
      </x:c>
      <x:c r="G299" s="20" t="str">
        <x:v>righteousness, righteous act, justice</x:v>
      </x:c>
      <x:c r="H299" s="20" t="str"/>
      <x:c r="I299" s="21" t="str">
        <x:v>BBH2 課序</x:v>
      </x:c>
      <x:c r="J299" s="21" t="n">
        <x:v>15</x:v>
      </x:c>
      <x:c r="K299" s="22" t="n">
        <x:v>159</x:v>
      </x:c>
      <x:c r="L299" s="21" t="str">
        <x:v>H6666</x:v>
      </x:c>
      <x:c r="M299" s="21" t="str">
        <x:v>noun</x:v>
      </x:c>
      <x:c r="N299" s="21" t="str">
        <x:v>否</x:v>
      </x:c>
      <x:c r="O299" s="21" t="str"/>
      <x:c r="P299" s="21" t="str">
        <x:v>source_and_lexicon_matched</x:v>
      </x:c>
      <x:c r="Q299" s="21" t="str">
        <x:v>rule_generated_exception_review</x:v>
      </x:c>
      <x:c r="R299" s="20" t="str">
        <x:v>https://hebrewsyntax.org/bbh2new/</x:v>
      </x:c>
    </x:row>
    <x:row r="300" ht="28" customHeight="1">
      <x:c r="A300" s="21" t="n">
        <x:v>296</x:v>
      </x:c>
      <x:c r="B300" s="21" t="n">
        <x:f>ROUNDUP(A300/20,0)</x:f>
        <x:v>15</x:v>
      </x:c>
      <x:c r="C300" s="21" t="n">
        <x:f>MOD(A300-1,20)+1</x:f>
        <x:v>16</x:v>
      </x:c>
      <x:c r="D300" s="18" t="str">
        <x:v>צָפוֹן</x:v>
      </x:c>
      <x:c r="E300" s="19" t="str">
        <x:v>ṣāp̄ôn</x:v>
      </x:c>
      <x:c r="F300" s="16" t="str">
        <x:v>צפון</x:v>
      </x:c>
      <x:c r="G300" s="20" t="str">
        <x:v>north, northern [F]</x:v>
      </x:c>
      <x:c r="H300" s="20" t="str"/>
      <x:c r="I300" s="21" t="str">
        <x:v>BBH2 課序</x:v>
      </x:c>
      <x:c r="J300" s="21" t="n">
        <x:v>15</x:v>
      </x:c>
      <x:c r="K300" s="22" t="n">
        <x:v>153</x:v>
      </x:c>
      <x:c r="L300" s="21" t="str">
        <x:v>H6828</x:v>
      </x:c>
      <x:c r="M300" s="21" t="str">
        <x:v>noun</x:v>
      </x:c>
      <x:c r="N300" s="21" t="str">
        <x:v>否</x:v>
      </x:c>
      <x:c r="O300" s="21" t="str"/>
      <x:c r="P300" s="21" t="str">
        <x:v>source_and_lexicon_matched</x:v>
      </x:c>
      <x:c r="Q300" s="21" t="str">
        <x:v>rule_generated_exception_review</x:v>
      </x:c>
      <x:c r="R300" s="20" t="str">
        <x:v>https://hebrewsyntax.org/bbh2new/</x:v>
      </x:c>
    </x:row>
    <x:row r="301" ht="28" customHeight="1">
      <x:c r="A301" s="21" t="n">
        <x:v>297</x:v>
      </x:c>
      <x:c r="B301" s="21" t="n">
        <x:f>ROUNDUP(A301/20,0)</x:f>
        <x:v>15</x:v>
      </x:c>
      <x:c r="C301" s="21" t="n">
        <x:f>MOD(A301-1,20)+1</x:f>
        <x:v>17</x:v>
      </x:c>
      <x:c r="D301" s="18" t="str">
        <x:v>אָז</x:v>
      </x:c>
      <x:c r="E301" s="19" t="str">
        <x:v>ʾāz</x:v>
      </x:c>
      <x:c r="F301" s="16" t="str">
        <x:v>אז</x:v>
      </x:c>
      <x:c r="G301" s="20" t="str">
        <x:v>then, since, before</x:v>
      </x:c>
      <x:c r="H301" s="20" t="str"/>
      <x:c r="I301" s="21" t="str">
        <x:v>BBH2 課序</x:v>
      </x:c>
      <x:c r="J301" s="21" t="n">
        <x:v>15</x:v>
      </x:c>
      <x:c r="K301" s="22" t="n">
        <x:v>141</x:v>
      </x:c>
      <x:c r="L301" s="21" t="str">
        <x:v>H227</x:v>
      </x:c>
      <x:c r="M301" s="21" t="str">
        <x:v>adverb</x:v>
      </x:c>
      <x:c r="N301" s="21" t="str">
        <x:v>否</x:v>
      </x:c>
      <x:c r="O301" s="21" t="str"/>
      <x:c r="P301" s="21" t="str">
        <x:v>source_and_lexicon_matched</x:v>
      </x:c>
      <x:c r="Q301" s="21" t="str">
        <x:v>rule_generated_exception_review</x:v>
      </x:c>
      <x:c r="R301" s="20" t="str">
        <x:v>https://hebrewsyntax.org/bbh2new/</x:v>
      </x:c>
    </x:row>
    <x:row r="302" ht="28" customHeight="1">
      <x:c r="A302" s="21" t="n">
        <x:v>298</x:v>
      </x:c>
      <x:c r="B302" s="21" t="n">
        <x:f>ROUNDUP(A302/20,0)</x:f>
        <x:v>15</x:v>
      </x:c>
      <x:c r="C302" s="21" t="n">
        <x:f>MOD(A302-1,20)+1</x:f>
        <x:v>18</x:v>
      </x:c>
      <x:c r="D302" s="18" t="str">
        <x:v>אַף</x:v>
      </x:c>
      <x:c r="E302" s="19" t="str">
        <x:v>ʾap̄</x:v>
      </x:c>
      <x:c r="F302" s="16" t="str">
        <x:v>אף</x:v>
      </x:c>
      <x:c r="G302" s="20" t="str">
        <x:v>also, indeed, even; [ch9: nose, nostril, anger]</x:v>
      </x:c>
      <x:c r="H302" s="20" t="str"/>
      <x:c r="I302" s="21" t="str">
        <x:v>BBH2 課序</x:v>
      </x:c>
      <x:c r="J302" s="21" t="n">
        <x:v>15</x:v>
      </x:c>
      <x:c r="K302" s="22" t="n">
        <x:v>134</x:v>
      </x:c>
      <x:c r="L302" s="21" t="str">
        <x:v>H637</x:v>
      </x:c>
      <x:c r="M302" s="21" t="str">
        <x:v>particle</x:v>
      </x:c>
      <x:c r="N302" s="21" t="str">
        <x:v>否</x:v>
      </x:c>
      <x:c r="O302" s="21" t="str"/>
      <x:c r="P302" s="21" t="str">
        <x:v>source_and_lexicon_matched</x:v>
      </x:c>
      <x:c r="Q302" s="21" t="str">
        <x:v>rule_generated_exception_review</x:v>
      </x:c>
      <x:c r="R302" s="20" t="str">
        <x:v>https://hebrewsyntax.org/bbh2new/</x:v>
      </x:c>
    </x:row>
    <x:row r="303" ht="28" customHeight="1">
      <x:c r="A303" s="21" t="n">
        <x:v>299</x:v>
      </x:c>
      <x:c r="B303" s="21" t="n">
        <x:f>ROUNDUP(A303/20,0)</x:f>
        <x:v>15</x:v>
      </x:c>
      <x:c r="C303" s="21" t="n">
        <x:f>MOD(A303-1,20)+1</x:f>
        <x:v>19</x:v>
      </x:c>
      <x:c r="D303" s="18" t="str">
        <x:v>פֶּן־</x:v>
      </x:c>
      <x:c r="E303" s="19" t="str">
        <x:v>pen-</x:v>
      </x:c>
      <x:c r="F303" s="16" t="str">
        <x:v>פן</x:v>
      </x:c>
      <x:c r="G303" s="20" t="str">
        <x:v>lest, otherwise</x:v>
      </x:c>
      <x:c r="H303" s="20" t="str"/>
      <x:c r="I303" s="21" t="str">
        <x:v>BBH2 課序</x:v>
      </x:c>
      <x:c r="J303" s="21" t="n">
        <x:v>15</x:v>
      </x:c>
      <x:c r="K303" s="22" t="n">
        <x:v>133</x:v>
      </x:c>
      <x:c r="L303" s="21" t="str">
        <x:v>H6435</x:v>
      </x:c>
      <x:c r="M303" s="21" t="str">
        <x:v>conjunction</x:v>
      </x:c>
      <x:c r="N303" s="21" t="str">
        <x:v>否</x:v>
      </x:c>
      <x:c r="O303" s="21" t="str"/>
      <x:c r="P303" s="21" t="str">
        <x:v>source_and_lexicon_matched</x:v>
      </x:c>
      <x:c r="Q303" s="21" t="str">
        <x:v>rule_generated_exception_review</x:v>
      </x:c>
      <x:c r="R303" s="20" t="str">
        <x:v>https://hebrewsyntax.org/bbh2new/</x:v>
      </x:c>
    </x:row>
    <x:row r="304" ht="28" customHeight="1">
      <x:c r="A304" s="21" t="n">
        <x:v>300</x:v>
      </x:c>
      <x:c r="B304" s="21" t="n">
        <x:f>ROUNDUP(A304/20,0)</x:f>
        <x:v>15</x:v>
      </x:c>
      <x:c r="C304" s="21" t="n">
        <x:f>MOD(A304-1,20)+1</x:f>
        <x:v>20</x:v>
      </x:c>
      <x:c r="D304" s="18" t="str">
        <x:v>גָּאַל</x:v>
      </x:c>
      <x:c r="E304" s="19" t="str">
        <x:v>gāʾal</x:v>
      </x:c>
      <x:c r="F304" s="16" t="str">
        <x:v>גאל</x:v>
      </x:c>
      <x:c r="G304" s="20" t="str">
        <x:v>to redeem, deliver, act as kinsman, avenge</x:v>
      </x:c>
      <x:c r="H304" s="20" t="str"/>
      <x:c r="I304" s="21" t="str">
        <x:v>BBH2 課序</x:v>
      </x:c>
      <x:c r="J304" s="21" t="n">
        <x:v>16</x:v>
      </x:c>
      <x:c r="K304" s="22" t="n">
        <x:v>105</x:v>
      </x:c>
      <x:c r="L304" s="21" t="str">
        <x:v>H1350</x:v>
      </x:c>
      <x:c r="M304" s="21" t="str">
        <x:v>verb</x:v>
      </x:c>
      <x:c r="N304" s="21" t="str">
        <x:v>否</x:v>
      </x:c>
      <x:c r="O304" s="21" t="str"/>
      <x:c r="P304" s="21" t="str">
        <x:v>source_and_lexicon_matched</x:v>
      </x:c>
      <x:c r="Q304" s="21" t="str">
        <x:v>rule_generated_exception_review</x:v>
      </x:c>
      <x:c r="R304" s="20" t="str">
        <x:v>https://hebrewsyntax.org/bbh2new/</x:v>
      </x:c>
    </x:row>
    <x:row r="305" ht="28" customHeight="1">
      <x:c r="A305" s="21" t="n">
        <x:v>301</x:v>
      </x:c>
      <x:c r="B305" s="21" t="n">
        <x:f>ROUNDUP(A305/20,0)</x:f>
        <x:v>16</x:v>
      </x:c>
      <x:c r="C305" s="21" t="n">
        <x:f>MOD(A305-1,20)+1</x:f>
        <x:v>1</x:v>
      </x:c>
      <x:c r="D305" s="18" t="str">
        <x:v>חָטָא</x:v>
      </x:c>
      <x:c r="E305" s="19" t="str">
        <x:v>ḥāṭāʾ</x:v>
      </x:c>
      <x:c r="F305" s="16" t="str">
        <x:v>חטא</x:v>
      </x:c>
      <x:c r="G305" s="20" t="str">
        <x:v>to miss (a goal or mark), sin, commit a sin</x:v>
      </x:c>
      <x:c r="H305" s="20" t="str"/>
      <x:c r="I305" s="21" t="str">
        <x:v>BBH2 課序</x:v>
      </x:c>
      <x:c r="J305" s="21" t="n">
        <x:v>16</x:v>
      </x:c>
      <x:c r="K305" s="22" t="n">
        <x:v>240</x:v>
      </x:c>
      <x:c r="L305" s="21" t="str">
        <x:v>H2398</x:v>
      </x:c>
      <x:c r="M305" s="21" t="str">
        <x:v>verb</x:v>
      </x:c>
      <x:c r="N305" s="21" t="str">
        <x:v>否</x:v>
      </x:c>
      <x:c r="O305" s="21" t="str"/>
      <x:c r="P305" s="21" t="str">
        <x:v>source_and_lexicon_matched</x:v>
      </x:c>
      <x:c r="Q305" s="21" t="str">
        <x:v>rule_generated_exception_review</x:v>
      </x:c>
      <x:c r="R305" s="20" t="str">
        <x:v>https://hebrewsyntax.org/bbh2new/</x:v>
      </x:c>
    </x:row>
    <x:row r="306" ht="28" customHeight="1">
      <x:c r="A306" s="21" t="n">
        <x:v>302</x:v>
      </x:c>
      <x:c r="B306" s="21" t="n">
        <x:f>ROUNDUP(A306/20,0)</x:f>
        <x:v>16</x:v>
      </x:c>
      <x:c r="C306" s="21" t="n">
        <x:f>MOD(A306-1,20)+1</x:f>
        <x:v>2</x:v>
      </x:c>
      <x:c r="D306" s="18" t="str">
        <x:v>יָסַף</x:v>
      </x:c>
      <x:c r="E306" s="19" t="str">
        <x:v>yāsap̄</x:v>
      </x:c>
      <x:c r="F306" s="16" t="str">
        <x:v>יסף</x:v>
      </x:c>
      <x:c r="G306" s="20" t="str">
        <x:v>to add, continue</x:v>
      </x:c>
      <x:c r="H306" s="20" t="str"/>
      <x:c r="I306" s="21" t="str">
        <x:v>BBH2 課序</x:v>
      </x:c>
      <x:c r="J306" s="21" t="n">
        <x:v>16</x:v>
      </x:c>
      <x:c r="K306" s="22" t="n">
        <x:v>210</x:v>
      </x:c>
      <x:c r="L306" s="21" t="str">
        <x:v>H3254</x:v>
      </x:c>
      <x:c r="M306" s="21" t="str">
        <x:v>verb</x:v>
      </x:c>
      <x:c r="N306" s="21" t="str">
        <x:v>否</x:v>
      </x:c>
      <x:c r="O306" s="21" t="str"/>
      <x:c r="P306" s="21" t="str">
        <x:v>source_and_lexicon_matched</x:v>
      </x:c>
      <x:c r="Q306" s="21" t="str">
        <x:v>rule_generated_exception_review</x:v>
      </x:c>
      <x:c r="R306" s="20" t="str">
        <x:v>https://hebrewsyntax.org/bbh2new/</x:v>
      </x:c>
    </x:row>
    <x:row r="307" ht="28" customHeight="1">
      <x:c r="A307" s="21" t="n">
        <x:v>303</x:v>
      </x:c>
      <x:c r="B307" s="21" t="n">
        <x:f>ROUNDUP(A307/20,0)</x:f>
        <x:v>16</x:v>
      </x:c>
      <x:c r="C307" s="21" t="n">
        <x:f>MOD(A307-1,20)+1</x:f>
        <x:v>3</x:v>
      </x:c>
      <x:c r="D307" s="18" t="str">
        <x:v>יָרַשׁ</x:v>
      </x:c>
      <x:c r="E307" s="19" t="str">
        <x:v>yāraš</x:v>
      </x:c>
      <x:c r="F307" s="16" t="str">
        <x:v>ירש</x:v>
      </x:c>
      <x:c r="G307" s="20" t="str">
        <x:v>to inherit, take possession of, dispossess, take away someone’s property</x:v>
      </x:c>
      <x:c r="H307" s="20" t="str"/>
      <x:c r="I307" s="21" t="str">
        <x:v>BBH2 課序</x:v>
      </x:c>
      <x:c r="J307" s="21" t="n">
        <x:v>16</x:v>
      </x:c>
      <x:c r="K307" s="22" t="n">
        <x:v>232</x:v>
      </x:c>
      <x:c r="L307" s="21" t="str">
        <x:v>H3423</x:v>
      </x:c>
      <x:c r="M307" s="21" t="str">
        <x:v>verb</x:v>
      </x:c>
      <x:c r="N307" s="21" t="str">
        <x:v>否</x:v>
      </x:c>
      <x:c r="O307" s="21" t="str"/>
      <x:c r="P307" s="21" t="str">
        <x:v>source_and_lexicon_matched</x:v>
      </x:c>
      <x:c r="Q307" s="21" t="str">
        <x:v>rule_generated_exception_review</x:v>
      </x:c>
      <x:c r="R307" s="20" t="str">
        <x:v>https://hebrewsyntax.org/bbh2new/</x:v>
      </x:c>
    </x:row>
    <x:row r="308" ht="28" customHeight="1">
      <x:c r="A308" s="21" t="n">
        <x:v>304</x:v>
      </x:c>
      <x:c r="B308" s="21" t="n">
        <x:f>ROUNDUP(A308/20,0)</x:f>
        <x:v>16</x:v>
      </x:c>
      <x:c r="C308" s="21" t="n">
        <x:f>MOD(A308-1,20)+1</x:f>
        <x:v>4</x:v>
      </x:c>
      <x:c r="D308" s="18" t="str">
        <x:v>כָּפַר</x:v>
      </x:c>
      <x:c r="E308" s="19" t="str">
        <x:v>kāp̄ar</x:v>
      </x:c>
      <x:c r="F308" s="16" t="str">
        <x:v>כפר</x:v>
      </x:c>
      <x:c r="G308" s="20" t="str">
        <x:v>to cover, atone, make atonement</x:v>
      </x:c>
      <x:c r="H308" s="20" t="str"/>
      <x:c r="I308" s="21" t="str">
        <x:v>BBH2 課序</x:v>
      </x:c>
      <x:c r="J308" s="21" t="n">
        <x:v>16</x:v>
      </x:c>
      <x:c r="K308" s="22" t="n">
        <x:v>103</x:v>
      </x:c>
      <x:c r="L308" s="21" t="str">
        <x:v>H3722</x:v>
      </x:c>
      <x:c r="M308" s="21" t="str">
        <x:v>verb</x:v>
      </x:c>
      <x:c r="N308" s="21" t="str">
        <x:v>否</x:v>
      </x:c>
      <x:c r="O308" s="21" t="str"/>
      <x:c r="P308" s="21" t="str">
        <x:v>source_and_lexicon_matched</x:v>
      </x:c>
      <x:c r="Q308" s="21" t="str">
        <x:v>rule_generated_exception_review</x:v>
      </x:c>
      <x:c r="R308" s="20" t="str">
        <x:v>https://hebrewsyntax.org/bbh2new/</x:v>
      </x:c>
    </x:row>
    <x:row r="309" ht="28" customHeight="1">
      <x:c r="A309" s="21" t="n">
        <x:v>305</x:v>
      </x:c>
      <x:c r="B309" s="21" t="n">
        <x:f>ROUNDUP(A309/20,0)</x:f>
        <x:v>16</x:v>
      </x:c>
      <x:c r="C309" s="21" t="n">
        <x:f>MOD(A309-1,20)+1</x:f>
        <x:v>5</x:v>
      </x:c>
      <x:c r="D309" s="18" t="str">
        <x:v>נָטָה</x:v>
      </x:c>
      <x:c r="E309" s="19" t="str">
        <x:v>nāṭâ</x:v>
      </x:c>
      <x:c r="F309" s="16" t="str">
        <x:v>נטה</x:v>
      </x:c>
      <x:c r="G309" s="20" t="str">
        <x:v>to spread out, stretch out, extend, pitch (a tent)</x:v>
      </x:c>
      <x:c r="H309" s="20" t="str"/>
      <x:c r="I309" s="21" t="str">
        <x:v>BBH2 課序</x:v>
      </x:c>
      <x:c r="J309" s="21" t="n">
        <x:v>16</x:v>
      </x:c>
      <x:c r="K309" s="22" t="n">
        <x:v>216</x:v>
      </x:c>
      <x:c r="L309" s="21" t="str">
        <x:v>H5186</x:v>
      </x:c>
      <x:c r="M309" s="21" t="str">
        <x:v>verb</x:v>
      </x:c>
      <x:c r="N309" s="21" t="str">
        <x:v>否</x:v>
      </x:c>
      <x:c r="O309" s="21" t="str"/>
      <x:c r="P309" s="21" t="str">
        <x:v>source_and_lexicon_matched</x:v>
      </x:c>
      <x:c r="Q309" s="21" t="str">
        <x:v>rule_generated_exception_review</x:v>
      </x:c>
      <x:c r="R309" s="20" t="str">
        <x:v>https://hebrewsyntax.org/bbh2new/</x:v>
      </x:c>
    </x:row>
    <x:row r="310" ht="28" customHeight="1">
      <x:c r="A310" s="21" t="n">
        <x:v>306</x:v>
      </x:c>
      <x:c r="B310" s="21" t="n">
        <x:f>ROUNDUP(A310/20,0)</x:f>
        <x:v>16</x:v>
      </x:c>
      <x:c r="C310" s="21" t="n">
        <x:f>MOD(A310-1,20)+1</x:f>
        <x:v>6</x:v>
      </x:c>
      <x:c r="D310" s="18" t="str">
        <x:v>עָזַב</x:v>
      </x:c>
      <x:c r="E310" s="19" t="str">
        <x:v>ʿāzaḇ</x:v>
      </x:c>
      <x:c r="F310" s="16" t="str">
        <x:v>עזב</x:v>
      </x:c>
      <x:c r="G310" s="20" t="str">
        <x:v>to leave, forsake, abandon, set free, let go</x:v>
      </x:c>
      <x:c r="H310" s="20" t="str"/>
      <x:c r="I310" s="21" t="str">
        <x:v>BBH2 課序</x:v>
      </x:c>
      <x:c r="J310" s="21" t="n">
        <x:v>16</x:v>
      </x:c>
      <x:c r="K310" s="22" t="n">
        <x:v>215</x:v>
      </x:c>
      <x:c r="L310" s="21" t="str">
        <x:v>H5800</x:v>
      </x:c>
      <x:c r="M310" s="21" t="str">
        <x:v>verb</x:v>
      </x:c>
      <x:c r="N310" s="21" t="str">
        <x:v>否</x:v>
      </x:c>
      <x:c r="O310" s="21" t="str"/>
      <x:c r="P310" s="21" t="str">
        <x:v>source_and_lexicon_matched</x:v>
      </x:c>
      <x:c r="Q310" s="21" t="str">
        <x:v>rule_generated_exception_review</x:v>
      </x:c>
      <x:c r="R310" s="20" t="str">
        <x:v>https://hebrewsyntax.org/bbh2new/</x:v>
      </x:c>
    </x:row>
    <x:row r="311" ht="28" customHeight="1">
      <x:c r="A311" s="21" t="n">
        <x:v>307</x:v>
      </x:c>
      <x:c r="B311" s="21" t="n">
        <x:f>ROUNDUP(A311/20,0)</x:f>
        <x:v>16</x:v>
      </x:c>
      <x:c r="C311" s="21" t="n">
        <x:f>MOD(A311-1,20)+1</x:f>
        <x:v>7</x:v>
      </x:c>
      <x:c r="D311" s="18" t="str">
        <x:v>קָרַב</x:v>
      </x:c>
      <x:c r="E311" s="19" t="str">
        <x:v>qāraḇ</x:v>
      </x:c>
      <x:c r="F311" s="16" t="str">
        <x:v>קרב</x:v>
      </x:c>
      <x:c r="G311" s="20" t="str">
        <x:v>to approach, draw near, come near</x:v>
      </x:c>
      <x:c r="H311" s="20" t="str"/>
      <x:c r="I311" s="21" t="str">
        <x:v>BBH2 課序</x:v>
      </x:c>
      <x:c r="J311" s="21" t="n">
        <x:v>16</x:v>
      </x:c>
      <x:c r="K311" s="22" t="n">
        <x:v>283</x:v>
      </x:c>
      <x:c r="L311" s="21" t="str">
        <x:v>H7126</x:v>
      </x:c>
      <x:c r="M311" s="21" t="str">
        <x:v>verb</x:v>
      </x:c>
      <x:c r="N311" s="21" t="str">
        <x:v>否</x:v>
      </x:c>
      <x:c r="O311" s="21" t="str"/>
      <x:c r="P311" s="21" t="str">
        <x:v>source_and_lexicon_matched</x:v>
      </x:c>
      <x:c r="Q311" s="21" t="str">
        <x:v>rule_generated_exception_review</x:v>
      </x:c>
      <x:c r="R311" s="20" t="str">
        <x:v>https://hebrewsyntax.org/bbh2new/</x:v>
      </x:c>
    </x:row>
    <x:row r="312" ht="28" customHeight="1">
      <x:c r="A312" s="21" t="n">
        <x:v>308</x:v>
      </x:c>
      <x:c r="B312" s="21" t="n">
        <x:f>ROUNDUP(A312/20,0)</x:f>
        <x:v>16</x:v>
      </x:c>
      <x:c r="C312" s="21" t="n">
        <x:f>MOD(A312-1,20)+1</x:f>
        <x:v>8</x:v>
      </x:c>
      <x:c r="D312" s="18" t="str">
        <x:v>רָבָה</x:v>
      </x:c>
      <x:c r="E312" s="19" t="str">
        <x:v>rāḇâ</x:v>
      </x:c>
      <x:c r="F312" s="16" t="str">
        <x:v>רבה</x:v>
      </x:c>
      <x:c r="G312" s="20" t="str">
        <x:v>to be(come) numerous, be(come) great, increase</x:v>
      </x:c>
      <x:c r="H312" s="20" t="str"/>
      <x:c r="I312" s="21" t="str">
        <x:v>BBH2 課序</x:v>
      </x:c>
      <x:c r="J312" s="21" t="n">
        <x:v>16</x:v>
      </x:c>
      <x:c r="K312" s="22" t="n">
        <x:v>235</x:v>
      </x:c>
      <x:c r="L312" s="21" t="str">
        <x:v>H7235</x:v>
      </x:c>
      <x:c r="M312" s="21" t="str">
        <x:v>verb</x:v>
      </x:c>
      <x:c r="N312" s="21" t="str">
        <x:v>否</x:v>
      </x:c>
      <x:c r="O312" s="21" t="str"/>
      <x:c r="P312" s="21" t="str">
        <x:v>source_and_lexicon_matched</x:v>
      </x:c>
      <x:c r="Q312" s="21" t="str">
        <x:v>rule_generated_exception_review</x:v>
      </x:c>
      <x:c r="R312" s="20" t="str">
        <x:v>https://hebrewsyntax.org/bbh2new/</x:v>
      </x:c>
    </x:row>
    <x:row r="313" ht="28" customHeight="1">
      <x:c r="A313" s="21" t="n">
        <x:v>309</x:v>
      </x:c>
      <x:c r="B313" s="21" t="n">
        <x:f>ROUNDUP(A313/20,0)</x:f>
        <x:v>16</x:v>
      </x:c>
      <x:c r="C313" s="21" t="n">
        <x:f>MOD(A313-1,20)+1</x:f>
        <x:v>9</x:v>
      </x:c>
      <x:c r="D313" s="18" t="str">
        <x:v>שָׁתָה</x:v>
      </x:c>
      <x:c r="E313" s="19" t="str">
        <x:v>šāṯâ</x:v>
      </x:c>
      <x:c r="F313" s="16" t="str">
        <x:v>שתה</x:v>
      </x:c>
      <x:c r="G313" s="20" t="str">
        <x:v>to drink</x:v>
      </x:c>
      <x:c r="H313" s="20" t="str"/>
      <x:c r="I313" s="21" t="str">
        <x:v>BBH2 課序</x:v>
      </x:c>
      <x:c r="J313" s="21" t="n">
        <x:v>16</x:v>
      </x:c>
      <x:c r="K313" s="22" t="n">
        <x:v>217</x:v>
      </x:c>
      <x:c r="L313" s="21" t="str">
        <x:v>H8354</x:v>
      </x:c>
      <x:c r="M313" s="21" t="str">
        <x:v>verb</x:v>
      </x:c>
      <x:c r="N313" s="21" t="str">
        <x:v>否</x:v>
      </x:c>
      <x:c r="O313" s="21" t="str"/>
      <x:c r="P313" s="21" t="str">
        <x:v>source_and_lexicon_matched</x:v>
      </x:c>
      <x:c r="Q313" s="21" t="str">
        <x:v>rule_generated_exception_review</x:v>
      </x:c>
      <x:c r="R313" s="20" t="str">
        <x:v>https://hebrewsyntax.org/bbh2new/</x:v>
      </x:c>
    </x:row>
    <x:row r="314" ht="28" customHeight="1">
      <x:c r="A314" s="21" t="n">
        <x:v>310</x:v>
      </x:c>
      <x:c r="B314" s="21" t="n">
        <x:f>ROUNDUP(A314/20,0)</x:f>
        <x:v>16</x:v>
      </x:c>
      <x:c r="C314" s="21" t="n">
        <x:f>MOD(A314-1,20)+1</x:f>
        <x:v>10</x:v>
      </x:c>
      <x:c r="D314" s="18" t="str">
        <x:v>תָּמַם</x:v>
      </x:c>
      <x:c r="E314" s="19" t="str">
        <x:v>tāmam</x:v>
      </x:c>
      <x:c r="F314" s="16" t="str">
        <x:v>תמם</x:v>
      </x:c>
      <x:c r="G314" s="20" t="str">
        <x:v>to be(come) complete, cease, come to an end, be spent, be consumed, be burned out</x:v>
      </x:c>
      <x:c r="H314" s="20" t="str"/>
      <x:c r="I314" s="21" t="str">
        <x:v>BBH2 課序</x:v>
      </x:c>
      <x:c r="J314" s="21" t="n">
        <x:v>16</x:v>
      </x:c>
      <x:c r="K314" s="22" t="n">
        <x:v>63</x:v>
      </x:c>
      <x:c r="L314" s="21" t="str">
        <x:v>H8552</x:v>
      </x:c>
      <x:c r="M314" s="21" t="str">
        <x:v>verb</x:v>
      </x:c>
      <x:c r="N314" s="21" t="str">
        <x:v>否</x:v>
      </x:c>
      <x:c r="O314" s="21" t="str"/>
      <x:c r="P314" s="21" t="str">
        <x:v>source_and_lexicon_matched</x:v>
      </x:c>
      <x:c r="Q314" s="21" t="str">
        <x:v>rule_generated_exception_review</x:v>
      </x:c>
      <x:c r="R314" s="20" t="str">
        <x:v>https://hebrewsyntax.org/bbh2new/</x:v>
      </x:c>
    </x:row>
    <x:row r="315" ht="28" customHeight="1">
      <x:c r="A315" s="21" t="n">
        <x:v>311</x:v>
      </x:c>
      <x:c r="B315" s="21" t="n">
        <x:f>ROUNDUP(A315/20,0)</x:f>
        <x:v>16</x:v>
      </x:c>
      <x:c r="C315" s="21" t="n">
        <x:f>MOD(A315-1,20)+1</x:f>
        <x:v>11</x:v>
      </x:c>
      <x:c r="D315" s="18" t="str">
        <x:v>כַּף</x:v>
      </x:c>
      <x:c r="E315" s="19" t="str">
        <x:v>kap̄</x:v>
      </x:c>
      <x:c r="F315" s="16" t="str">
        <x:v>כף</x:v>
      </x:c>
      <x:c r="G315" s="20" t="str">
        <x:v>hand, palm, sole of foot [F]</x:v>
      </x:c>
      <x:c r="H315" s="20" t="str"/>
      <x:c r="I315" s="21" t="str">
        <x:v>BBH2 課序</x:v>
      </x:c>
      <x:c r="J315" s="21" t="n">
        <x:v>16</x:v>
      </x:c>
      <x:c r="K315" s="22" t="n">
        <x:v>195</x:v>
      </x:c>
      <x:c r="L315" s="21" t="str">
        <x:v>H3709</x:v>
      </x:c>
      <x:c r="M315" s="21" t="str">
        <x:v>noun</x:v>
      </x:c>
      <x:c r="N315" s="21" t="str">
        <x:v>否</x:v>
      </x:c>
      <x:c r="O315" s="21" t="str"/>
      <x:c r="P315" s="21" t="str">
        <x:v>source_and_lexicon_matched</x:v>
      </x:c>
      <x:c r="Q315" s="21" t="str">
        <x:v>rule_generated_exception_review</x:v>
      </x:c>
      <x:c r="R315" s="20" t="str">
        <x:v>https://hebrewsyntax.org/bbh2new/</x:v>
      </x:c>
    </x:row>
    <x:row r="316" ht="28" customHeight="1">
      <x:c r="A316" s="21" t="n">
        <x:v>312</x:v>
      </x:c>
      <x:c r="B316" s="21" t="n">
        <x:f>ROUNDUP(A316/20,0)</x:f>
        <x:v>16</x:v>
      </x:c>
      <x:c r="C316" s="21" t="n">
        <x:f>MOD(A316-1,20)+1</x:f>
        <x:v>12</x:v>
      </x:c>
      <x:c r="D316" s="18" t="str">
        <x:v>רֵ֫עַ</x:v>
      </x:c>
      <x:c r="E316" s="19" t="str">
        <x:v>rēaʿ</x:v>
      </x:c>
      <x:c r="F316" s="16" t="str">
        <x:v>רע</x:v>
      </x:c>
      <x:c r="G316" s="20" t="str">
        <x:v>friend, companion, neighbor</x:v>
      </x:c>
      <x:c r="H316" s="20" t="str"/>
      <x:c r="I316" s="21" t="str">
        <x:v>BBH2 課序</x:v>
      </x:c>
      <x:c r="J316" s="21" t="n">
        <x:v>16</x:v>
      </x:c>
      <x:c r="K316" s="22" t="n">
        <x:v>189</x:v>
      </x:c>
      <x:c r="L316" s="21" t="str">
        <x:v>H7453</x:v>
      </x:c>
      <x:c r="M316" s="21" t="str">
        <x:v>noun</x:v>
      </x:c>
      <x:c r="N316" s="21" t="str">
        <x:v>否</x:v>
      </x:c>
      <x:c r="O316" s="21" t="str"/>
      <x:c r="P316" s="21" t="str">
        <x:v>source_and_lexicon_matched</x:v>
      </x:c>
      <x:c r="Q316" s="21" t="str">
        <x:v>rule_generated_exception_review</x:v>
      </x:c>
      <x:c r="R316" s="20" t="str">
        <x:v>https://hebrewsyntax.org/bbh2new/</x:v>
      </x:c>
    </x:row>
    <x:row r="317" ht="28" customHeight="1">
      <x:c r="A317" s="21" t="n">
        <x:v>313</x:v>
      </x:c>
      <x:c r="B317" s="21" t="n">
        <x:f>ROUNDUP(A317/20,0)</x:f>
        <x:v>16</x:v>
      </x:c>
      <x:c r="C317" s="21" t="n">
        <x:f>MOD(A317-1,20)+1</x:f>
        <x:v>13</x:v>
      </x:c>
      <x:c r="D317" s="18" t="str">
        <x:v>נֶ֫גֶד</x:v>
      </x:c>
      <x:c r="E317" s="19" t="str">
        <x:v>neg̅eḏ</x:v>
      </x:c>
      <x:c r="F317" s="16" t="str">
        <x:v>נגד</x:v>
      </x:c>
      <x:c r="G317" s="20" t="str">
        <x:v>opposite, in front of</x:v>
      </x:c>
      <x:c r="H317" s="20" t="str"/>
      <x:c r="I317" s="21" t="str">
        <x:v>BBH2 課序</x:v>
      </x:c>
      <x:c r="J317" s="21" t="n">
        <x:v>16</x:v>
      </x:c>
      <x:c r="K317" s="22" t="n">
        <x:v>150</x:v>
      </x:c>
      <x:c r="L317" s="21" t="str">
        <x:v>H5048</x:v>
      </x:c>
      <x:c r="M317" s="21" t="str">
        <x:v>preposition</x:v>
      </x:c>
      <x:c r="N317" s="21" t="str">
        <x:v>否</x:v>
      </x:c>
      <x:c r="O317" s="21" t="str"/>
      <x:c r="P317" s="21" t="str">
        <x:v>source_and_lexicon_matched</x:v>
      </x:c>
      <x:c r="Q317" s="21" t="str">
        <x:v>rule_generated_exception_review</x:v>
      </x:c>
      <x:c r="R317" s="20" t="str">
        <x:v>https://hebrewsyntax.org/bbh2new/</x:v>
      </x:c>
    </x:row>
    <x:row r="318" ht="28" customHeight="1">
      <x:c r="A318" s="21" t="n">
        <x:v>314</x:v>
      </x:c>
      <x:c r="B318" s="21" t="n">
        <x:f>ROUNDUP(A318/20,0)</x:f>
        <x:v>16</x:v>
      </x:c>
      <x:c r="C318" s="21" t="n">
        <x:f>MOD(A318-1,20)+1</x:f>
        <x:v>14</x:v>
      </x:c>
      <x:c r="D318" s="18" t="str">
        <x:v>אָבַד</x:v>
      </x:c>
      <x:c r="E318" s="19" t="str">
        <x:v>ʾāḇaḏ</x:v>
      </x:c>
      <x:c r="F318" s="16" t="str">
        <x:v>אבד</x:v>
      </x:c>
      <x:c r="G318" s="20" t="str">
        <x:v>to perish, vanish, be(come) lost</x:v>
      </x:c>
      <x:c r="H318" s="20" t="str"/>
      <x:c r="I318" s="21" t="str">
        <x:v>BBH2 課序</x:v>
      </x:c>
      <x:c r="J318" s="21" t="n">
        <x:v>17</x:v>
      </x:c>
      <x:c r="K318" s="22" t="n">
        <x:v>185</x:v>
      </x:c>
      <x:c r="L318" s="21" t="str">
        <x:v>H6</x:v>
      </x:c>
      <x:c r="M318" s="21" t="str">
        <x:v>verb</x:v>
      </x:c>
      <x:c r="N318" s="21" t="str">
        <x:v>否</x:v>
      </x:c>
      <x:c r="O318" s="21" t="str"/>
      <x:c r="P318" s="21" t="str">
        <x:v>source_and_lexicon_matched</x:v>
      </x:c>
      <x:c r="Q318" s="21" t="str">
        <x:v>rule_generated_exception_review</x:v>
      </x:c>
      <x:c r="R318" s="20" t="str">
        <x:v>https://hebrewsyntax.org/bbh2new/</x:v>
      </x:c>
    </x:row>
    <x:row r="319" ht="28" customHeight="1">
      <x:c r="A319" s="21" t="n">
        <x:v>315</x:v>
      </x:c>
      <x:c r="B319" s="21" t="n">
        <x:f>ROUNDUP(A319/20,0)</x:f>
        <x:v>16</x:v>
      </x:c>
      <x:c r="C319" s="21" t="n">
        <x:f>MOD(A319-1,20)+1</x:f>
        <x:v>15</x:v>
      </x:c>
      <x:c r="D319" s="18" t="str">
        <x:v>אָהַב</x:v>
      </x:c>
      <x:c r="E319" s="19" t="str">
        <x:v>ʾāhaḇ</x:v>
      </x:c>
      <x:c r="F319" s="16" t="str">
        <x:v>אהב</x:v>
      </x:c>
      <x:c r="G319" s="20" t="str">
        <x:v>to love</x:v>
      </x:c>
      <x:c r="H319" s="20" t="str"/>
      <x:c r="I319" s="21" t="str">
        <x:v>BBH2 課序</x:v>
      </x:c>
      <x:c r="J319" s="21" t="n">
        <x:v>17</x:v>
      </x:c>
      <x:c r="K319" s="22" t="n">
        <x:v>211</x:v>
      </x:c>
      <x:c r="L319" s="21" t="str">
        <x:v>H157</x:v>
      </x:c>
      <x:c r="M319" s="21" t="str">
        <x:v>verb</x:v>
      </x:c>
      <x:c r="N319" s="21" t="str">
        <x:v>否</x:v>
      </x:c>
      <x:c r="O319" s="21" t="str"/>
      <x:c r="P319" s="21" t="str">
        <x:v>source_and_lexicon_matched</x:v>
      </x:c>
      <x:c r="Q319" s="21" t="str">
        <x:v>rule_generated_exception_review</x:v>
      </x:c>
      <x:c r="R319" s="20" t="str">
        <x:v>https://hebrewsyntax.org/bbh2new/</x:v>
      </x:c>
    </x:row>
    <x:row r="320" ht="28" customHeight="1">
      <x:c r="A320" s="21" t="n">
        <x:v>316</x:v>
      </x:c>
      <x:c r="B320" s="21" t="n">
        <x:f>ROUNDUP(A320/20,0)</x:f>
        <x:v>16</x:v>
      </x:c>
      <x:c r="C320" s="21" t="n">
        <x:f>MOD(A320-1,20)+1</x:f>
        <x:v>16</x:v>
      </x:c>
      <x:c r="D320" s="18" t="str">
        <x:v>אָסַף</x:v>
      </x:c>
      <x:c r="E320" s="19" t="str">
        <x:v>ʾāsap̄</x:v>
      </x:c>
      <x:c r="F320" s="16" t="str">
        <x:v>אסף</x:v>
      </x:c>
      <x:c r="G320" s="20" t="str">
        <x:v>to gather (in), take in, take away, destroy</x:v>
      </x:c>
      <x:c r="H320" s="20" t="str"/>
      <x:c r="I320" s="21" t="str">
        <x:v>BBH2 課序</x:v>
      </x:c>
      <x:c r="J320" s="21" t="n">
        <x:v>17</x:v>
      </x:c>
      <x:c r="K320" s="22" t="n">
        <x:v>202</x:v>
      </x:c>
      <x:c r="L320" s="21" t="str">
        <x:v>H622</x:v>
      </x:c>
      <x:c r="M320" s="21" t="str">
        <x:v>verb</x:v>
      </x:c>
      <x:c r="N320" s="21" t="str">
        <x:v>否</x:v>
      </x:c>
      <x:c r="O320" s="21" t="str"/>
      <x:c r="P320" s="21" t="str">
        <x:v>source_and_lexicon_matched</x:v>
      </x:c>
      <x:c r="Q320" s="21" t="str">
        <x:v>rule_generated_exception_review</x:v>
      </x:c>
      <x:c r="R320" s="20" t="str">
        <x:v>https://hebrewsyntax.org/bbh2new/</x:v>
      </x:c>
    </x:row>
    <x:row r="321" ht="28" customHeight="1">
      <x:c r="A321" s="21" t="n">
        <x:v>317</x:v>
      </x:c>
      <x:c r="B321" s="21" t="n">
        <x:f>ROUNDUP(A321/20,0)</x:f>
        <x:v>16</x:v>
      </x:c>
      <x:c r="C321" s="21" t="n">
        <x:f>MOD(A321-1,20)+1</x:f>
        <x:v>17</x:v>
      </x:c>
      <x:c r="D321" s="18" t="str">
        <x:v>בָּעַר</x:v>
      </x:c>
      <x:c r="E321" s="19" t="str">
        <x:v>bāʿar</x:v>
      </x:c>
      <x:c r="F321" s="16" t="str">
        <x:v>בער</x:v>
      </x:c>
      <x:c r="G321" s="20" t="str">
        <x:v>to burn (up), consume</x:v>
      </x:c>
      <x:c r="H321" s="20" t="str"/>
      <x:c r="I321" s="21" t="str">
        <x:v>BBH2 課序</x:v>
      </x:c>
      <x:c r="J321" s="21" t="n">
        <x:v>17</x:v>
      </x:c>
      <x:c r="K321" s="22" t="n">
        <x:v>94</x:v>
      </x:c>
      <x:c r="L321" s="21" t="str">
        <x:v>H1197</x:v>
      </x:c>
      <x:c r="M321" s="21" t="str">
        <x:v>verb</x:v>
      </x:c>
      <x:c r="N321" s="21" t="str">
        <x:v>否</x:v>
      </x:c>
      <x:c r="O321" s="21" t="str"/>
      <x:c r="P321" s="21" t="str">
        <x:v>source_and_lexicon_matched</x:v>
      </x:c>
      <x:c r="Q321" s="21" t="str">
        <x:v>rule_generated_exception_review</x:v>
      </x:c>
      <x:c r="R321" s="20" t="str">
        <x:v>https://hebrewsyntax.org/bbh2new/</x:v>
      </x:c>
    </x:row>
    <x:row r="322" ht="28" customHeight="1">
      <x:c r="A322" s="21" t="n">
        <x:v>318</x:v>
      </x:c>
      <x:c r="B322" s="21" t="n">
        <x:f>ROUNDUP(A322/20,0)</x:f>
        <x:v>16</x:v>
      </x:c>
      <x:c r="C322" s="21" t="n">
        <x:f>MOD(A322-1,20)+1</x:f>
        <x:v>18</x:v>
      </x:c>
      <x:c r="D322" s="18" t="str">
        <x:v>גָּלָה</x:v>
      </x:c>
      <x:c r="E322" s="19" t="str">
        <x:v>gālâ</x:v>
      </x:c>
      <x:c r="F322" s="16" t="str">
        <x:v>גלה</x:v>
      </x:c>
      <x:c r="G322" s="20" t="str">
        <x:v>to uncover, reveal, disclose</x:v>
      </x:c>
      <x:c r="H322" s="20" t="str"/>
      <x:c r="I322" s="21" t="str">
        <x:v>BBH2 課序</x:v>
      </x:c>
      <x:c r="J322" s="21" t="n">
        <x:v>17</x:v>
      </x:c>
      <x:c r="K322" s="22" t="n">
        <x:v>186</x:v>
      </x:c>
      <x:c r="L322" s="21" t="str">
        <x:v>H1540</x:v>
      </x:c>
      <x:c r="M322" s="21" t="str">
        <x:v>verb</x:v>
      </x:c>
      <x:c r="N322" s="21" t="str">
        <x:v>否</x:v>
      </x:c>
      <x:c r="O322" s="21" t="str"/>
      <x:c r="P322" s="21" t="str">
        <x:v>source_and_lexicon_matched</x:v>
      </x:c>
      <x:c r="Q322" s="21" t="str">
        <x:v>rule_generated_exception_review</x:v>
      </x:c>
      <x:c r="R322" s="20" t="str">
        <x:v>https://hebrewsyntax.org/bbh2new/</x:v>
      </x:c>
    </x:row>
    <x:row r="323" ht="28" customHeight="1">
      <x:c r="A323" s="21" t="n">
        <x:v>319</x:v>
      </x:c>
      <x:c r="B323" s="21" t="n">
        <x:f>ROUNDUP(A323/20,0)</x:f>
        <x:v>16</x:v>
      </x:c>
      <x:c r="C323" s="21" t="n">
        <x:f>MOD(A323-1,20)+1</x:f>
        <x:v>19</x:v>
      </x:c>
      <x:c r="D323" s="18" t="str">
        <x:v>טָהֵר</x:v>
      </x:c>
      <x:c r="E323" s="19" t="str">
        <x:v>ṭāhēr</x:v>
      </x:c>
      <x:c r="F323" s="16" t="str">
        <x:v>טהר</x:v>
      </x:c>
      <x:c r="G323" s="20" t="str">
        <x:v>to be clean, be pure</x:v>
      </x:c>
      <x:c r="H323" s="20" t="str"/>
      <x:c r="I323" s="21" t="str">
        <x:v>BBH2 課序</x:v>
      </x:c>
      <x:c r="J323" s="21" t="n">
        <x:v>17</x:v>
      </x:c>
      <x:c r="K323" s="22" t="n">
        <x:v>95</x:v>
      </x:c>
      <x:c r="L323" s="21" t="str">
        <x:v>H2891</x:v>
      </x:c>
      <x:c r="M323" s="21" t="str">
        <x:v>verb</x:v>
      </x:c>
      <x:c r="N323" s="21" t="str">
        <x:v>否</x:v>
      </x:c>
      <x:c r="O323" s="21" t="str"/>
      <x:c r="P323" s="21" t="str">
        <x:v>source_and_lexicon_matched</x:v>
      </x:c>
      <x:c r="Q323" s="21" t="str">
        <x:v>rule_generated_exception_review</x:v>
      </x:c>
      <x:c r="R323" s="20" t="str">
        <x:v>https://hebrewsyntax.org/bbh2new/</x:v>
      </x:c>
    </x:row>
    <x:row r="324" ht="28" customHeight="1">
      <x:c r="A324" s="21" t="n">
        <x:v>320</x:v>
      </x:c>
      <x:c r="B324" s="21" t="n">
        <x:f>ROUNDUP(A324/20,0)</x:f>
        <x:v>16</x:v>
      </x:c>
      <x:c r="C324" s="21" t="n">
        <x:f>MOD(A324-1,20)+1</x:f>
        <x:v>20</x:v>
      </x:c>
      <x:c r="D324" s="18" t="str">
        <x:v>כָּלָה</x:v>
      </x:c>
      <x:c r="E324" s="19" t="str">
        <x:v>kālâ</x:v>
      </x:c>
      <x:c r="F324" s="16" t="str">
        <x:v>כלה</x:v>
      </x:c>
      <x:c r="G324" s="20" t="str">
        <x:v>to (be) complete, be finished, come to an end</x:v>
      </x:c>
      <x:c r="H324" s="20" t="str"/>
      <x:c r="I324" s="21" t="str">
        <x:v>BBH2 課序</x:v>
      </x:c>
      <x:c r="J324" s="21" t="n">
        <x:v>17</x:v>
      </x:c>
      <x:c r="K324" s="22" t="n">
        <x:v>205</x:v>
      </x:c>
      <x:c r="L324" s="21" t="str">
        <x:v>H3615</x:v>
      </x:c>
      <x:c r="M324" s="21" t="str">
        <x:v>verb</x:v>
      </x:c>
      <x:c r="N324" s="21" t="str">
        <x:v>否</x:v>
      </x:c>
      <x:c r="O324" s="21" t="str"/>
      <x:c r="P324" s="21" t="str">
        <x:v>source_and_lexicon_matched</x:v>
      </x:c>
      <x:c r="Q324" s="21" t="str">
        <x:v>rule_generated_exception_review</x:v>
      </x:c>
      <x:c r="R324" s="20" t="str">
        <x:v>https://hebrewsyntax.org/bbh2new/</x:v>
      </x:c>
    </x:row>
    <x:row r="325" ht="28" customHeight="1">
      <x:c r="A325" s="21" t="n">
        <x:v>321</x:v>
      </x:c>
      <x:c r="B325" s="21" t="n">
        <x:f>ROUNDUP(A325/20,0)</x:f>
        <x:v>17</x:v>
      </x:c>
      <x:c r="C325" s="21" t="n">
        <x:f>MOD(A325-1,20)+1</x:f>
        <x:v>1</x:v>
      </x:c>
      <x:c r="D325" s="18" t="str">
        <x:v>רוּם</x:v>
      </x:c>
      <x:c r="E325" s="19" t="str">
        <x:v>rûm</x:v>
      </x:c>
      <x:c r="F325" s="16" t="str">
        <x:v>רום</x:v>
      </x:c>
      <x:c r="G325" s="20" t="str">
        <x:v>to be high, be exalted, rise</x:v>
      </x:c>
      <x:c r="H325" s="20" t="str"/>
      <x:c r="I325" s="21" t="str">
        <x:v>BBH2 課序</x:v>
      </x:c>
      <x:c r="J325" s="21" t="n">
        <x:v>17</x:v>
      </x:c>
      <x:c r="K325" s="22" t="n">
        <x:v>193</x:v>
      </x:c>
      <x:c r="L325" s="21" t="str">
        <x:v>H7311</x:v>
      </x:c>
      <x:c r="M325" s="21" t="str">
        <x:v>verb</x:v>
      </x:c>
      <x:c r="N325" s="21" t="str">
        <x:v>否</x:v>
      </x:c>
      <x:c r="O325" s="21" t="str"/>
      <x:c r="P325" s="21" t="str">
        <x:v>source_and_lexicon_matched</x:v>
      </x:c>
      <x:c r="Q325" s="21" t="str">
        <x:v>rule_generated_exception_review</x:v>
      </x:c>
      <x:c r="R325" s="20" t="str">
        <x:v>https://hebrewsyntax.org/bbh2new/</x:v>
      </x:c>
    </x:row>
    <x:row r="326" ht="28" customHeight="1">
      <x:c r="A326" s="21" t="n">
        <x:v>322</x:v>
      </x:c>
      <x:c r="B326" s="21" t="n">
        <x:f>ROUNDUP(A326/20,0)</x:f>
        <x:v>17</x:v>
      </x:c>
      <x:c r="C326" s="21" t="n">
        <x:f>MOD(A326-1,20)+1</x:f>
        <x:v>2</x:v>
      </x:c>
      <x:c r="D326" s="18" t="str">
        <x:v>שָׁפַט</x:v>
      </x:c>
      <x:c r="E326" s="19" t="str">
        <x:v>šāp̄aṭ</x:v>
      </x:c>
      <x:c r="F326" s="16" t="str">
        <x:v>שפט</x:v>
      </x:c>
      <x:c r="G326" s="20" t="str">
        <x:v>to judge, decide</x:v>
      </x:c>
      <x:c r="H326" s="20" t="str"/>
      <x:c r="I326" s="21" t="str">
        <x:v>BBH2 課序</x:v>
      </x:c>
      <x:c r="J326" s="21" t="n">
        <x:v>17</x:v>
      </x:c>
      <x:c r="K326" s="22" t="n">
        <x:v>204</x:v>
      </x:c>
      <x:c r="L326" s="21" t="str">
        <x:v>H8199</x:v>
      </x:c>
      <x:c r="M326" s="21" t="str">
        <x:v>verb</x:v>
      </x:c>
      <x:c r="N326" s="21" t="str">
        <x:v>否</x:v>
      </x:c>
      <x:c r="O326" s="21" t="str"/>
      <x:c r="P326" s="21" t="str">
        <x:v>source_and_lexicon_matched</x:v>
      </x:c>
      <x:c r="Q326" s="21" t="str">
        <x:v>rule_generated_exception_review</x:v>
      </x:c>
      <x:c r="R326" s="20" t="str">
        <x:v>https://hebrewsyntax.org/bbh2new/</x:v>
      </x:c>
    </x:row>
    <x:row r="327" ht="28" customHeight="1">
      <x:c r="A327" s="21" t="n">
        <x:v>323</x:v>
      </x:c>
      <x:c r="B327" s="21" t="n">
        <x:f>ROUNDUP(A327/20,0)</x:f>
        <x:v>17</x:v>
      </x:c>
      <x:c r="C327" s="21" t="n">
        <x:f>MOD(A327-1,20)+1</x:f>
        <x:v>3</x:v>
      </x:c>
      <x:c r="D327" s="18" t="str">
        <x:v>אֱמֶת</x:v>
      </x:c>
      <x:c r="E327" s="19" t="str">
        <x:v>ʾĕmeṯ</x:v>
      </x:c>
      <x:c r="F327" s="16" t="str">
        <x:v>אמת</x:v>
      </x:c>
      <x:c r="G327" s="20" t="str">
        <x:v>truth, fidelity [F]</x:v>
      </x:c>
      <x:c r="H327" s="20" t="str"/>
      <x:c r="I327" s="21" t="str">
        <x:v>BBH2 課序</x:v>
      </x:c>
      <x:c r="J327" s="21" t="n">
        <x:v>17</x:v>
      </x:c>
      <x:c r="K327" s="22" t="n">
        <x:v>127</x:v>
      </x:c>
      <x:c r="L327" s="21" t="str">
        <x:v>H571</x:v>
      </x:c>
      <x:c r="M327" s="21" t="str">
        <x:v>noun</x:v>
      </x:c>
      <x:c r="N327" s="21" t="str">
        <x:v>否</x:v>
      </x:c>
      <x:c r="O327" s="21" t="str"/>
      <x:c r="P327" s="21" t="str">
        <x:v>source_and_lexicon_matched</x:v>
      </x:c>
      <x:c r="Q327" s="21" t="str">
        <x:v>rule_generated_exception_review</x:v>
      </x:c>
      <x:c r="R327" s="20" t="str">
        <x:v>https://hebrewsyntax.org/bbh2new/</x:v>
      </x:c>
    </x:row>
    <x:row r="328" ht="28" customHeight="1">
      <x:c r="A328" s="21" t="n">
        <x:v>324</x:v>
      </x:c>
      <x:c r="B328" s="21" t="n">
        <x:f>ROUNDUP(A328/20,0)</x:f>
        <x:v>17</x:v>
      </x:c>
      <x:c r="C328" s="21" t="n">
        <x:f>MOD(A328-1,20)+1</x:f>
        <x:v>4</x:v>
      </x:c>
      <x:c r="D328" s="18" t="str">
        <x:v>כִּסֵּא</x:v>
      </x:c>
      <x:c r="E328" s="19" t="str">
        <x:v>kissēʾ</x:v>
      </x:c>
      <x:c r="F328" s="16" t="str">
        <x:v>כסא</x:v>
      </x:c>
      <x:c r="G328" s="20" t="str">
        <x:v>seat, chair, throne</x:v>
      </x:c>
      <x:c r="H328" s="20" t="str"/>
      <x:c r="I328" s="21" t="str">
        <x:v>BBH2 課序</x:v>
      </x:c>
      <x:c r="J328" s="21" t="n">
        <x:v>17</x:v>
      </x:c>
      <x:c r="K328" s="22" t="n">
        <x:v>135</x:v>
      </x:c>
      <x:c r="L328" s="21" t="str">
        <x:v>H3678</x:v>
      </x:c>
      <x:c r="M328" s="21" t="str">
        <x:v>noun</x:v>
      </x:c>
      <x:c r="N328" s="21" t="str">
        <x:v>否</x:v>
      </x:c>
      <x:c r="O328" s="21" t="str"/>
      <x:c r="P328" s="21" t="str">
        <x:v>source_and_lexicon_matched</x:v>
      </x:c>
      <x:c r="Q328" s="21" t="str">
        <x:v>rule_generated_exception_review</x:v>
      </x:c>
      <x:c r="R328" s="20" t="str">
        <x:v>https://hebrewsyntax.org/bbh2new/</x:v>
      </x:c>
    </x:row>
    <x:row r="329" ht="28" customHeight="1">
      <x:c r="A329" s="21" t="n">
        <x:v>325</x:v>
      </x:c>
      <x:c r="B329" s="21" t="n">
        <x:f>ROUNDUP(A329/20,0)</x:f>
        <x:v>17</x:v>
      </x:c>
      <x:c r="C329" s="21" t="n">
        <x:f>MOD(A329-1,20)+1</x:f>
        <x:v>5</x:v>
      </x:c>
      <x:c r="D329" s="18" t="str">
        <x:v>מִסְפָּר</x:v>
      </x:c>
      <x:c r="E329" s="19" t="str">
        <x:v>mispār</x:v>
      </x:c>
      <x:c r="F329" s="16" t="str">
        <x:v>מספר</x:v>
      </x:c>
      <x:c r="G329" s="20" t="str">
        <x:v>number</x:v>
      </x:c>
      <x:c r="H329" s="20" t="str"/>
      <x:c r="I329" s="21" t="str">
        <x:v>BBH2 課序</x:v>
      </x:c>
      <x:c r="J329" s="21" t="n">
        <x:v>17</x:v>
      </x:c>
      <x:c r="K329" s="22" t="n">
        <x:v>134</x:v>
      </x:c>
      <x:c r="L329" s="21" t="str">
        <x:v>H4557</x:v>
      </x:c>
      <x:c r="M329" s="21" t="str">
        <x:v>noun</x:v>
      </x:c>
      <x:c r="N329" s="21" t="str">
        <x:v>否</x:v>
      </x:c>
      <x:c r="O329" s="21" t="str"/>
      <x:c r="P329" s="21" t="str">
        <x:v>source_and_lexicon_matched</x:v>
      </x:c>
      <x:c r="Q329" s="21" t="str">
        <x:v>rule_generated_exception_review</x:v>
      </x:c>
      <x:c r="R329" s="20" t="str">
        <x:v>https://hebrewsyntax.org/bbh2new/</x:v>
      </x:c>
    </x:row>
    <x:row r="330" ht="28" customHeight="1">
      <x:c r="A330" s="21" t="n">
        <x:v>326</x:v>
      </x:c>
      <x:c r="B330" s="21" t="n">
        <x:f>ROUNDUP(A330/20,0)</x:f>
        <x:v>17</x:v>
      </x:c>
      <x:c r="C330" s="21" t="n">
        <x:f>MOD(A330-1,20)+1</x:f>
        <x:v>6</x:v>
      </x:c>
      <x:c r="D330" s="18" t="str">
        <x:v>עֶ֫שֶׂר</x:v>
      </x:c>
      <x:c r="E330" s="19" t="str">
        <x:v>ʿeśer</x:v>
      </x:c>
      <x:c r="F330" s="16" t="str">
        <x:v>עשר</x:v>
      </x:c>
      <x:c r="G330" s="20" t="str">
        <x:v>ten</x:v>
      </x:c>
      <x:c r="H330" s="20" t="str"/>
      <x:c r="I330" s="21" t="str">
        <x:v>BBH2 課序</x:v>
      </x:c>
      <x:c r="J330" s="21" t="n">
        <x:v>17</x:v>
      </x:c>
      <x:c r="K330" s="22" t="n">
        <x:v>177</x:v>
      </x:c>
      <x:c r="L330" s="21" t="str">
        <x:v>H6235</x:v>
      </x:c>
      <x:c r="M330" s="21" t="str">
        <x:v>adjective</x:v>
      </x:c>
      <x:c r="N330" s="21" t="str">
        <x:v>否</x:v>
      </x:c>
      <x:c r="O330" s="21" t="str"/>
      <x:c r="P330" s="21" t="str">
        <x:v>source_and_lexicon_matched</x:v>
      </x:c>
      <x:c r="Q330" s="21" t="str">
        <x:v>rule_generated_exception_review</x:v>
      </x:c>
      <x:c r="R330" s="20" t="str">
        <x:v>https://hebrewsyntax.org/bbh2new/</x:v>
      </x:c>
    </x:row>
    <x:row r="331" ht="28" customHeight="1">
      <x:c r="A331" s="21" t="n">
        <x:v>327</x:v>
      </x:c>
      <x:c r="B331" s="21" t="n">
        <x:f>ROUNDUP(A331/20,0)</x:f>
        <x:v>17</x:v>
      </x:c>
      <x:c r="C331" s="21" t="n">
        <x:f>MOD(A331-1,20)+1</x:f>
        <x:v>7</x:v>
      </x:c>
      <x:c r="D331" s="18" t="str">
        <x:v>שֶׁ֫מֶשׁ</x:v>
      </x:c>
      <x:c r="E331" s="19" t="str">
        <x:v>šemeš</x:v>
      </x:c>
      <x:c r="F331" s="16" t="str">
        <x:v>שמש</x:v>
      </x:c>
      <x:c r="G331" s="20" t="str">
        <x:v>sun</x:v>
      </x:c>
      <x:c r="H331" s="20" t="str"/>
      <x:c r="I331" s="21" t="str">
        <x:v>BBH2 課序</x:v>
      </x:c>
      <x:c r="J331" s="21" t="n">
        <x:v>17</x:v>
      </x:c>
      <x:c r="K331" s="22" t="n">
        <x:v>134</x:v>
      </x:c>
      <x:c r="L331" s="21" t="str">
        <x:v>H8121</x:v>
      </x:c>
      <x:c r="M331" s="21" t="str">
        <x:v>noun</x:v>
      </x:c>
      <x:c r="N331" s="21" t="str">
        <x:v>否</x:v>
      </x:c>
      <x:c r="O331" s="21" t="str"/>
      <x:c r="P331" s="21" t="str">
        <x:v>source_and_lexicon_matched</x:v>
      </x:c>
      <x:c r="Q331" s="21" t="str">
        <x:v>rule_generated_exception_review</x:v>
      </x:c>
      <x:c r="R331" s="20" t="str">
        <x:v>https://hebrewsyntax.org/bbh2new/</x:v>
      </x:c>
    </x:row>
    <x:row r="332" ht="28" customHeight="1">
      <x:c r="A332" s="21" t="n">
        <x:v>328</x:v>
      </x:c>
      <x:c r="B332" s="21" t="n">
        <x:f>ROUNDUP(A332/20,0)</x:f>
        <x:v>17</x:v>
      </x:c>
      <x:c r="C332" s="21" t="n">
        <x:f>MOD(A332-1,20)+1</x:f>
        <x:v>8</x:v>
      </x:c>
      <x:c r="D332" s="18" t="str">
        <x:v>בָּחַר</x:v>
      </x:c>
      <x:c r="E332" s="19" t="str">
        <x:v>bāḥar</x:v>
      </x:c>
      <x:c r="F332" s="16" t="str">
        <x:v>בחר</x:v>
      </x:c>
      <x:c r="G332" s="20" t="str">
        <x:v>to choose, test, examine</x:v>
      </x:c>
      <x:c r="H332" s="20" t="str"/>
      <x:c r="I332" s="21" t="str">
        <x:v>BBH2 課序</x:v>
      </x:c>
      <x:c r="J332" s="21" t="n">
        <x:v>18</x:v>
      </x:c>
      <x:c r="K332" s="22" t="n">
        <x:v>170</x:v>
      </x:c>
      <x:c r="L332" s="21" t="str">
        <x:v>H977</x:v>
      </x:c>
      <x:c r="M332" s="21" t="str">
        <x:v>verb</x:v>
      </x:c>
      <x:c r="N332" s="21" t="str">
        <x:v>否</x:v>
      </x:c>
      <x:c r="O332" s="21" t="str"/>
      <x:c r="P332" s="21" t="str">
        <x:v>source_and_lexicon_matched</x:v>
      </x:c>
      <x:c r="Q332" s="21" t="str">
        <x:v>rule_generated_exception_review</x:v>
      </x:c>
      <x:c r="R332" s="20" t="str">
        <x:v>https://hebrewsyntax.org/bbh2new/</x:v>
      </x:c>
    </x:row>
    <x:row r="333" ht="28" customHeight="1">
      <x:c r="A333" s="21" t="n">
        <x:v>329</x:v>
      </x:c>
      <x:c r="B333" s="21" t="n">
        <x:f>ROUNDUP(A333/20,0)</x:f>
        <x:v>17</x:v>
      </x:c>
      <x:c r="C333" s="21" t="n">
        <x:f>MOD(A333-1,20)+1</x:f>
        <x:v>9</x:v>
      </x:c>
      <x:c r="D333" s="18" t="str">
        <x:v>בִּין</x:v>
      </x:c>
      <x:c r="E333" s="19" t="str">
        <x:v>bîn</x:v>
      </x:c>
      <x:c r="F333" s="16" t="str">
        <x:v>בין</x:v>
      </x:c>
      <x:c r="G333" s="20" t="str">
        <x:v>to understand, perceive, consider</x:v>
      </x:c>
      <x:c r="H333" s="20" t="str"/>
      <x:c r="I333" s="21" t="str">
        <x:v>BBH2 課序</x:v>
      </x:c>
      <x:c r="J333" s="21" t="n">
        <x:v>18</x:v>
      </x:c>
      <x:c r="K333" s="22" t="n">
        <x:v>171</x:v>
      </x:c>
      <x:c r="L333" s="21" t="str">
        <x:v>H995</x:v>
      </x:c>
      <x:c r="M333" s="21" t="str">
        <x:v>verb</x:v>
      </x:c>
      <x:c r="N333" s="21" t="str">
        <x:v>否</x:v>
      </x:c>
      <x:c r="O333" s="21" t="str"/>
      <x:c r="P333" s="21" t="str">
        <x:v>source_and_lexicon_matched</x:v>
      </x:c>
      <x:c r="Q333" s="21" t="str">
        <x:v>rule_generated_exception_review</x:v>
      </x:c>
      <x:c r="R333" s="20" t="str">
        <x:v>https://hebrewsyntax.org/bbh2new/</x:v>
      </x:c>
    </x:row>
    <x:row r="334" ht="28" customHeight="1">
      <x:c r="A334" s="21" t="n">
        <x:v>330</x:v>
      </x:c>
      <x:c r="B334" s="21" t="n">
        <x:f>ROUNDUP(A334/20,0)</x:f>
        <x:v>17</x:v>
      </x:c>
      <x:c r="C334" s="21" t="n">
        <x:f>MOD(A334-1,20)+1</x:f>
        <x:v>10</x:v>
      </x:c>
      <x:c r="D334" s="18" t="str">
        <x:v>דָּרַשׁ</x:v>
      </x:c>
      <x:c r="E334" s="19" t="str">
        <x:v>dāraš</x:v>
      </x:c>
      <x:c r="F334" s="16" t="str">
        <x:v>דרש</x:v>
      </x:c>
      <x:c r="G334" s="20" t="str">
        <x:v>to seek, inquire, investigate, ask for, require, demand</x:v>
      </x:c>
      <x:c r="H334" s="20" t="str"/>
      <x:c r="I334" s="21" t="str">
        <x:v>BBH2 課序</x:v>
      </x:c>
      <x:c r="J334" s="21" t="n">
        <x:v>18</x:v>
      </x:c>
      <x:c r="K334" s="22" t="n">
        <x:v>165</x:v>
      </x:c>
      <x:c r="L334" s="21" t="str">
        <x:v>H1875</x:v>
      </x:c>
      <x:c r="M334" s="21" t="str">
        <x:v>verb</x:v>
      </x:c>
      <x:c r="N334" s="21" t="str">
        <x:v>否</x:v>
      </x:c>
      <x:c r="O334" s="21" t="str"/>
      <x:c r="P334" s="21" t="str">
        <x:v>source_and_lexicon_matched</x:v>
      </x:c>
      <x:c r="Q334" s="21" t="str">
        <x:v>rule_generated_exception_review</x:v>
      </x:c>
      <x:c r="R334" s="20" t="str">
        <x:v>https://hebrewsyntax.org/bbh2new/</x:v>
      </x:c>
    </x:row>
    <x:row r="335" ht="28" customHeight="1">
      <x:c r="A335" s="21" t="n">
        <x:v>331</x:v>
      </x:c>
      <x:c r="B335" s="21" t="n">
        <x:f>ROUNDUP(A335/20,0)</x:f>
        <x:v>17</x:v>
      </x:c>
      <x:c r="C335" s="21" t="n">
        <x:f>MOD(A335-1,20)+1</x:f>
        <x:v>11</x:v>
      </x:c>
      <x:c r="D335" s="18" t="str">
        <x:v>הָרַג</x:v>
      </x:c>
      <x:c r="E335" s="19" t="str">
        <x:v>hārag̅</x:v>
      </x:c>
      <x:c r="F335" s="16" t="str">
        <x:v>הרג</x:v>
      </x:c>
      <x:c r="G335" s="20" t="str">
        <x:v>to kill, slay</x:v>
      </x:c>
      <x:c r="H335" s="20" t="str"/>
      <x:c r="I335" s="21" t="str">
        <x:v>BBH2 課序</x:v>
      </x:c>
      <x:c r="J335" s="21" t="n">
        <x:v>18</x:v>
      </x:c>
      <x:c r="K335" s="22" t="n">
        <x:v>167</x:v>
      </x:c>
      <x:c r="L335" s="21" t="str">
        <x:v>H2026</x:v>
      </x:c>
      <x:c r="M335" s="21" t="str">
        <x:v>verb</x:v>
      </x:c>
      <x:c r="N335" s="21" t="str">
        <x:v>否</x:v>
      </x:c>
      <x:c r="O335" s="21" t="str"/>
      <x:c r="P335" s="21" t="str">
        <x:v>source_and_lexicon_matched</x:v>
      </x:c>
      <x:c r="Q335" s="21" t="str">
        <x:v>rule_generated_exception_review</x:v>
      </x:c>
      <x:c r="R335" s="20" t="str">
        <x:v>https://hebrewsyntax.org/bbh2new/</x:v>
      </x:c>
    </x:row>
    <x:row r="336" ht="28" customHeight="1">
      <x:c r="A336" s="21" t="n">
        <x:v>332</x:v>
      </x:c>
      <x:c r="B336" s="21" t="n">
        <x:f>ROUNDUP(A336/20,0)</x:f>
        <x:v>17</x:v>
      </x:c>
      <x:c r="C336" s="21" t="n">
        <x:f>MOD(A336-1,20)+1</x:f>
        <x:v>12</x:v>
      </x:c>
      <x:c r="D336" s="18" t="str">
        <x:v>חָפֵץ</x:v>
      </x:c>
      <x:c r="E336" s="19" t="str">
        <x:v>ḥāp̄ēṣ</x:v>
      </x:c>
      <x:c r="F336" s="16" t="str">
        <x:v>חפץ</x:v>
      </x:c>
      <x:c r="G336" s="20" t="str">
        <x:v>to delight in, take pleasure in, desire, be willing</x:v>
      </x:c>
      <x:c r="H336" s="20" t="str"/>
      <x:c r="I336" s="21" t="str">
        <x:v>BBH2 課序</x:v>
      </x:c>
      <x:c r="J336" s="21" t="n">
        <x:v>18</x:v>
      </x:c>
      <x:c r="K336" s="22" t="n">
        <x:v>75</x:v>
      </x:c>
      <x:c r="L336" s="21" t="str">
        <x:v>H2654</x:v>
      </x:c>
      <x:c r="M336" s="21" t="str">
        <x:v>verb</x:v>
      </x:c>
      <x:c r="N336" s="21" t="str">
        <x:v>否</x:v>
      </x:c>
      <x:c r="O336" s="21" t="str"/>
      <x:c r="P336" s="21" t="str">
        <x:v>source_and_lexicon_matched</x:v>
      </x:c>
      <x:c r="Q336" s="21" t="str">
        <x:v>rule_generated_exception_review</x:v>
      </x:c>
      <x:c r="R336" s="20" t="str">
        <x:v>https://hebrewsyntax.org/bbh2new/</x:v>
      </x:c>
    </x:row>
    <x:row r="337" ht="28" customHeight="1">
      <x:c r="A337" s="21" t="n">
        <x:v>333</x:v>
      </x:c>
      <x:c r="B337" s="21" t="n">
        <x:f>ROUNDUP(A337/20,0)</x:f>
        <x:v>17</x:v>
      </x:c>
      <x:c r="C337" s="21" t="n">
        <x:f>MOD(A337-1,20)+1</x:f>
        <x:v>13</x:v>
      </x:c>
      <x:c r="D337" s="18" t="str">
        <x:v>טוֹב</x:v>
      </x:c>
      <x:c r="E337" s="19" t="str">
        <x:v>ṭôḇ</x:v>
      </x:c>
      <x:c r="F337" s="16" t="str">
        <x:v>טוב</x:v>
      </x:c>
      <x:c r="G337" s="20" t="str">
        <x:v>to be good, be pleasing, be pleasant, be joyful, be well with; [ch7: good, pleasant]</x:v>
      </x:c>
      <x:c r="H337" s="20" t="str"/>
      <x:c r="I337" s="21" t="str">
        <x:v>BBH2 課序</x:v>
      </x:c>
      <x:c r="J337" s="21" t="n">
        <x:v>18</x:v>
      </x:c>
      <x:c r="K337" s="22" t="n">
        <x:v>24</x:v>
      </x:c>
      <x:c r="L337" s="21" t="str">
        <x:v>H2895</x:v>
      </x:c>
      <x:c r="M337" s="21" t="str">
        <x:v>verb</x:v>
      </x:c>
      <x:c r="N337" s="21" t="str">
        <x:v>否</x:v>
      </x:c>
      <x:c r="O337" s="21" t="str"/>
      <x:c r="P337" s="21" t="str">
        <x:v>source_and_lexicon_matched</x:v>
      </x:c>
      <x:c r="Q337" s="21" t="str">
        <x:v>rule_generated_exception_review</x:v>
      </x:c>
      <x:c r="R337" s="20" t="str">
        <x:v>https://hebrewsyntax.org/bbh2new/</x:v>
      </x:c>
    </x:row>
    <x:row r="338" ht="28" customHeight="1">
      <x:c r="A338" s="21" t="n">
        <x:v>334</x:v>
      </x:c>
      <x:c r="B338" s="21" t="n">
        <x:f>ROUNDUP(A338/20,0)</x:f>
        <x:v>17</x:v>
      </x:c>
      <x:c r="C338" s="21" t="n">
        <x:f>MOD(A338-1,20)+1</x:f>
        <x:v>14</x:v>
      </x:c>
      <x:c r="D338" s="18" t="str">
        <x:v>קָדַשׁ</x:v>
      </x:c>
      <x:c r="E338" s="19" t="str">
        <x:v>qāḏaš</x:v>
      </x:c>
      <x:c r="F338" s="16" t="str">
        <x:v>קדש</x:v>
      </x:c>
      <x:c r="G338" s="20" t="str">
        <x:v>to be holy, set apart, or consecrated</x:v>
      </x:c>
      <x:c r="H338" s="20" t="str"/>
      <x:c r="I338" s="21" t="str">
        <x:v>BBH2 課序</x:v>
      </x:c>
      <x:c r="J338" s="21" t="n">
        <x:v>18</x:v>
      </x:c>
      <x:c r="K338" s="22" t="n">
        <x:v>173</x:v>
      </x:c>
      <x:c r="L338" s="21" t="str">
        <x:v>H6942</x:v>
      </x:c>
      <x:c r="M338" s="21" t="str">
        <x:v>verb</x:v>
      </x:c>
      <x:c r="N338" s="21" t="str">
        <x:v>否</x:v>
      </x:c>
      <x:c r="O338" s="21" t="str"/>
      <x:c r="P338" s="21" t="str">
        <x:v>source_and_lexicon_matched</x:v>
      </x:c>
      <x:c r="Q338" s="21" t="str">
        <x:v>rule_generated_exception_review</x:v>
      </x:c>
      <x:c r="R338" s="20" t="str">
        <x:v>https://hebrewsyntax.org/bbh2new/</x:v>
      </x:c>
    </x:row>
    <x:row r="339" ht="28" customHeight="1">
      <x:c r="A339" s="21" t="n">
        <x:v>335</x:v>
      </x:c>
      <x:c r="B339" s="21" t="n">
        <x:f>ROUNDUP(A339/20,0)</x:f>
        <x:v>17</x:v>
      </x:c>
      <x:c r="C339" s="21" t="n">
        <x:f>MOD(A339-1,20)+1</x:f>
        <x:v>15</x:v>
      </x:c>
      <x:c r="D339" s="18" t="str">
        <x:v>רָעָה</x:v>
      </x:c>
      <x:c r="E339" s="19" t="str">
        <x:v>rāʿâ</x:v>
      </x:c>
      <x:c r="F339" s="16" t="str">
        <x:v>רעה</x:v>
      </x:c>
      <x:c r="G339" s="20" t="str">
        <x:v>to pasture, tend (flocks), shepherd, feed</x:v>
      </x:c>
      <x:c r="H339" s="20" t="str"/>
      <x:c r="I339" s="21" t="str">
        <x:v>BBH2 課序</x:v>
      </x:c>
      <x:c r="J339" s="21" t="n">
        <x:v>18</x:v>
      </x:c>
      <x:c r="K339" s="22" t="n">
        <x:v>164</x:v>
      </x:c>
      <x:c r="L339" s="21" t="str">
        <x:v>H7462</x:v>
      </x:c>
      <x:c r="M339" s="21" t="str">
        <x:v>verb</x:v>
      </x:c>
      <x:c r="N339" s="21" t="str">
        <x:v>否</x:v>
      </x:c>
      <x:c r="O339" s="21" t="str"/>
      <x:c r="P339" s="21" t="str">
        <x:v>source_and_lexicon_matched</x:v>
      </x:c>
      <x:c r="Q339" s="21" t="str">
        <x:v>rule_generated_exception_review</x:v>
      </x:c>
      <x:c r="R339" s="20" t="str">
        <x:v>https://hebrewsyntax.org/bbh2new/</x:v>
      </x:c>
    </x:row>
    <x:row r="340" ht="28" customHeight="1">
      <x:c r="A340" s="21" t="n">
        <x:v>336</x:v>
      </x:c>
      <x:c r="B340" s="21" t="n">
        <x:f>ROUNDUP(A340/20,0)</x:f>
        <x:v>17</x:v>
      </x:c>
      <x:c r="C340" s="21" t="n">
        <x:f>MOD(A340-1,20)+1</x:f>
        <x:v>16</x:v>
      </x:c>
      <x:c r="D340" s="18" t="str">
        <x:v>שָׁאַל</x:v>
      </x:c>
      <x:c r="E340" s="19" t="str">
        <x:v>šāʾal</x:v>
      </x:c>
      <x:c r="F340" s="16" t="str">
        <x:v>שאל</x:v>
      </x:c>
      <x:c r="G340" s="20" t="str">
        <x:v>to ask (of), inquire (of), request, demand</x:v>
      </x:c>
      <x:c r="H340" s="20" t="str"/>
      <x:c r="I340" s="21" t="str">
        <x:v>BBH2 課序</x:v>
      </x:c>
      <x:c r="J340" s="21" t="n">
        <x:v>18</x:v>
      </x:c>
      <x:c r="K340" s="22" t="n">
        <x:v>176</x:v>
      </x:c>
      <x:c r="L340" s="21" t="str">
        <x:v>H7592</x:v>
      </x:c>
      <x:c r="M340" s="21" t="str">
        <x:v>verb</x:v>
      </x:c>
      <x:c r="N340" s="21" t="str">
        <x:v>否</x:v>
      </x:c>
      <x:c r="O340" s="21" t="str"/>
      <x:c r="P340" s="21" t="str">
        <x:v>source_and_lexicon_matched</x:v>
      </x:c>
      <x:c r="Q340" s="21" t="str">
        <x:v>rule_generated_exception_review</x:v>
      </x:c>
      <x:c r="R340" s="20" t="str">
        <x:v>https://hebrewsyntax.org/bbh2new/</x:v>
      </x:c>
    </x:row>
    <x:row r="341" ht="28" customHeight="1">
      <x:c r="A341" s="21" t="n">
        <x:v>337</x:v>
      </x:c>
      <x:c r="B341" s="21" t="n">
        <x:f>ROUNDUP(A341/20,0)</x:f>
        <x:v>17</x:v>
      </x:c>
      <x:c r="C341" s="21" t="n">
        <x:f>MOD(A341-1,20)+1</x:f>
        <x:v>17</x:v>
      </x:c>
      <x:c r="D341" s="18" t="str">
        <x:v>בַּ֫עַל</x:v>
      </x:c>
      <x:c r="E341" s="19" t="str">
        <x:v>baʿal</x:v>
      </x:c>
      <x:c r="F341" s="16" t="str">
        <x:v>בעל</x:v>
      </x:c>
      <x:c r="G341" s="20" t="str">
        <x:v>owner, master, husband, (divine title) Baal</x:v>
      </x:c>
      <x:c r="H341" s="20" t="str"/>
      <x:c r="I341" s="21" t="str">
        <x:v>BBH2 課序</x:v>
      </x:c>
      <x:c r="J341" s="21" t="n">
        <x:v>18</x:v>
      </x:c>
      <x:c r="K341" s="22" t="n">
        <x:v>83</x:v>
      </x:c>
      <x:c r="L341" s="21" t="str">
        <x:v>H1167</x:v>
      </x:c>
      <x:c r="M341" s="21" t="str">
        <x:v>noun</x:v>
      </x:c>
      <x:c r="N341" s="21" t="str">
        <x:v>是</x:v>
      </x:c>
      <x:c r="O341" s="21" t="str">
        <x:v>神名／稱號</x:v>
      </x:c>
      <x:c r="P341" s="21" t="str">
        <x:v>source_and_lexicon_matched</x:v>
      </x:c>
      <x:c r="Q341" s="21" t="str">
        <x:v>rule_generated_exception_review</x:v>
      </x:c>
      <x:c r="R341" s="20" t="str">
        <x:v>https://hebrewsyntax.org/bbh2new/</x:v>
      </x:c>
    </x:row>
    <x:row r="342" ht="28" customHeight="1">
      <x:c r="A342" s="21" t="n">
        <x:v>338</x:v>
      </x:c>
      <x:c r="B342" s="21" t="n">
        <x:f>ROUNDUP(A342/20,0)</x:f>
        <x:v>17</x:v>
      </x:c>
      <x:c r="C342" s="21" t="n">
        <x:f>MOD(A342-1,20)+1</x:f>
        <x:v>18</x:v>
      </x:c>
      <x:c r="D342" s="18" t="str">
        <x:v>שֵׁ֫בֶט</x:v>
      </x:c>
      <x:c r="E342" s="19" t="str">
        <x:v>šēḇeṭ</x:v>
      </x:c>
      <x:c r="F342" s="16" t="str">
        <x:v>שבט</x:v>
      </x:c>
      <x:c r="G342" s="20" t="str">
        <x:v>rod, staff, scepter, tribe</x:v>
      </x:c>
      <x:c r="H342" s="20" t="str"/>
      <x:c r="I342" s="21" t="str">
        <x:v>BBH2 課序</x:v>
      </x:c>
      <x:c r="J342" s="21" t="n">
        <x:v>18</x:v>
      </x:c>
      <x:c r="K342" s="22" t="n">
        <x:v>190</x:v>
      </x:c>
      <x:c r="L342" s="21" t="str">
        <x:v>H7626</x:v>
      </x:c>
      <x:c r="M342" s="21" t="str">
        <x:v>noun</x:v>
      </x:c>
      <x:c r="N342" s="21" t="str">
        <x:v>否</x:v>
      </x:c>
      <x:c r="O342" s="21" t="str"/>
      <x:c r="P342" s="21" t="str">
        <x:v>source_and_lexicon_matched</x:v>
      </x:c>
      <x:c r="Q342" s="21" t="str">
        <x:v>rule_generated_exception_review</x:v>
      </x:c>
      <x:c r="R342" s="20" t="str">
        <x:v>https://hebrewsyntax.org/bbh2new/</x:v>
      </x:c>
    </x:row>
    <x:row r="343" ht="28" customHeight="1">
      <x:c r="A343" s="21" t="n">
        <x:v>339</x:v>
      </x:c>
      <x:c r="B343" s="21" t="n">
        <x:f>ROUNDUP(A343/20,0)</x:f>
        <x:v>17</x:v>
      </x:c>
      <x:c r="C343" s="21" t="n">
        <x:f>MOD(A343-1,20)+1</x:f>
        <x:v>19</x:v>
      </x:c>
      <x:c r="D343" s="18" t="str">
        <x:v>בַּ֫עַד</x:v>
      </x:c>
      <x:c r="E343" s="19" t="str">
        <x:v>baʿaḏ</x:v>
      </x:c>
      <x:c r="F343" s="16" t="str">
        <x:v>בעד</x:v>
      </x:c>
      <x:c r="G343" s="20" t="str">
        <x:v>behind, through</x:v>
      </x:c>
      <x:c r="H343" s="20" t="str"/>
      <x:c r="I343" s="21" t="str">
        <x:v>BBH2 課序</x:v>
      </x:c>
      <x:c r="J343" s="21" t="n">
        <x:v>18</x:v>
      </x:c>
      <x:c r="K343" s="22" t="n">
        <x:v>103</x:v>
      </x:c>
      <x:c r="L343" s="21" t="str">
        <x:v>H1157</x:v>
      </x:c>
      <x:c r="M343" s="21" t="str">
        <x:v>preposition</x:v>
      </x:c>
      <x:c r="N343" s="21" t="str">
        <x:v>否</x:v>
      </x:c>
      <x:c r="O343" s="21" t="str"/>
      <x:c r="P343" s="21" t="str">
        <x:v>source_and_lexicon_matched</x:v>
      </x:c>
      <x:c r="Q343" s="21" t="str">
        <x:v>rule_generated_exception_review</x:v>
      </x:c>
      <x:c r="R343" s="20" t="str">
        <x:v>https://hebrewsyntax.org/bbh2new/</x:v>
      </x:c>
    </x:row>
    <x:row r="344" ht="28" customHeight="1">
      <x:c r="A344" s="21" t="n">
        <x:v>340</x:v>
      </x:c>
      <x:c r="B344" s="21" t="n">
        <x:f>ROUNDUP(A344/20,0)</x:f>
        <x:v>17</x:v>
      </x:c>
      <x:c r="C344" s="21" t="n">
        <x:f>MOD(A344-1,20)+1</x:f>
        <x:v>20</x:v>
      </x:c>
      <x:c r="D344" s="18" t="str">
        <x:v>בְּעַד</x:v>
      </x:c>
      <x:c r="E344" s="19" t="str">
        <x:v>bəʿaḏ</x:v>
      </x:c>
      <x:c r="F344" s="16" t="str">
        <x:v>בעד</x:v>
      </x:c>
      <x:c r="G344" s="20" t="str">
        <x:v>behind, through</x:v>
      </x:c>
      <x:c r="H344" s="20" t="str"/>
      <x:c r="I344" s="21" t="str">
        <x:v>BBH2 課序</x:v>
      </x:c>
      <x:c r="J344" s="21" t="n">
        <x:v>18</x:v>
      </x:c>
      <x:c r="K344" s="22" t="n">
        <x:v>103</x:v>
      </x:c>
      <x:c r="L344" s="21" t="str">
        <x:v>H1157</x:v>
      </x:c>
      <x:c r="M344" s="21" t="str">
        <x:v>preposition</x:v>
      </x:c>
      <x:c r="N344" s="21" t="str">
        <x:v>否</x:v>
      </x:c>
      <x:c r="O344" s="21" t="str"/>
      <x:c r="P344" s="21" t="str">
        <x:v>source_and_lexicon_matched</x:v>
      </x:c>
      <x:c r="Q344" s="21" t="str">
        <x:v>rule_generated_exception_review</x:v>
      </x:c>
      <x:c r="R344" s="20" t="str">
        <x:v>https://hebrewsyntax.org/bbh2new/</x:v>
      </x:c>
    </x:row>
    <x:row r="345" ht="28" customHeight="1">
      <x:c r="A345" s="21" t="n">
        <x:v>341</x:v>
      </x:c>
      <x:c r="B345" s="21" t="n">
        <x:f>ROUNDUP(A345/20,0)</x:f>
        <x:v>18</x:v>
      </x:c>
      <x:c r="C345" s="21" t="n">
        <x:f>MOD(A345-1,20)+1</x:f>
        <x:v>1</x:v>
      </x:c>
      <x:c r="D345" s="18" t="str">
        <x:v>יַ֫עַן</x:v>
      </x:c>
      <x:c r="E345" s="19" t="str">
        <x:v>yaʿan</x:v>
      </x:c>
      <x:c r="F345" s="16" t="str">
        <x:v>יען</x:v>
      </x:c>
      <x:c r="G345" s="20" t="str">
        <x:v>on account of</x:v>
      </x:c>
      <x:c r="H345" s="20" t="str"/>
      <x:c r="I345" s="21" t="str">
        <x:v>BBH2 課序</x:v>
      </x:c>
      <x:c r="J345" s="21" t="n">
        <x:v>18</x:v>
      </x:c>
      <x:c r="K345" s="22" t="n">
        <x:v>99</x:v>
      </x:c>
      <x:c r="L345" s="21" t="str">
        <x:v>H3282</x:v>
      </x:c>
      <x:c r="M345" s="21" t="str">
        <x:v>conjunction</x:v>
      </x:c>
      <x:c r="N345" s="21" t="str">
        <x:v>否</x:v>
      </x:c>
      <x:c r="O345" s="21" t="str"/>
      <x:c r="P345" s="21" t="str">
        <x:v>source_and_lexicon_matched</x:v>
      </x:c>
      <x:c r="Q345" s="21" t="str">
        <x:v>rule_generated_exception_review</x:v>
      </x:c>
      <x:c r="R345" s="20" t="str">
        <x:v>https://hebrewsyntax.org/bbh2new/</x:v>
      </x:c>
    </x:row>
    <x:row r="346" ht="28" customHeight="1">
      <x:c r="A346" s="21" t="n">
        <x:v>342</x:v>
      </x:c>
      <x:c r="B346" s="21" t="n">
        <x:f>ROUNDUP(A346/20,0)</x:f>
        <x:v>18</x:v>
      </x:c>
      <x:c r="C346" s="21" t="n">
        <x:f>MOD(A346-1,20)+1</x:f>
        <x:v>2</x:v>
      </x:c>
      <x:c r="D346" s="18" t="str">
        <x:v>נָא</x:v>
      </x:c>
      <x:c r="E346" s="19" t="str">
        <x:v>nāʾ</x:v>
      </x:c>
      <x:c r="F346" s="16" t="str">
        <x:v>נא</x:v>
      </x:c>
      <x:c r="G346" s="20" t="str">
        <x:v>please, now; surely; particle often not translated</x:v>
      </x:c>
      <x:c r="H346" s="20" t="str"/>
      <x:c r="I346" s="21" t="str">
        <x:v>BBH2 課序</x:v>
      </x:c>
      <x:c r="J346" s="21" t="n">
        <x:v>18</x:v>
      </x:c>
      <x:c r="K346" s="22" t="n">
        <x:v>403</x:v>
      </x:c>
      <x:c r="L346" s="21" t="str">
        <x:v>H4994</x:v>
      </x:c>
      <x:c r="M346" s="21" t="str">
        <x:v>particle</x:v>
      </x:c>
      <x:c r="N346" s="21" t="str">
        <x:v>否</x:v>
      </x:c>
      <x:c r="O346" s="21" t="str"/>
      <x:c r="P346" s="21" t="str">
        <x:v>source_and_lexicon_matched</x:v>
      </x:c>
      <x:c r="Q346" s="21" t="str">
        <x:v>rule_generated_exception_review</x:v>
      </x:c>
      <x:c r="R346" s="20" t="str">
        <x:v>https://hebrewsyntax.org/bbh2new/</x:v>
      </x:c>
    </x:row>
    <x:row r="347" ht="28" customHeight="1">
      <x:c r="A347" s="21" t="n">
        <x:v>343</x:v>
      </x:c>
      <x:c r="B347" s="21" t="n">
        <x:f>ROUNDUP(A347/20,0)</x:f>
        <x:v>18</x:v>
      </x:c>
      <x:c r="C347" s="21" t="n">
        <x:f>MOD(A347-1,20)+1</x:f>
        <x:v>3</x:v>
      </x:c>
      <x:c r="D347" s="18" t="str">
        <x:v>בָּטַח</x:v>
      </x:c>
      <x:c r="E347" s="19" t="str">
        <x:v>bāṭaḥ</x:v>
      </x:c>
      <x:c r="F347" s="16" t="str">
        <x:v>בטח</x:v>
      </x:c>
      <x:c r="G347" s="20" t="str">
        <x:v>to trust, be confident, rely (upon)</x:v>
      </x:c>
      <x:c r="H347" s="20" t="str"/>
      <x:c r="I347" s="21" t="str">
        <x:v>BBH2 課序</x:v>
      </x:c>
      <x:c r="J347" s="21" t="n">
        <x:v>19</x:v>
      </x:c>
      <x:c r="K347" s="22" t="n">
        <x:v>120</x:v>
      </x:c>
      <x:c r="L347" s="21" t="str">
        <x:v>H982</x:v>
      </x:c>
      <x:c r="M347" s="21" t="str">
        <x:v>verb</x:v>
      </x:c>
      <x:c r="N347" s="21" t="str">
        <x:v>否</x:v>
      </x:c>
      <x:c r="O347" s="21" t="str"/>
      <x:c r="P347" s="21" t="str">
        <x:v>source_and_lexicon_matched</x:v>
      </x:c>
      <x:c r="Q347" s="21" t="str">
        <x:v>rule_generated_exception_review</x:v>
      </x:c>
      <x:c r="R347" s="20" t="str">
        <x:v>https://hebrewsyntax.org/bbh2new/</x:v>
      </x:c>
    </x:row>
    <x:row r="348" ht="28" customHeight="1">
      <x:c r="A348" s="21" t="n">
        <x:v>344</x:v>
      </x:c>
      <x:c r="B348" s="21" t="n">
        <x:f>ROUNDUP(A348/20,0)</x:f>
        <x:v>18</x:v>
      </x:c>
      <x:c r="C348" s="21" t="n">
        <x:f>MOD(A348-1,20)+1</x:f>
        <x:v>4</x:v>
      </x:c>
      <x:c r="D348" s="18" t="str">
        <x:v>בָּכָה</x:v>
      </x:c>
      <x:c r="E348" s="19" t="str">
        <x:v>bāḵâ</x:v>
      </x:c>
      <x:c r="F348" s="16" t="str">
        <x:v>בכה</x:v>
      </x:c>
      <x:c r="G348" s="20" t="str">
        <x:v>to weep (in grief or joy), weep for</x:v>
      </x:c>
      <x:c r="H348" s="20" t="str"/>
      <x:c r="I348" s="21" t="str">
        <x:v>BBH2 課序</x:v>
      </x:c>
      <x:c r="J348" s="21" t="n">
        <x:v>19</x:v>
      </x:c>
      <x:c r="K348" s="22" t="n">
        <x:v>116</x:v>
      </x:c>
      <x:c r="L348" s="21" t="str">
        <x:v>H1058</x:v>
      </x:c>
      <x:c r="M348" s="21" t="str">
        <x:v>verb</x:v>
      </x:c>
      <x:c r="N348" s="21" t="str">
        <x:v>否</x:v>
      </x:c>
      <x:c r="O348" s="21" t="str"/>
      <x:c r="P348" s="21" t="str">
        <x:v>source_and_lexicon_matched</x:v>
      </x:c>
      <x:c r="Q348" s="21" t="str">
        <x:v>rule_generated_exception_review</x:v>
      </x:c>
      <x:c r="R348" s="20" t="str">
        <x:v>https://hebrewsyntax.org/bbh2new/</x:v>
      </x:c>
    </x:row>
    <x:row r="349" ht="28" customHeight="1">
      <x:c r="A349" s="21" t="n">
        <x:v>345</x:v>
      </x:c>
      <x:c r="B349" s="21" t="n">
        <x:f>ROUNDUP(A349/20,0)</x:f>
        <x:v>18</x:v>
      </x:c>
      <x:c r="C349" s="21" t="n">
        <x:f>MOD(A349-1,20)+1</x:f>
        <x:v>5</x:v>
      </x:c>
      <x:c r="D349" s="18" t="str">
        <x:v>לָבַשׁ</x:v>
      </x:c>
      <x:c r="E349" s="19" t="str">
        <x:v>lāḇaš</x:v>
      </x:c>
      <x:c r="F349" s="16" t="str">
        <x:v>לבש</x:v>
      </x:c>
      <x:c r="G349" s="20" t="str">
        <x:v>to put on a garment, clothe, be clothed</x:v>
      </x:c>
      <x:c r="H349" s="20" t="str"/>
      <x:c r="I349" s="21" t="str">
        <x:v>BBH2 課序</x:v>
      </x:c>
      <x:c r="J349" s="21" t="n">
        <x:v>19</x:v>
      </x:c>
      <x:c r="K349" s="22" t="n">
        <x:v>111</x:v>
      </x:c>
      <x:c r="L349" s="21" t="str">
        <x:v>H3847</x:v>
      </x:c>
      <x:c r="M349" s="21" t="str">
        <x:v>verb</x:v>
      </x:c>
      <x:c r="N349" s="21" t="str">
        <x:v>否</x:v>
      </x:c>
      <x:c r="O349" s="21" t="str"/>
      <x:c r="P349" s="21" t="str">
        <x:v>source_and_lexicon_matched</x:v>
      </x:c>
      <x:c r="Q349" s="21" t="str">
        <x:v>rule_generated_exception_review</x:v>
      </x:c>
      <x:c r="R349" s="20" t="str">
        <x:v>https://hebrewsyntax.org/bbh2new/</x:v>
      </x:c>
    </x:row>
    <x:row r="350" ht="28" customHeight="1">
      <x:c r="A350" s="21" t="n">
        <x:v>346</x:v>
      </x:c>
      <x:c r="B350" s="21" t="n">
        <x:f>ROUNDUP(A350/20,0)</x:f>
        <x:v>18</x:v>
      </x:c>
      <x:c r="C350" s="21" t="n">
        <x:f>MOD(A350-1,20)+1</x:f>
        <x:v>6</x:v>
      </x:c>
      <x:c r="D350" s="18" t="str">
        <x:v>שָׂרַף</x:v>
      </x:c>
      <x:c r="E350" s="19" t="str">
        <x:v>śārap̄</x:v>
      </x:c>
      <x:c r="F350" s="16" t="str">
        <x:v>שרף</x:v>
      </x:c>
      <x:c r="G350" s="20" t="str">
        <x:v>to burn (completely), destroy</x:v>
      </x:c>
      <x:c r="H350" s="20" t="str"/>
      <x:c r="I350" s="21" t="str">
        <x:v>BBH2 課序</x:v>
      </x:c>
      <x:c r="J350" s="21" t="n">
        <x:v>19</x:v>
      </x:c>
      <x:c r="K350" s="22" t="n">
        <x:v>117</x:v>
      </x:c>
      <x:c r="L350" s="21" t="str">
        <x:v>H8313</x:v>
      </x:c>
      <x:c r="M350" s="21" t="str">
        <x:v>verb</x:v>
      </x:c>
      <x:c r="N350" s="21" t="str">
        <x:v>否</x:v>
      </x:c>
      <x:c r="O350" s="21" t="str"/>
      <x:c r="P350" s="21" t="str">
        <x:v>source_and_lexicon_matched</x:v>
      </x:c>
      <x:c r="Q350" s="21" t="str">
        <x:v>rule_generated_exception_review</x:v>
      </x:c>
      <x:c r="R350" s="20" t="str">
        <x:v>https://hebrewsyntax.org/bbh2new/</x:v>
      </x:c>
    </x:row>
    <x:row r="351" ht="28" customHeight="1">
      <x:c r="A351" s="21" t="n">
        <x:v>347</x:v>
      </x:c>
      <x:c r="B351" s="21" t="n">
        <x:f>ROUNDUP(A351/20,0)</x:f>
        <x:v>18</x:v>
      </x:c>
      <x:c r="C351" s="21" t="n">
        <x:f>MOD(A351-1,20)+1</x:f>
        <x:v>7</x:v>
      </x:c>
      <x:c r="D351" s="18" t="str">
        <x:v>שָׂרָף</x:v>
      </x:c>
      <x:c r="E351" s="19" t="str">
        <x:v>śārāp̄</x:v>
      </x:c>
      <x:c r="F351" s="16" t="str">
        <x:v>שרף</x:v>
      </x:c>
      <x:c r="G351" s="20" t="str">
        <x:v>fiery serpent</x:v>
      </x:c>
      <x:c r="H351" s="20" t="str"/>
      <x:c r="I351" s="21" t="str">
        <x:v>BBH2 課序</x:v>
      </x:c>
      <x:c r="J351" s="21" t="n">
        <x:v>19</x:v>
      </x:c>
      <x:c r="K351" s="22" t="n">
        <x:v>7</x:v>
      </x:c>
      <x:c r="L351" s="21" t="str">
        <x:v>H8314</x:v>
      </x:c>
      <x:c r="M351" s="21" t="str">
        <x:v>noun</x:v>
      </x:c>
      <x:c r="N351" s="21" t="str">
        <x:v>否</x:v>
      </x:c>
      <x:c r="O351" s="21" t="str"/>
      <x:c r="P351" s="21" t="str">
        <x:v>source_and_lexicon_matched</x:v>
      </x:c>
      <x:c r="Q351" s="21" t="str">
        <x:v>rule_generated_exception_review</x:v>
      </x:c>
      <x:c r="R351" s="20" t="str">
        <x:v>https://hebrewsyntax.org/bbh2new/</x:v>
      </x:c>
    </x:row>
    <x:row r="352" ht="28" customHeight="1">
      <x:c r="A352" s="21" t="n">
        <x:v>348</x:v>
      </x:c>
      <x:c r="B352" s="21" t="n">
        <x:f>ROUNDUP(A352/20,0)</x:f>
        <x:v>18</x:v>
      </x:c>
      <x:c r="C352" s="21" t="n">
        <x:f>MOD(A352-1,20)+1</x:f>
        <x:v>8</x:v>
      </x:c>
      <x:c r="D352" s="18" t="str">
        <x:v>שָׁלֵם</x:v>
      </x:c>
      <x:c r="E352" s="19" t="str">
        <x:v>šālēm</x:v>
      </x:c>
      <x:c r="F352" s="16" t="str">
        <x:v>שלם</x:v>
      </x:c>
      <x:c r="G352" s="20" t="str">
        <x:v>to be complete, be finished</x:v>
      </x:c>
      <x:c r="H352" s="20" t="str"/>
      <x:c r="I352" s="21" t="str">
        <x:v>BBH2 課序</x:v>
      </x:c>
      <x:c r="J352" s="21" t="n">
        <x:v>19</x:v>
      </x:c>
      <x:c r="K352" s="22" t="n">
        <x:v>116</x:v>
      </x:c>
      <x:c r="L352" s="21" t="str">
        <x:v>H7999</x:v>
      </x:c>
      <x:c r="M352" s="21" t="str">
        <x:v>verb</x:v>
      </x:c>
      <x:c r="N352" s="21" t="str">
        <x:v>否</x:v>
      </x:c>
      <x:c r="O352" s="21" t="str"/>
      <x:c r="P352" s="21" t="str">
        <x:v>source_and_lexicon_matched</x:v>
      </x:c>
      <x:c r="Q352" s="21" t="str">
        <x:v>rule_generated_exception_review</x:v>
      </x:c>
      <x:c r="R352" s="20" t="str">
        <x:v>https://hebrewsyntax.org/bbh2new/</x:v>
      </x:c>
    </x:row>
    <x:row r="353" ht="28" customHeight="1">
      <x:c r="A353" s="21" t="n">
        <x:v>349</x:v>
      </x:c>
      <x:c r="B353" s="21" t="n">
        <x:f>ROUNDUP(A353/20,0)</x:f>
        <x:v>18</x:v>
      </x:c>
      <x:c r="C353" s="21" t="n">
        <x:f>MOD(A353-1,20)+1</x:f>
        <x:v>9</x:v>
      </x:c>
      <x:c r="D353" s="18" t="str">
        <x:v>דּוֹר</x:v>
      </x:c>
      <x:c r="E353" s="19" t="str">
        <x:v>dôr</x:v>
      </x:c>
      <x:c r="F353" s="16" t="str">
        <x:v>דור</x:v>
      </x:c>
      <x:c r="G353" s="20" t="str">
        <x:v>generation</x:v>
      </x:c>
      <x:c r="H353" s="20" t="str"/>
      <x:c r="I353" s="21" t="str">
        <x:v>BBH2 課序</x:v>
      </x:c>
      <x:c r="J353" s="21" t="n">
        <x:v>19</x:v>
      </x:c>
      <x:c r="K353" s="22" t="n">
        <x:v>168</x:v>
      </x:c>
      <x:c r="L353" s="21" t="str">
        <x:v>H1755</x:v>
      </x:c>
      <x:c r="M353" s="21" t="str">
        <x:v>noun</x:v>
      </x:c>
      <x:c r="N353" s="21" t="str">
        <x:v>否</x:v>
      </x:c>
      <x:c r="O353" s="21" t="str"/>
      <x:c r="P353" s="21" t="str">
        <x:v>source_and_lexicon_matched</x:v>
      </x:c>
      <x:c r="Q353" s="21" t="str">
        <x:v>rule_generated_exception_review</x:v>
      </x:c>
      <x:c r="R353" s="20" t="str">
        <x:v>https://hebrewsyntax.org/bbh2new/</x:v>
      </x:c>
    </x:row>
    <x:row r="354" ht="28" customHeight="1">
      <x:c r="A354" s="21" t="n">
        <x:v>350</x:v>
      </x:c>
      <x:c r="B354" s="21" t="n">
        <x:f>ROUNDUP(A354/20,0)</x:f>
        <x:v>18</x:v>
      </x:c>
      <x:c r="C354" s="21" t="n">
        <x:f>MOD(A354-1,20)+1</x:f>
        <x:v>10</x:v>
      </x:c>
      <x:c r="D354" s="18" t="str">
        <x:v>חוּץ</x:v>
      </x:c>
      <x:c r="E354" s="19" t="str">
        <x:v>ḥûṣ</x:v>
      </x:c>
      <x:c r="F354" s="16" t="str">
        <x:v>חוץ</x:v>
      </x:c>
      <x:c r="G354" s="20" t="str">
        <x:v>outside, street</x:v>
      </x:c>
      <x:c r="H354" s="20" t="str"/>
      <x:c r="I354" s="21" t="str">
        <x:v>BBH2 課序</x:v>
      </x:c>
      <x:c r="J354" s="21" t="n">
        <x:v>19</x:v>
      </x:c>
      <x:c r="K354" s="22" t="n">
        <x:v>164</x:v>
      </x:c>
      <x:c r="L354" s="21" t="str">
        <x:v>H2351</x:v>
      </x:c>
      <x:c r="M354" s="21" t="str">
        <x:v>noun</x:v>
      </x:c>
      <x:c r="N354" s="21" t="str">
        <x:v>否</x:v>
      </x:c>
      <x:c r="O354" s="21" t="str"/>
      <x:c r="P354" s="21" t="str">
        <x:v>source_and_lexicon_matched</x:v>
      </x:c>
      <x:c r="Q354" s="21" t="str">
        <x:v>rule_generated_exception_review</x:v>
      </x:c>
      <x:c r="R354" s="20" t="str">
        <x:v>https://hebrewsyntax.org/bbh2new/</x:v>
      </x:c>
    </x:row>
    <x:row r="355" ht="28" customHeight="1">
      <x:c r="A355" s="21" t="n">
        <x:v>351</x:v>
      </x:c>
      <x:c r="B355" s="21" t="n">
        <x:f>ROUNDUP(A355/20,0)</x:f>
        <x:v>18</x:v>
      </x:c>
      <x:c r="C355" s="21" t="n">
        <x:f>MOD(A355-1,20)+1</x:f>
        <x:v>11</x:v>
      </x:c>
      <x:c r="D355" s="18" t="str">
        <x:v>מְלָאכָה</x:v>
      </x:c>
      <x:c r="E355" s="19" t="str">
        <x:v>məlāʾḵâ</x:v>
      </x:c>
      <x:c r="F355" s="16" t="str">
        <x:v>מלאכה</x:v>
      </x:c>
      <x:c r="G355" s="20" t="str">
        <x:v>work, occupation, service</x:v>
      </x:c>
      <x:c r="H355" s="20" t="str"/>
      <x:c r="I355" s="21" t="str">
        <x:v>BBH2 課序</x:v>
      </x:c>
      <x:c r="J355" s="21" t="n">
        <x:v>19</x:v>
      </x:c>
      <x:c r="K355" s="22" t="n">
        <x:v>167</x:v>
      </x:c>
      <x:c r="L355" s="21" t="str">
        <x:v>H4399</x:v>
      </x:c>
      <x:c r="M355" s="21" t="str">
        <x:v>noun</x:v>
      </x:c>
      <x:c r="N355" s="21" t="str">
        <x:v>否</x:v>
      </x:c>
      <x:c r="O355" s="21" t="str"/>
      <x:c r="P355" s="21" t="str">
        <x:v>source_and_lexicon_matched</x:v>
      </x:c>
      <x:c r="Q355" s="21" t="str">
        <x:v>rule_generated_exception_review</x:v>
      </x:c>
      <x:c r="R355" s="20" t="str">
        <x:v>https://hebrewsyntax.org/bbh2new/</x:v>
      </x:c>
    </x:row>
    <x:row r="356" ht="28" customHeight="1">
      <x:c r="A356" s="21" t="n">
        <x:v>352</x:v>
      </x:c>
      <x:c r="B356" s="21" t="n">
        <x:f>ROUNDUP(A356/20,0)</x:f>
        <x:v>18</x:v>
      </x:c>
      <x:c r="C356" s="21" t="n">
        <x:f>MOD(A356-1,20)+1</x:f>
        <x:v>12</x:v>
      </x:c>
      <x:c r="D356" s="18" t="str">
        <x:v>פַּר</x:v>
      </x:c>
      <x:c r="E356" s="19" t="str">
        <x:v>par</x:v>
      </x:c>
      <x:c r="F356" s="16" t="str">
        <x:v>פר</x:v>
      </x:c>
      <x:c r="G356" s="20" t="str">
        <x:v>bull, ox, steer</x:v>
      </x:c>
      <x:c r="H356" s="20" t="str"/>
      <x:c r="I356" s="21" t="str">
        <x:v>BBH2 課序</x:v>
      </x:c>
      <x:c r="J356" s="21" t="n">
        <x:v>19</x:v>
      </x:c>
      <x:c r="K356" s="22" t="n">
        <x:v>133</x:v>
      </x:c>
      <x:c r="L356" s="21" t="str">
        <x:v>H6499</x:v>
      </x:c>
      <x:c r="M356" s="21" t="str">
        <x:v>noun</x:v>
      </x:c>
      <x:c r="N356" s="21" t="str">
        <x:v>否</x:v>
      </x:c>
      <x:c r="O356" s="21" t="str"/>
      <x:c r="P356" s="21" t="str">
        <x:v>source_and_lexicon_matched</x:v>
      </x:c>
      <x:c r="Q356" s="21" t="str">
        <x:v>rule_generated_exception_review</x:v>
      </x:c>
      <x:c r="R356" s="20" t="str">
        <x:v>https://hebrewsyntax.org/bbh2new/</x:v>
      </x:c>
    </x:row>
    <x:row r="357" ht="28" customHeight="1">
      <x:c r="A357" s="21" t="n">
        <x:v>353</x:v>
      </x:c>
      <x:c r="B357" s="21" t="n">
        <x:f>ROUNDUP(A357/20,0)</x:f>
        <x:v>18</x:v>
      </x:c>
      <x:c r="C357" s="21" t="n">
        <x:f>MOD(A357-1,20)+1</x:f>
        <x:v>13</x:v>
      </x:c>
      <x:c r="D357" s="18" t="str">
        <x:v>פֶּ֫תַח</x:v>
      </x:c>
      <x:c r="E357" s="19" t="str">
        <x:v>peṯaḥ</x:v>
      </x:c>
      <x:c r="F357" s="16" t="str">
        <x:v>פתח</x:v>
      </x:c>
      <x:c r="G357" s="20" t="str">
        <x:v>opening, entrance, doorway</x:v>
      </x:c>
      <x:c r="H357" s="20" t="str"/>
      <x:c r="I357" s="21" t="str">
        <x:v>BBH2 課序</x:v>
      </x:c>
      <x:c r="J357" s="21" t="n">
        <x:v>19</x:v>
      </x:c>
      <x:c r="K357" s="22" t="n">
        <x:v>164</x:v>
      </x:c>
      <x:c r="L357" s="21" t="str">
        <x:v>H6607</x:v>
      </x:c>
      <x:c r="M357" s="21" t="str">
        <x:v>noun</x:v>
      </x:c>
      <x:c r="N357" s="21" t="str">
        <x:v>否</x:v>
      </x:c>
      <x:c r="O357" s="21" t="str"/>
      <x:c r="P357" s="21" t="str">
        <x:v>source_and_lexicon_matched</x:v>
      </x:c>
      <x:c r="Q357" s="21" t="str">
        <x:v>rule_generated_exception_review</x:v>
      </x:c>
      <x:c r="R357" s="20" t="str">
        <x:v>https://hebrewsyntax.org/bbh2new/</x:v>
      </x:c>
    </x:row>
    <x:row r="358" ht="28" customHeight="1">
      <x:c r="A358" s="21" t="n">
        <x:v>354</x:v>
      </x:c>
      <x:c r="B358" s="21" t="n">
        <x:f>ROUNDUP(A358/20,0)</x:f>
        <x:v>18</x:v>
      </x:c>
      <x:c r="C358" s="21" t="n">
        <x:f>MOD(A358-1,20)+1</x:f>
        <x:v>14</x:v>
      </x:c>
      <x:c r="D358" s="18" t="str">
        <x:v>רֹב</x:v>
      </x:c>
      <x:c r="E358" s="19" t="str">
        <x:v>rōḇ</x:v>
      </x:c>
      <x:c r="F358" s="16" t="str">
        <x:v>רב</x:v>
      </x:c>
      <x:c r="G358" s="20" t="str">
        <x:v>multitude, abundance, greatness</x:v>
      </x:c>
      <x:c r="H358" s="20" t="str"/>
      <x:c r="I358" s="21" t="str">
        <x:v>BBH2 課序</x:v>
      </x:c>
      <x:c r="J358" s="21" t="n">
        <x:v>19</x:v>
      </x:c>
      <x:c r="K358" s="22" t="n">
        <x:v>150</x:v>
      </x:c>
      <x:c r="L358" s="21" t="str">
        <x:v>H7230</x:v>
      </x:c>
      <x:c r="M358" s="21" t="str">
        <x:v>noun</x:v>
      </x:c>
      <x:c r="N358" s="21" t="str">
        <x:v>否</x:v>
      </x:c>
      <x:c r="O358" s="21" t="str"/>
      <x:c r="P358" s="21" t="str">
        <x:v>source_and_lexicon_matched</x:v>
      </x:c>
      <x:c r="Q358" s="21" t="str">
        <x:v>rule_generated_exception_review</x:v>
      </x:c>
      <x:c r="R358" s="20" t="str">
        <x:v>https://hebrewsyntax.org/bbh2new/</x:v>
      </x:c>
    </x:row>
    <x:row r="359" ht="28" customHeight="1">
      <x:c r="A359" s="21" t="n">
        <x:v>355</x:v>
      </x:c>
      <x:c r="B359" s="21" t="n">
        <x:f>ROUNDUP(A359/20,0)</x:f>
        <x:v>18</x:v>
      </x:c>
      <x:c r="C359" s="21" t="n">
        <x:f>MOD(A359-1,20)+1</x:f>
        <x:v>15</x:v>
      </x:c>
      <x:c r="D359" s="18" t="str">
        <x:v>שָׂפָה</x:v>
      </x:c>
      <x:c r="E359" s="19" t="str">
        <x:v>śāp̄â</x:v>
      </x:c>
      <x:c r="F359" s="16" t="str">
        <x:v>שפה</x:v>
      </x:c>
      <x:c r="G359" s="20" t="str">
        <x:v>lip, language, edge, shore</x:v>
      </x:c>
      <x:c r="H359" s="20" t="str"/>
      <x:c r="I359" s="21" t="str">
        <x:v>BBH2 課序</x:v>
      </x:c>
      <x:c r="J359" s="21" t="n">
        <x:v>19</x:v>
      </x:c>
      <x:c r="K359" s="22" t="n">
        <x:v>177</x:v>
      </x:c>
      <x:c r="L359" s="21" t="str">
        <x:v>H8193</x:v>
      </x:c>
      <x:c r="M359" s="21" t="str">
        <x:v>noun</x:v>
      </x:c>
      <x:c r="N359" s="21" t="str">
        <x:v>否</x:v>
      </x:c>
      <x:c r="O359" s="21" t="str"/>
      <x:c r="P359" s="21" t="str">
        <x:v>source_and_lexicon_matched</x:v>
      </x:c>
      <x:c r="Q359" s="21" t="str">
        <x:v>rule_generated_exception_review</x:v>
      </x:c>
      <x:c r="R359" s="20" t="str">
        <x:v>https://hebrewsyntax.org/bbh2new/</x:v>
      </x:c>
    </x:row>
    <x:row r="360" ht="28" customHeight="1">
      <x:c r="A360" s="21" t="n">
        <x:v>356</x:v>
      </x:c>
      <x:c r="B360" s="21" t="n">
        <x:f>ROUNDUP(A360/20,0)</x:f>
        <x:v>18</x:v>
      </x:c>
      <x:c r="C360" s="21" t="n">
        <x:f>MOD(A360-1,20)+1</x:f>
        <x:v>16</x:v>
      </x:c>
      <x:c r="D360" s="18" t="str">
        <x:v>אָחַז</x:v>
      </x:c>
      <x:c r="E360" s="19" t="str">
        <x:v>ʾāḥaz</x:v>
      </x:c>
      <x:c r="F360" s="16" t="str">
        <x:v>אחז</x:v>
      </x:c>
      <x:c r="G360" s="20" t="str">
        <x:v>to seize, grasp, take</x:v>
      </x:c>
      <x:c r="H360" s="20" t="str"/>
      <x:c r="I360" s="21" t="str">
        <x:v>BBH2 課序</x:v>
      </x:c>
      <x:c r="J360" s="21" t="n">
        <x:v>20</x:v>
      </x:c>
      <x:c r="K360" s="22" t="n">
        <x:v>68</x:v>
      </x:c>
      <x:c r="L360" s="21" t="str">
        <x:v>H270</x:v>
      </x:c>
      <x:c r="M360" s="21" t="str">
        <x:v>verb</x:v>
      </x:c>
      <x:c r="N360" s="21" t="str">
        <x:v>否</x:v>
      </x:c>
      <x:c r="O360" s="21" t="str"/>
      <x:c r="P360" s="21" t="str">
        <x:v>source_and_lexicon_matched</x:v>
      </x:c>
      <x:c r="Q360" s="21" t="str">
        <x:v>rule_generated_exception_review</x:v>
      </x:c>
      <x:c r="R360" s="20" t="str">
        <x:v>https://hebrewsyntax.org/bbh2new/</x:v>
      </x:c>
    </x:row>
    <x:row r="361" ht="28" customHeight="1">
      <x:c r="A361" s="21" t="n">
        <x:v>357</x:v>
      </x:c>
      <x:c r="B361" s="21" t="n">
        <x:f>ROUNDUP(A361/20,0)</x:f>
        <x:v>18</x:v>
      </x:c>
      <x:c r="C361" s="21" t="n">
        <x:f>MOD(A361-1,20)+1</x:f>
        <x:v>17</x:v>
      </x:c>
      <x:c r="D361" s="18" t="str">
        <x:v>טָמֵא</x:v>
      </x:c>
      <x:c r="E361" s="19" t="str">
        <x:v>ṭāmēʾ</x:v>
      </x:c>
      <x:c r="F361" s="16" t="str">
        <x:v>טמא</x:v>
      </x:c>
      <x:c r="G361" s="20" t="str">
        <x:v>to be(come) unclean</x:v>
      </x:c>
      <x:c r="H361" s="20" t="str"/>
      <x:c r="I361" s="21" t="str">
        <x:v>BBH2 課序</x:v>
      </x:c>
      <x:c r="J361" s="21" t="n">
        <x:v>20</x:v>
      </x:c>
      <x:c r="K361" s="22" t="n">
        <x:v>162</x:v>
      </x:c>
      <x:c r="L361" s="21" t="str">
        <x:v>H2930</x:v>
      </x:c>
      <x:c r="M361" s="21" t="str">
        <x:v>verb</x:v>
      </x:c>
      <x:c r="N361" s="21" t="str">
        <x:v>否</x:v>
      </x:c>
      <x:c r="O361" s="21" t="str"/>
      <x:c r="P361" s="21" t="str">
        <x:v>source_and_lexicon_matched</x:v>
      </x:c>
      <x:c r="Q361" s="21" t="str">
        <x:v>rule_generated_exception_review</x:v>
      </x:c>
      <x:c r="R361" s="20" t="str">
        <x:v>https://hebrewsyntax.org/bbh2new/</x:v>
      </x:c>
    </x:row>
    <x:row r="362" ht="28" customHeight="1">
      <x:c r="A362" s="21" t="n">
        <x:v>358</x:v>
      </x:c>
      <x:c r="B362" s="21" t="n">
        <x:f>ROUNDUP(A362/20,0)</x:f>
        <x:v>18</x:v>
      </x:c>
      <x:c r="C362" s="21" t="n">
        <x:f>MOD(A362-1,20)+1</x:f>
        <x:v>18</x:v>
      </x:c>
      <x:c r="D362" s="18" t="str">
        <x:v>יָצַר</x:v>
      </x:c>
      <x:c r="E362" s="19" t="str">
        <x:v>yāṣar</x:v>
      </x:c>
      <x:c r="F362" s="16" t="str">
        <x:v>יצר</x:v>
      </x:c>
      <x:c r="G362" s="20" t="str">
        <x:v>to form, fashion, shape, create</x:v>
      </x:c>
      <x:c r="H362" s="20" t="str"/>
      <x:c r="I362" s="21" t="str">
        <x:v>BBH2 課序</x:v>
      </x:c>
      <x:c r="J362" s="21" t="n">
        <x:v>20</x:v>
      </x:c>
      <x:c r="K362" s="22" t="n">
        <x:v>63</x:v>
      </x:c>
      <x:c r="L362" s="21" t="str">
        <x:v>H3335</x:v>
      </x:c>
      <x:c r="M362" s="21" t="str">
        <x:v>verb</x:v>
      </x:c>
      <x:c r="N362" s="21" t="str">
        <x:v>否</x:v>
      </x:c>
      <x:c r="O362" s="21" t="str"/>
      <x:c r="P362" s="21" t="str">
        <x:v>source_and_lexicon_matched</x:v>
      </x:c>
      <x:c r="Q362" s="21" t="str">
        <x:v>rule_generated_exception_review</x:v>
      </x:c>
      <x:c r="R362" s="20" t="str">
        <x:v>https://hebrewsyntax.org/bbh2new/</x:v>
      </x:c>
    </x:row>
    <x:row r="363" ht="28" customHeight="1">
      <x:c r="A363" s="21" t="n">
        <x:v>359</x:v>
      </x:c>
      <x:c r="B363" s="21" t="n">
        <x:f>ROUNDUP(A363/20,0)</x:f>
        <x:v>18</x:v>
      </x:c>
      <x:c r="C363" s="21" t="n">
        <x:f>MOD(A363-1,20)+1</x:f>
        <x:v>19</x:v>
      </x:c>
      <x:c r="D363" s="18" t="str">
        <x:v>נוּס</x:v>
      </x:c>
      <x:c r="E363" s="19" t="str">
        <x:v>nûs</x:v>
      </x:c>
      <x:c r="F363" s="16" t="str">
        <x:v>נוס</x:v>
      </x:c>
      <x:c r="G363" s="20" t="str">
        <x:v>to flee, escape</x:v>
      </x:c>
      <x:c r="H363" s="20" t="str"/>
      <x:c r="I363" s="21" t="str">
        <x:v>BBH2 課序</x:v>
      </x:c>
      <x:c r="J363" s="21" t="n">
        <x:v>20</x:v>
      </x:c>
      <x:c r="K363" s="22" t="n">
        <x:v>161</x:v>
      </x:c>
      <x:c r="L363" s="21" t="str">
        <x:v>H5127</x:v>
      </x:c>
      <x:c r="M363" s="21" t="str">
        <x:v>verb</x:v>
      </x:c>
      <x:c r="N363" s="21" t="str">
        <x:v>否</x:v>
      </x:c>
      <x:c r="O363" s="21" t="str"/>
      <x:c r="P363" s="21" t="str">
        <x:v>source_and_lexicon_matched</x:v>
      </x:c>
      <x:c r="Q363" s="21" t="str">
        <x:v>rule_generated_exception_review</x:v>
      </x:c>
      <x:c r="R363" s="20" t="str">
        <x:v>https://hebrewsyntax.org/bbh2new/</x:v>
      </x:c>
    </x:row>
    <x:row r="364" ht="28" customHeight="1">
      <x:c r="A364" s="21" t="n">
        <x:v>360</x:v>
      </x:c>
      <x:c r="B364" s="21" t="n">
        <x:f>ROUNDUP(A364/20,0)</x:f>
        <x:v>18</x:v>
      </x:c>
      <x:c r="C364" s="21" t="n">
        <x:f>MOD(A364-1,20)+1</x:f>
        <x:v>20</x:v>
      </x:c>
      <x:c r="D364" s="18" t="str">
        <x:v>נָגַע</x:v>
      </x:c>
      <x:c r="E364" s="19" t="str">
        <x:v>nāg̅aʿ</x:v>
      </x:c>
      <x:c r="F364" s="16" t="str">
        <x:v>נגע</x:v>
      </x:c>
      <x:c r="G364" s="20" t="str">
        <x:v>to touch, strike, reach</x:v>
      </x:c>
      <x:c r="H364" s="20" t="str"/>
      <x:c r="I364" s="21" t="str">
        <x:v>BBH2 課序</x:v>
      </x:c>
      <x:c r="J364" s="21" t="n">
        <x:v>20</x:v>
      </x:c>
      <x:c r="K364" s="22" t="n">
        <x:v>150</x:v>
      </x:c>
      <x:c r="L364" s="21" t="str">
        <x:v>H5060</x:v>
      </x:c>
      <x:c r="M364" s="21" t="str">
        <x:v>verb</x:v>
      </x:c>
      <x:c r="N364" s="21" t="str">
        <x:v>否</x:v>
      </x:c>
      <x:c r="O364" s="21" t="str"/>
      <x:c r="P364" s="21" t="str">
        <x:v>source_and_lexicon_matched</x:v>
      </x:c>
      <x:c r="Q364" s="21" t="str">
        <x:v>rule_generated_exception_review</x:v>
      </x:c>
      <x:c r="R364" s="20" t="str">
        <x:v>https://hebrewsyntax.org/bbh2new/</x:v>
      </x:c>
    </x:row>
    <x:row r="365" ht="28" customHeight="1">
      <x:c r="A365" s="21" t="n">
        <x:v>361</x:v>
      </x:c>
      <x:c r="B365" s="21" t="n">
        <x:f>ROUNDUP(A365/20,0)</x:f>
        <x:v>19</x:v>
      </x:c>
      <x:c r="C365" s="21" t="n">
        <x:f>MOD(A365-1,20)+1</x:f>
        <x:v>1</x:v>
      </x:c>
      <x:c r="D365" s="18" t="str">
        <x:v>סָבַב</x:v>
      </x:c>
      <x:c r="E365" s="19" t="str">
        <x:v>sāḇaḇ</x:v>
      </x:c>
      <x:c r="F365" s="16" t="str">
        <x:v>סבב</x:v>
      </x:c>
      <x:c r="G365" s="20" t="str">
        <x:v>to turn, go around, march around, surround</x:v>
      </x:c>
      <x:c r="H365" s="20" t="str"/>
      <x:c r="I365" s="21" t="str">
        <x:v>BBH2 課序</x:v>
      </x:c>
      <x:c r="J365" s="21" t="n">
        <x:v>20</x:v>
      </x:c>
      <x:c r="K365" s="22" t="n">
        <x:v>158</x:v>
      </x:c>
      <x:c r="L365" s="21" t="str">
        <x:v>H5437</x:v>
      </x:c>
      <x:c r="M365" s="21" t="str">
        <x:v>verb</x:v>
      </x:c>
      <x:c r="N365" s="21" t="str">
        <x:v>否</x:v>
      </x:c>
      <x:c r="O365" s="21" t="str"/>
      <x:c r="P365" s="21" t="str">
        <x:v>source_and_lexicon_matched</x:v>
      </x:c>
      <x:c r="Q365" s="21" t="str">
        <x:v>rule_generated_exception_review</x:v>
      </x:c>
      <x:c r="R365" s="20" t="str">
        <x:v>https://hebrewsyntax.org/bbh2new/</x:v>
      </x:c>
    </x:row>
    <x:row r="366" ht="28" customHeight="1">
      <x:c r="A366" s="21" t="n">
        <x:v>362</x:v>
      </x:c>
      <x:c r="B366" s="21" t="n">
        <x:f>ROUNDUP(A366/20,0)</x:f>
        <x:v>19</x:v>
      </x:c>
      <x:c r="C366" s="21" t="n">
        <x:f>MOD(A366-1,20)+1</x:f>
        <x:v>2</x:v>
      </x:c>
      <x:c r="D366" s="18" t="str">
        <x:v>סָפַר</x:v>
      </x:c>
      <x:c r="E366" s="19" t="str">
        <x:v>sāp̄ar</x:v>
      </x:c>
      <x:c r="F366" s="16" t="str">
        <x:v>ספר</x:v>
      </x:c>
      <x:c r="G366" s="20" t="str">
        <x:v>to count</x:v>
      </x:c>
      <x:c r="H366" s="20" t="str"/>
      <x:c r="I366" s="21" t="str">
        <x:v>BBH2 課序</x:v>
      </x:c>
      <x:c r="J366" s="21" t="n">
        <x:v>20</x:v>
      </x:c>
      <x:c r="K366" s="22" t="n">
        <x:v>161</x:v>
      </x:c>
      <x:c r="L366" s="21" t="str">
        <x:v>H5608</x:v>
      </x:c>
      <x:c r="M366" s="21" t="str">
        <x:v>verb</x:v>
      </x:c>
      <x:c r="N366" s="21" t="str">
        <x:v>否</x:v>
      </x:c>
      <x:c r="O366" s="21" t="str"/>
      <x:c r="P366" s="21" t="str">
        <x:v>source_and_lexicon_matched</x:v>
      </x:c>
      <x:c r="Q366" s="21" t="str">
        <x:v>rule_generated_exception_review</x:v>
      </x:c>
      <x:c r="R366" s="20" t="str">
        <x:v>https://hebrewsyntax.org/bbh2new/</x:v>
      </x:c>
    </x:row>
    <x:row r="367" ht="28" customHeight="1">
      <x:c r="A367" s="21" t="n">
        <x:v>363</x:v>
      </x:c>
      <x:c r="B367" s="21" t="n">
        <x:f>ROUNDUP(A367/20,0)</x:f>
        <x:v>19</x:v>
      </x:c>
      <x:c r="C367" s="21" t="n">
        <x:f>MOD(A367-1,20)+1</x:f>
        <x:v>3</x:v>
      </x:c>
      <x:c r="D367" s="18" t="str">
        <x:v>שָׂמַח</x:v>
      </x:c>
      <x:c r="E367" s="19" t="str">
        <x:v>śāmaḥ</x:v>
      </x:c>
      <x:c r="F367" s="16" t="str">
        <x:v>שמח</x:v>
      </x:c>
      <x:c r="G367" s="20" t="str">
        <x:v>to rejoice, be joyful, be glad</x:v>
      </x:c>
      <x:c r="H367" s="20" t="str"/>
      <x:c r="I367" s="21" t="str">
        <x:v>BBH2 課序</x:v>
      </x:c>
      <x:c r="J367" s="21" t="n">
        <x:v>20</x:v>
      </x:c>
      <x:c r="K367" s="22" t="n">
        <x:v>158</x:v>
      </x:c>
      <x:c r="L367" s="21" t="str">
        <x:v>H8055</x:v>
      </x:c>
      <x:c r="M367" s="21" t="str">
        <x:v>verb</x:v>
      </x:c>
      <x:c r="N367" s="21" t="str">
        <x:v>否</x:v>
      </x:c>
      <x:c r="O367" s="21" t="str"/>
      <x:c r="P367" s="21" t="str">
        <x:v>source_and_lexicon_matched</x:v>
      </x:c>
      <x:c r="Q367" s="21" t="str">
        <x:v>rule_generated_exception_review</x:v>
      </x:c>
      <x:c r="R367" s="20" t="str">
        <x:v>https://hebrewsyntax.org/bbh2new/</x:v>
      </x:c>
    </x:row>
    <x:row r="368" ht="28" customHeight="1">
      <x:c r="A368" s="21" t="n">
        <x:v>364</x:v>
      </x:c>
      <x:c r="B368" s="21" t="n">
        <x:f>ROUNDUP(A368/20,0)</x:f>
        <x:v>19</x:v>
      </x:c>
      <x:c r="C368" s="21" t="n">
        <x:f>MOD(A368-1,20)+1</x:f>
        <x:v>4</x:v>
      </x:c>
      <x:c r="D368" s="18" t="str">
        <x:v>שָׁבַר</x:v>
      </x:c>
      <x:c r="E368" s="19" t="str">
        <x:v>šāḇar</x:v>
      </x:c>
      <x:c r="F368" s="16" t="str">
        <x:v>שבר</x:v>
      </x:c>
      <x:c r="G368" s="20" t="str">
        <x:v>to break (up), break in pieces, smash, shatter</x:v>
      </x:c>
      <x:c r="H368" s="20" t="str"/>
      <x:c r="I368" s="21" t="str">
        <x:v>BBH2 課序</x:v>
      </x:c>
      <x:c r="J368" s="21" t="n">
        <x:v>20</x:v>
      </x:c>
      <x:c r="K368" s="22" t="n">
        <x:v>149</x:v>
      </x:c>
      <x:c r="L368" s="21" t="str">
        <x:v>H7665</x:v>
      </x:c>
      <x:c r="M368" s="21" t="str">
        <x:v>verb</x:v>
      </x:c>
      <x:c r="N368" s="21" t="str">
        <x:v>否</x:v>
      </x:c>
      <x:c r="O368" s="21" t="str"/>
      <x:c r="P368" s="21" t="str">
        <x:v>source_and_lexicon_matched</x:v>
      </x:c>
      <x:c r="Q368" s="21" t="str">
        <x:v>rule_generated_exception_review</x:v>
      </x:c>
      <x:c r="R368" s="20" t="str">
        <x:v>https://hebrewsyntax.org/bbh2new/</x:v>
      </x:c>
    </x:row>
    <x:row r="369" ht="28" customHeight="1">
      <x:c r="A369" s="21" t="n">
        <x:v>365</x:v>
      </x:c>
      <x:c r="B369" s="21" t="n">
        <x:f>ROUNDUP(A369/20,0)</x:f>
        <x:v>19</x:v>
      </x:c>
      <x:c r="C369" s="21" t="n">
        <x:f>MOD(A369-1,20)+1</x:f>
        <x:v>5</x:v>
      </x:c>
      <x:c r="D369" s="18" t="str">
        <x:v>יַחְדָּו</x:v>
      </x:c>
      <x:c r="E369" s="19" t="str">
        <x:v>yaḥdāw</x:v>
      </x:c>
      <x:c r="F369" s="16" t="str">
        <x:v>יחדו</x:v>
      </x:c>
      <x:c r="G369" s="20" t="str">
        <x:v>together, at the same time</x:v>
      </x:c>
      <x:c r="H369" s="20" t="str"/>
      <x:c r="I369" s="21" t="str">
        <x:v>BBH2 課序</x:v>
      </x:c>
      <x:c r="J369" s="21" t="n">
        <x:v>20</x:v>
      </x:c>
      <x:c r="K369" s="22" t="n">
        <x:v>142</x:v>
      </x:c>
      <x:c r="L369" s="21" t="str">
        <x:v>H3162</x:v>
      </x:c>
      <x:c r="M369" s="21" t="str">
        <x:v>adverb</x:v>
      </x:c>
      <x:c r="N369" s="21" t="str">
        <x:v>否</x:v>
      </x:c>
      <x:c r="O369" s="21" t="str"/>
      <x:c r="P369" s="21" t="str">
        <x:v>source_and_lexicon_matched</x:v>
      </x:c>
      <x:c r="Q369" s="21" t="str">
        <x:v>rule_generated_exception_review</x:v>
      </x:c>
      <x:c r="R369" s="20" t="str">
        <x:v>https://hebrewsyntax.org/bbh2new/</x:v>
      </x:c>
    </x:row>
    <x:row r="370" ht="28" customHeight="1">
      <x:c r="A370" s="21" t="n">
        <x:v>366</x:v>
      </x:c>
      <x:c r="B370" s="21" t="n">
        <x:f>ROUNDUP(A370/20,0)</x:f>
        <x:v>19</x:v>
      </x:c>
      <x:c r="C370" s="21" t="n">
        <x:f>MOD(A370-1,20)+1</x:f>
        <x:v>6</x:v>
      </x:c>
      <x:c r="D370" s="18" t="str">
        <x:v>יַ֫חַד</x:v>
      </x:c>
      <x:c r="E370" s="19" t="str">
        <x:v>yaḥaḏ</x:v>
      </x:c>
      <x:c r="F370" s="16" t="str">
        <x:v>יחד</x:v>
      </x:c>
      <x:c r="G370" s="20" t="str">
        <x:v>together, along with</x:v>
      </x:c>
      <x:c r="H370" s="20" t="str"/>
      <x:c r="I370" s="21" t="str">
        <x:v>BBH2 課序</x:v>
      </x:c>
      <x:c r="J370" s="21" t="n">
        <x:v>20</x:v>
      </x:c>
      <x:c r="K370" s="22" t="n">
        <x:v>142</x:v>
      </x:c>
      <x:c r="L370" s="21" t="str">
        <x:v>H3162</x:v>
      </x:c>
      <x:c r="M370" s="21" t="str">
        <x:v>adverb</x:v>
      </x:c>
      <x:c r="N370" s="21" t="str">
        <x:v>否</x:v>
      </x:c>
      <x:c r="O370" s="21" t="str"/>
      <x:c r="P370" s="21" t="str">
        <x:v>source_and_lexicon_matched</x:v>
      </x:c>
      <x:c r="Q370" s="21" t="str">
        <x:v>rule_generated_exception_review</x:v>
      </x:c>
      <x:c r="R370" s="20" t="str">
        <x:v>https://hebrewsyntax.org/bbh2new/</x:v>
      </x:c>
    </x:row>
    <x:row r="371" ht="28" customHeight="1">
      <x:c r="A371" s="21" t="n">
        <x:v>367</x:v>
      </x:c>
      <x:c r="B371" s="21" t="n">
        <x:f>ROUNDUP(A371/20,0)</x:f>
        <x:v>19</x:v>
      </x:c>
      <x:c r="C371" s="21" t="n">
        <x:f>MOD(A371-1,20)+1</x:f>
        <x:v>7</x:v>
      </x:c>
      <x:c r="D371" s="18" t="str">
        <x:v>יַ֫יִן</x:v>
      </x:c>
      <x:c r="E371" s="19" t="str">
        <x:v>yayin</x:v>
      </x:c>
      <x:c r="F371" s="16" t="str">
        <x:v>יין</x:v>
      </x:c>
      <x:c r="G371" s="20" t="str">
        <x:v>wine</x:v>
      </x:c>
      <x:c r="H371" s="20" t="str"/>
      <x:c r="I371" s="21" t="str">
        <x:v>BBH2 課序</x:v>
      </x:c>
      <x:c r="J371" s="21" t="n">
        <x:v>20</x:v>
      </x:c>
      <x:c r="K371" s="22" t="n">
        <x:v>141</x:v>
      </x:c>
      <x:c r="L371" s="21" t="str">
        <x:v>H3196</x:v>
      </x:c>
      <x:c r="M371" s="21" t="str">
        <x:v>noun</x:v>
      </x:c>
      <x:c r="N371" s="21" t="str">
        <x:v>否</x:v>
      </x:c>
      <x:c r="O371" s="21" t="str"/>
      <x:c r="P371" s="21" t="str">
        <x:v>source_and_lexicon_matched</x:v>
      </x:c>
      <x:c r="Q371" s="21" t="str">
        <x:v>rule_generated_exception_review</x:v>
      </x:c>
      <x:c r="R371" s="20" t="str">
        <x:v>https://hebrewsyntax.org/bbh2new/</x:v>
      </x:c>
    </x:row>
    <x:row r="372" ht="28" customHeight="1">
      <x:c r="A372" s="21" t="n">
        <x:v>368</x:v>
      </x:c>
      <x:c r="B372" s="21" t="n">
        <x:f>ROUNDUP(A372/20,0)</x:f>
        <x:v>19</x:v>
      </x:c>
      <x:c r="C372" s="21" t="n">
        <x:f>MOD(A372-1,20)+1</x:f>
        <x:v>8</x:v>
      </x:c>
      <x:c r="D372" s="18" t="str">
        <x:v>עֲבֹדָה</x:v>
      </x:c>
      <x:c r="E372" s="19" t="str">
        <x:v>ʿăḇōḏâ</x:v>
      </x:c>
      <x:c r="F372" s="16" t="str">
        <x:v>עבדה</x:v>
      </x:c>
      <x:c r="G372" s="20" t="str">
        <x:v>work, labor, service, worship</x:v>
      </x:c>
      <x:c r="H372" s="20" t="str"/>
      <x:c r="I372" s="21" t="str">
        <x:v>BBH2 課序</x:v>
      </x:c>
      <x:c r="J372" s="21" t="n">
        <x:v>20</x:v>
      </x:c>
      <x:c r="K372" s="22" t="n">
        <x:v>145</x:v>
      </x:c>
      <x:c r="L372" s="21" t="str">
        <x:v>H5656</x:v>
      </x:c>
      <x:c r="M372" s="21" t="str">
        <x:v>noun</x:v>
      </x:c>
      <x:c r="N372" s="21" t="str">
        <x:v>否</x:v>
      </x:c>
      <x:c r="O372" s="21" t="str"/>
      <x:c r="P372" s="21" t="str">
        <x:v>source_and_lexicon_matched</x:v>
      </x:c>
      <x:c r="Q372" s="21" t="str">
        <x:v>rule_generated_exception_review</x:v>
      </x:c>
      <x:c r="R372" s="20" t="str">
        <x:v>https://hebrewsyntax.org/bbh2new/</x:v>
      </x:c>
    </x:row>
    <x:row r="373" ht="28" customHeight="1">
      <x:c r="A373" s="21" t="n">
        <x:v>369</x:v>
      </x:c>
      <x:c r="B373" s="21" t="n">
        <x:f>ROUNDUP(A373/20,0)</x:f>
        <x:v>19</x:v>
      </x:c>
      <x:c r="C373" s="21" t="n">
        <x:f>MOD(A373-1,20)+1</x:f>
        <x:v>9</x:v>
      </x:c>
      <x:c r="D373" s="18" t="str">
        <x:v>עֲבוֹדָה</x:v>
      </x:c>
      <x:c r="E373" s="19" t="str">
        <x:v>ʿăḇôḏâ</x:v>
      </x:c>
      <x:c r="F373" s="16" t="str">
        <x:v>עבודה</x:v>
      </x:c>
      <x:c r="G373" s="20" t="str">
        <x:v>work, labor, service, worship</x:v>
      </x:c>
      <x:c r="H373" s="20" t="str"/>
      <x:c r="I373" s="21" t="str">
        <x:v>BBH2 課序</x:v>
      </x:c>
      <x:c r="J373" s="21" t="n">
        <x:v>20</x:v>
      </x:c>
      <x:c r="K373" s="22" t="n">
        <x:v>145</x:v>
      </x:c>
      <x:c r="L373" s="21" t="str">
        <x:v>H5656</x:v>
      </x:c>
      <x:c r="M373" s="21" t="str">
        <x:v>noun</x:v>
      </x:c>
      <x:c r="N373" s="21" t="str">
        <x:v>否</x:v>
      </x:c>
      <x:c r="O373" s="21" t="str"/>
      <x:c r="P373" s="21" t="str">
        <x:v>source_and_lexicon_matched</x:v>
      </x:c>
      <x:c r="Q373" s="21" t="str">
        <x:v>rule_generated_exception_review</x:v>
      </x:c>
      <x:c r="R373" s="20" t="str">
        <x:v>https://hebrewsyntax.org/bbh2new/</x:v>
      </x:c>
    </x:row>
    <x:row r="374" ht="28" customHeight="1">
      <x:c r="A374" s="21" t="n">
        <x:v>370</x:v>
      </x:c>
      <x:c r="B374" s="21" t="n">
        <x:f>ROUNDUP(A374/20,0)</x:f>
        <x:v>19</x:v>
      </x:c>
      <x:c r="C374" s="21" t="n">
        <x:f>MOD(A374-1,20)+1</x:f>
        <x:v>10</x:v>
      </x:c>
      <x:c r="D374" s="18" t="str">
        <x:v>עֵדָה</x:v>
      </x:c>
      <x:c r="E374" s="19" t="str">
        <x:v>ʿēḏâ</x:v>
      </x:c>
      <x:c r="F374" s="16" t="str">
        <x:v>עדה</x:v>
      </x:c>
      <x:c r="G374" s="20" t="str">
        <x:v>congregation, assembly</x:v>
      </x:c>
      <x:c r="H374" s="20" t="str"/>
      <x:c r="I374" s="21" t="str">
        <x:v>BBH2 課序</x:v>
      </x:c>
      <x:c r="J374" s="21" t="n">
        <x:v>20</x:v>
      </x:c>
      <x:c r="K374" s="22" t="n">
        <x:v>149</x:v>
      </x:c>
      <x:c r="L374" s="21" t="str">
        <x:v>H5712</x:v>
      </x:c>
      <x:c r="M374" s="21" t="str">
        <x:v>noun</x:v>
      </x:c>
      <x:c r="N374" s="21" t="str">
        <x:v>否</x:v>
      </x:c>
      <x:c r="O374" s="21" t="str"/>
      <x:c r="P374" s="21" t="str">
        <x:v>source_and_lexicon_matched</x:v>
      </x:c>
      <x:c r="Q374" s="21" t="str">
        <x:v>rule_generated_exception_review</x:v>
      </x:c>
      <x:c r="R374" s="20" t="str">
        <x:v>https://hebrewsyntax.org/bbh2new/</x:v>
      </x:c>
    </x:row>
    <x:row r="375" ht="28" customHeight="1">
      <x:c r="A375" s="21" t="n">
        <x:v>371</x:v>
      </x:c>
      <x:c r="B375" s="21" t="n">
        <x:f>ROUNDUP(A375/20,0)</x:f>
        <x:v>19</x:v>
      </x:c>
      <x:c r="C375" s="21" t="n">
        <x:f>MOD(A375-1,20)+1</x:f>
        <x:v>11</x:v>
      </x:c>
      <x:c r="D375" s="18" t="str">
        <x:v>בִּלְתִּי</x:v>
      </x:c>
      <x:c r="E375" s="19" t="str">
        <x:v>biltî</x:v>
      </x:c>
      <x:c r="F375" s="16" t="str">
        <x:v>בלתי</x:v>
      </x:c>
      <x:c r="G375" s="20" t="str">
        <x:v>not, except</x:v>
      </x:c>
      <x:c r="H375" s="20" t="str"/>
      <x:c r="I375" s="21" t="str">
        <x:v>BBH2 課序</x:v>
      </x:c>
      <x:c r="J375" s="21" t="n">
        <x:v>20</x:v>
      </x:c>
      <x:c r="K375" s="22" t="n">
        <x:v>112</x:v>
      </x:c>
      <x:c r="L375" s="21" t="str">
        <x:v>H1115</x:v>
      </x:c>
      <x:c r="M375" s="21" t="str">
        <x:v>conjunction</x:v>
      </x:c>
      <x:c r="N375" s="21" t="str">
        <x:v>否</x:v>
      </x:c>
      <x:c r="O375" s="21" t="str"/>
      <x:c r="P375" s="21" t="str">
        <x:v>source_and_lexicon_matched</x:v>
      </x:c>
      <x:c r="Q375" s="21" t="str">
        <x:v>rule_generated_exception_review</x:v>
      </x:c>
      <x:c r="R375" s="20" t="str">
        <x:v>https://hebrewsyntax.org/bbh2new/</x:v>
      </x:c>
    </x:row>
    <x:row r="376" ht="28" customHeight="1">
      <x:c r="A376" s="21" t="n">
        <x:v>372</x:v>
      </x:c>
      <x:c r="B376" s="21" t="n">
        <x:f>ROUNDUP(A376/20,0)</x:f>
        <x:v>19</x:v>
      </x:c>
      <x:c r="C376" s="21" t="n">
        <x:f>MOD(A376-1,20)+1</x:f>
        <x:v>12</x:v>
      </x:c>
      <x:c r="D376" s="18" t="str">
        <x:v>לְבִּלְתִּי</x:v>
      </x:c>
      <x:c r="E376" s="19" t="str">
        <x:v>ləbiltî</x:v>
      </x:c>
      <x:c r="F376" s="16" t="str">
        <x:v>לבלתי</x:v>
      </x:c>
      <x:c r="G376" s="20" t="str">
        <x:v>not, except</x:v>
      </x:c>
      <x:c r="H376" s="20" t="str"/>
      <x:c r="I376" s="21" t="str">
        <x:v>BBH2 課序</x:v>
      </x:c>
      <x:c r="J376" s="21" t="n">
        <x:v>20</x:v>
      </x:c>
      <x:c r="K376" s="22" t="n">
        <x:v>112</x:v>
      </x:c>
      <x:c r="L376" s="21" t="str">
        <x:v>H1115</x:v>
      </x:c>
      <x:c r="M376" s="21" t="str">
        <x:v>conjunction</x:v>
      </x:c>
      <x:c r="N376" s="21" t="str">
        <x:v>否</x:v>
      </x:c>
      <x:c r="O376" s="21" t="str"/>
      <x:c r="P376" s="21" t="str">
        <x:v>source_and_lexicon_matched</x:v>
      </x:c>
      <x:c r="Q376" s="21" t="str">
        <x:v>rule_generated_exception_review</x:v>
      </x:c>
      <x:c r="R376" s="20" t="str">
        <x:v>https://hebrewsyntax.org/bbh2new/</x:v>
      </x:c>
    </x:row>
    <x:row r="377" ht="28" customHeight="1">
      <x:c r="A377" s="21" t="n">
        <x:v>373</x:v>
      </x:c>
      <x:c r="B377" s="21" t="n">
        <x:f>ROUNDUP(A377/20,0)</x:f>
        <x:v>19</x:v>
      </x:c>
      <x:c r="C377" s="21" t="n">
        <x:f>MOD(A377-1,20)+1</x:f>
        <x:v>13</x:v>
      </x:c>
      <x:c r="D377" s="18" t="str">
        <x:v>זָבַח</x:v>
      </x:c>
      <x:c r="E377" s="19" t="str">
        <x:v>zāḇaḥ</x:v>
      </x:c>
      <x:c r="F377" s="16" t="str">
        <x:v>זבח</x:v>
      </x:c>
      <x:c r="G377" s="20" t="str">
        <x:v>to slaughter, sacrifice</x:v>
      </x:c>
      <x:c r="H377" s="20" t="str"/>
      <x:c r="I377" s="21" t="str">
        <x:v>BBH2 課序</x:v>
      </x:c>
      <x:c r="J377" s="21" t="n">
        <x:v>21</x:v>
      </x:c>
      <x:c r="K377" s="22" t="n">
        <x:v>134</x:v>
      </x:c>
      <x:c r="L377" s="21" t="str">
        <x:v>H2076</x:v>
      </x:c>
      <x:c r="M377" s="21" t="str">
        <x:v>verb</x:v>
      </x:c>
      <x:c r="N377" s="21" t="str">
        <x:v>否</x:v>
      </x:c>
      <x:c r="O377" s="21" t="str"/>
      <x:c r="P377" s="21" t="str">
        <x:v>source_and_lexicon_matched</x:v>
      </x:c>
      <x:c r="Q377" s="21" t="str">
        <x:v>rule_generated_exception_review</x:v>
      </x:c>
      <x:c r="R377" s="20" t="str">
        <x:v>https://hebrewsyntax.org/bbh2new/</x:v>
      </x:c>
    </x:row>
    <x:row r="378" ht="28" customHeight="1">
      <x:c r="A378" s="21" t="n">
        <x:v>374</x:v>
      </x:c>
      <x:c r="B378" s="21" t="n">
        <x:f>ROUNDUP(A378/20,0)</x:f>
        <x:v>19</x:v>
      </x:c>
      <x:c r="C378" s="21" t="n">
        <x:f>MOD(A378-1,20)+1</x:f>
        <x:v>14</x:v>
      </x:c>
      <x:c r="D378" s="18" t="str">
        <x:v>חָנָה</x:v>
      </x:c>
      <x:c r="E378" s="19" t="str">
        <x:v>ḥānâ</x:v>
      </x:c>
      <x:c r="F378" s="16" t="str">
        <x:v>חנה</x:v>
      </x:c>
      <x:c r="G378" s="20" t="str">
        <x:v>to decline, camp, encamp, lay siege to</x:v>
      </x:c>
      <x:c r="H378" s="20" t="str"/>
      <x:c r="I378" s="21" t="str">
        <x:v>BBH2 課序</x:v>
      </x:c>
      <x:c r="J378" s="21" t="n">
        <x:v>21</x:v>
      </x:c>
      <x:c r="K378" s="22" t="n">
        <x:v>143</x:v>
      </x:c>
      <x:c r="L378" s="21" t="str">
        <x:v>H2583</x:v>
      </x:c>
      <x:c r="M378" s="21" t="str">
        <x:v>verb</x:v>
      </x:c>
      <x:c r="N378" s="21" t="str">
        <x:v>否</x:v>
      </x:c>
      <x:c r="O378" s="21" t="str"/>
      <x:c r="P378" s="21" t="str">
        <x:v>source_and_lexicon_matched</x:v>
      </x:c>
      <x:c r="Q378" s="21" t="str">
        <x:v>rule_generated_exception_review</x:v>
      </x:c>
      <x:c r="R378" s="20" t="str">
        <x:v>https://hebrewsyntax.org/bbh2new/</x:v>
      </x:c>
    </x:row>
    <x:row r="379" ht="28" customHeight="1">
      <x:c r="A379" s="21" t="n">
        <x:v>375</x:v>
      </x:c>
      <x:c r="B379" s="21" t="n">
        <x:f>ROUNDUP(A379/20,0)</x:f>
        <x:v>19</x:v>
      </x:c>
      <x:c r="C379" s="21" t="n">
        <x:f>MOD(A379-1,20)+1</x:f>
        <x:v>15</x:v>
      </x:c>
      <x:c r="D379" s="18" t="str">
        <x:v>נוּחַ</x:v>
      </x:c>
      <x:c r="E379" s="19" t="str">
        <x:v>nûaḥ</x:v>
      </x:c>
      <x:c r="F379" s="16" t="str">
        <x:v>נוח</x:v>
      </x:c>
      <x:c r="G379" s="20" t="str">
        <x:v>to rest, settle down</x:v>
      </x:c>
      <x:c r="H379" s="20" t="str"/>
      <x:c r="I379" s="21" t="str">
        <x:v>BBH2 課序</x:v>
      </x:c>
      <x:c r="J379" s="21" t="n">
        <x:v>21</x:v>
      </x:c>
      <x:c r="K379" s="22" t="n">
        <x:v>67</x:v>
      </x:c>
      <x:c r="L379" s="21" t="str">
        <x:v>H5117</x:v>
      </x:c>
      <x:c r="M379" s="21" t="str">
        <x:v>verb</x:v>
      </x:c>
      <x:c r="N379" s="21" t="str">
        <x:v>否</x:v>
      </x:c>
      <x:c r="O379" s="21" t="str"/>
      <x:c r="P379" s="21" t="str">
        <x:v>source_and_lexicon_matched</x:v>
      </x:c>
      <x:c r="Q379" s="21" t="str">
        <x:v>rule_generated_exception_review</x:v>
      </x:c>
      <x:c r="R379" s="20" t="str">
        <x:v>https://hebrewsyntax.org/bbh2new/</x:v>
      </x:c>
    </x:row>
    <x:row r="380" ht="28" customHeight="1">
      <x:c r="A380" s="21" t="n">
        <x:v>376</x:v>
      </x:c>
      <x:c r="B380" s="21" t="n">
        <x:f>ROUNDUP(A380/20,0)</x:f>
        <x:v>19</x:v>
      </x:c>
      <x:c r="C380" s="21" t="n">
        <x:f>MOD(A380-1,20)+1</x:f>
        <x:v>16</x:v>
      </x:c>
      <x:c r="D380" s="18" t="str">
        <x:v>נָסַע</x:v>
      </x:c>
      <x:c r="E380" s="19" t="str">
        <x:v>nāsaʿ</x:v>
      </x:c>
      <x:c r="F380" s="16" t="str">
        <x:v>נסע</x:v>
      </x:c>
      <x:c r="G380" s="20" t="str">
        <x:v>to pull (out or up), set out, start out, depart, journey, march</x:v>
      </x:c>
      <x:c r="H380" s="20" t="str"/>
      <x:c r="I380" s="21" t="str">
        <x:v>BBH2 課序</x:v>
      </x:c>
      <x:c r="J380" s="21" t="n">
        <x:v>21</x:v>
      </x:c>
      <x:c r="K380" s="22" t="n">
        <x:v>146</x:v>
      </x:c>
      <x:c r="L380" s="21" t="str">
        <x:v>H5265</x:v>
      </x:c>
      <x:c r="M380" s="21" t="str">
        <x:v>verb</x:v>
      </x:c>
      <x:c r="N380" s="21" t="str">
        <x:v>否</x:v>
      </x:c>
      <x:c r="O380" s="21" t="str"/>
      <x:c r="P380" s="21" t="str">
        <x:v>source_and_lexicon_matched</x:v>
      </x:c>
      <x:c r="Q380" s="21" t="str">
        <x:v>rule_generated_exception_review</x:v>
      </x:c>
      <x:c r="R380" s="20" t="str">
        <x:v>https://hebrewsyntax.org/bbh2new/</x:v>
      </x:c>
    </x:row>
    <x:row r="381" ht="28" customHeight="1">
      <x:c r="A381" s="21" t="n">
        <x:v>377</x:v>
      </x:c>
      <x:c r="B381" s="21" t="n">
        <x:f>ROUNDUP(A381/20,0)</x:f>
        <x:v>19</x:v>
      </x:c>
      <x:c r="C381" s="21" t="n">
        <x:f>MOD(A381-1,20)+1</x:f>
        <x:v>17</x:v>
      </x:c>
      <x:c r="D381" s="18" t="str">
        <x:v>פָּנָה</x:v>
      </x:c>
      <x:c r="E381" s="19" t="str">
        <x:v>pānâ</x:v>
      </x:c>
      <x:c r="F381" s="16" t="str">
        <x:v>פנה</x:v>
      </x:c>
      <x:c r="G381" s="20" t="str">
        <x:v>to turn</x:v>
      </x:c>
      <x:c r="H381" s="20" t="str"/>
      <x:c r="I381" s="21" t="str">
        <x:v>BBH2 課序</x:v>
      </x:c>
      <x:c r="J381" s="21" t="n">
        <x:v>21</x:v>
      </x:c>
      <x:c r="K381" s="22" t="n">
        <x:v>135</x:v>
      </x:c>
      <x:c r="L381" s="21" t="str">
        <x:v>H6437</x:v>
      </x:c>
      <x:c r="M381" s="21" t="str">
        <x:v>verb</x:v>
      </x:c>
      <x:c r="N381" s="21" t="str">
        <x:v>否</x:v>
      </x:c>
      <x:c r="O381" s="21" t="str"/>
      <x:c r="P381" s="21" t="str">
        <x:v>source_and_lexicon_matched</x:v>
      </x:c>
      <x:c r="Q381" s="21" t="str">
        <x:v>rule_generated_exception_review</x:v>
      </x:c>
      <x:c r="R381" s="20" t="str">
        <x:v>https://hebrewsyntax.org/bbh2new/</x:v>
      </x:c>
    </x:row>
    <x:row r="382" ht="28" customHeight="1">
      <x:c r="A382" s="21" t="n">
        <x:v>378</x:v>
      </x:c>
      <x:c r="B382" s="21" t="n">
        <x:f>ROUNDUP(A382/20,0)</x:f>
        <x:v>19</x:v>
      </x:c>
      <x:c r="C382" s="21" t="n">
        <x:f>MOD(A382-1,20)+1</x:f>
        <x:v>18</x:v>
      </x:c>
      <x:c r="D382" s="18" t="str">
        <x:v>פָּתַח</x:v>
      </x:c>
      <x:c r="E382" s="19" t="str">
        <x:v>pāṯaḥ</x:v>
      </x:c>
      <x:c r="F382" s="16" t="str">
        <x:v>פתח</x:v>
      </x:c>
      <x:c r="G382" s="20" t="str">
        <x:v>to open</x:v>
      </x:c>
      <x:c r="H382" s="20" t="str"/>
      <x:c r="I382" s="21" t="str">
        <x:v>BBH2 課序</x:v>
      </x:c>
      <x:c r="J382" s="21" t="n">
        <x:v>21</x:v>
      </x:c>
      <x:c r="K382" s="22" t="n">
        <x:v>145</x:v>
      </x:c>
      <x:c r="L382" s="21" t="str">
        <x:v>H6605</x:v>
      </x:c>
      <x:c r="M382" s="21" t="str">
        <x:v>verb</x:v>
      </x:c>
      <x:c r="N382" s="21" t="str">
        <x:v>否</x:v>
      </x:c>
      <x:c r="O382" s="21" t="str"/>
      <x:c r="P382" s="21" t="str">
        <x:v>source_and_lexicon_matched</x:v>
      </x:c>
      <x:c r="Q382" s="21" t="str">
        <x:v>rule_generated_exception_review</x:v>
      </x:c>
      <x:c r="R382" s="20" t="str">
        <x:v>https://hebrewsyntax.org/bbh2new/</x:v>
      </x:c>
    </x:row>
    <x:row r="383" ht="28" customHeight="1">
      <x:c r="A383" s="21" t="n">
        <x:v>379</x:v>
      </x:c>
      <x:c r="B383" s="21" t="n">
        <x:f>ROUNDUP(A383/20,0)</x:f>
        <x:v>19</x:v>
      </x:c>
      <x:c r="C383" s="21" t="n">
        <x:f>MOD(A383-1,20)+1</x:f>
        <x:v>19</x:v>
      </x:c>
      <x:c r="D383" s="18" t="str">
        <x:v>רָדַף</x:v>
      </x:c>
      <x:c r="E383" s="19" t="str">
        <x:v>rāḏap̄</x:v>
      </x:c>
      <x:c r="F383" s="16" t="str">
        <x:v>רדף</x:v>
      </x:c>
      <x:c r="G383" s="20" t="str">
        <x:v>to pursue, follow after, chase, persecute</x:v>
      </x:c>
      <x:c r="H383" s="20" t="str"/>
      <x:c r="I383" s="21" t="str">
        <x:v>BBH2 課序</x:v>
      </x:c>
      <x:c r="J383" s="21" t="n">
        <x:v>21</x:v>
      </x:c>
      <x:c r="K383" s="22" t="n">
        <x:v>144</x:v>
      </x:c>
      <x:c r="L383" s="21" t="str">
        <x:v>H7291</x:v>
      </x:c>
      <x:c r="M383" s="21" t="str">
        <x:v>verb</x:v>
      </x:c>
      <x:c r="N383" s="21" t="str">
        <x:v>否</x:v>
      </x:c>
      <x:c r="O383" s="21" t="str"/>
      <x:c r="P383" s="21" t="str">
        <x:v>source_and_lexicon_matched</x:v>
      </x:c>
      <x:c r="Q383" s="21" t="str">
        <x:v>rule_generated_exception_review</x:v>
      </x:c>
      <x:c r="R383" s="20" t="str">
        <x:v>https://hebrewsyntax.org/bbh2new/</x:v>
      </x:c>
    </x:row>
    <x:row r="384" ht="28" customHeight="1">
      <x:c r="A384" s="21" t="n">
        <x:v>380</x:v>
      </x:c>
      <x:c r="B384" s="21" t="n">
        <x:f>ROUNDUP(A384/20,0)</x:f>
        <x:v>19</x:v>
      </x:c>
      <x:c r="C384" s="21" t="n">
        <x:f>MOD(A384-1,20)+1</x:f>
        <x:v>20</x:v>
      </x:c>
      <x:c r="D384" s="18" t="str">
        <x:v>שָׂנֵא</x:v>
      </x:c>
      <x:c r="E384" s="19" t="str">
        <x:v>śānēʾ</x:v>
      </x:c>
      <x:c r="F384" s="16" t="str">
        <x:v>שנא</x:v>
      </x:c>
      <x:c r="G384" s="20" t="str">
        <x:v>to hate</x:v>
      </x:c>
      <x:c r="H384" s="20" t="str"/>
      <x:c r="I384" s="21" t="str">
        <x:v>BBH2 課序</x:v>
      </x:c>
      <x:c r="J384" s="21" t="n">
        <x:v>21</x:v>
      </x:c>
      <x:c r="K384" s="22" t="n">
        <x:v>148</x:v>
      </x:c>
      <x:c r="L384" s="21" t="str">
        <x:v>H8130</x:v>
      </x:c>
      <x:c r="M384" s="21" t="str">
        <x:v>verb</x:v>
      </x:c>
      <x:c r="N384" s="21" t="str">
        <x:v>否</x:v>
      </x:c>
      <x:c r="O384" s="21" t="str"/>
      <x:c r="P384" s="21" t="str">
        <x:v>source_and_lexicon_matched</x:v>
      </x:c>
      <x:c r="Q384" s="21" t="str">
        <x:v>rule_generated_exception_review</x:v>
      </x:c>
      <x:c r="R384" s="20" t="str">
        <x:v>https://hebrewsyntax.org/bbh2new/</x:v>
      </x:c>
    </x:row>
    <x:row r="385" ht="28" customHeight="1">
      <x:c r="A385" s="21" t="n">
        <x:v>381</x:v>
      </x:c>
      <x:c r="B385" s="21" t="n">
        <x:f>ROUNDUP(A385/20,0)</x:f>
        <x:v>20</x:v>
      </x:c>
      <x:c r="C385" s="21" t="n">
        <x:f>MOD(A385-1,20)+1</x:f>
        <x:v>1</x:v>
      </x:c>
      <x:c r="D385" s="18" t="str">
        <x:v>שָׁאַר</x:v>
      </x:c>
      <x:c r="E385" s="19" t="str">
        <x:v>šāʾar</x:v>
      </x:c>
      <x:c r="F385" s="16" t="str">
        <x:v>שאר</x:v>
      </x:c>
      <x:c r="G385" s="20" t="str">
        <x:v>to remain, be left over, survive</x:v>
      </x:c>
      <x:c r="H385" s="20" t="str"/>
      <x:c r="I385" s="21" t="str">
        <x:v>BBH2 課序</x:v>
      </x:c>
      <x:c r="J385" s="21" t="n">
        <x:v>21</x:v>
      </x:c>
      <x:c r="K385" s="22" t="n">
        <x:v>133</x:v>
      </x:c>
      <x:c r="L385" s="21" t="str">
        <x:v>H7604</x:v>
      </x:c>
      <x:c r="M385" s="21" t="str">
        <x:v>verb</x:v>
      </x:c>
      <x:c r="N385" s="21" t="str">
        <x:v>否</x:v>
      </x:c>
      <x:c r="O385" s="21" t="str"/>
      <x:c r="P385" s="21" t="str">
        <x:v>source_and_lexicon_matched</x:v>
      </x:c>
      <x:c r="Q385" s="21" t="str">
        <x:v>rule_generated_exception_review</x:v>
      </x:c>
      <x:c r="R385" s="20" t="str">
        <x:v>https://hebrewsyntax.org/bbh2new/</x:v>
      </x:c>
    </x:row>
    <x:row r="386" ht="28" customHeight="1">
      <x:c r="A386" s="21" t="n">
        <x:v>382</x:v>
      </x:c>
      <x:c r="B386" s="21" t="n">
        <x:f>ROUNDUP(A386/20,0)</x:f>
        <x:v>20</x:v>
      </x:c>
      <x:c r="C386" s="21" t="n">
        <x:f>MOD(A386-1,20)+1</x:f>
        <x:v>2</x:v>
      </x:c>
      <x:c r="D386" s="18" t="str">
        <x:v>בָּמָה</x:v>
      </x:c>
      <x:c r="E386" s="19" t="str">
        <x:v>bāmâ</x:v>
      </x:c>
      <x:c r="F386" s="16" t="str">
        <x:v>במה</x:v>
      </x:c>
      <x:c r="G386" s="20" t="str">
        <x:v>(cultic) high place, hill</x:v>
      </x:c>
      <x:c r="H386" s="20" t="str"/>
      <x:c r="I386" s="21" t="str">
        <x:v>BBH2 課序</x:v>
      </x:c>
      <x:c r="J386" s="21" t="n">
        <x:v>21</x:v>
      </x:c>
      <x:c r="K386" s="22" t="n">
        <x:v>104</x:v>
      </x:c>
      <x:c r="L386" s="21" t="str">
        <x:v>H1116</x:v>
      </x:c>
      <x:c r="M386" s="21" t="str">
        <x:v>noun</x:v>
      </x:c>
      <x:c r="N386" s="21" t="str">
        <x:v>否</x:v>
      </x:c>
      <x:c r="O386" s="21" t="str"/>
      <x:c r="P386" s="21" t="str">
        <x:v>source_and_lexicon_matched</x:v>
      </x:c>
      <x:c r="Q386" s="21" t="str">
        <x:v>rule_generated_exception_review</x:v>
      </x:c>
      <x:c r="R386" s="20" t="str">
        <x:v>https://hebrewsyntax.org/bbh2new/</x:v>
      </x:c>
    </x:row>
    <x:row r="387" ht="28" customHeight="1">
      <x:c r="A387" s="21" t="n">
        <x:v>383</x:v>
      </x:c>
      <x:c r="B387" s="21" t="n">
        <x:f>ROUNDUP(A387/20,0)</x:f>
        <x:v>20</x:v>
      </x:c>
      <x:c r="C387" s="21" t="n">
        <x:f>MOD(A387-1,20)+1</x:f>
        <x:v>3</x:v>
      </x:c>
      <x:c r="D387" s="18" t="str">
        <x:v>חֻקָּה</x:v>
      </x:c>
      <x:c r="E387" s="19" t="str">
        <x:v>ḥuqqâ</x:v>
      </x:c>
      <x:c r="F387" s="16" t="str">
        <x:v>חקה</x:v>
      </x:c>
      <x:c r="G387" s="20" t="str">
        <x:v>statute, ordinance</x:v>
      </x:c>
      <x:c r="H387" s="20" t="str"/>
      <x:c r="I387" s="21" t="str">
        <x:v>BBH2 課序</x:v>
      </x:c>
      <x:c r="J387" s="21" t="n">
        <x:v>21</x:v>
      </x:c>
      <x:c r="K387" s="22" t="n">
        <x:v>105</x:v>
      </x:c>
      <x:c r="L387" s="21" t="str">
        <x:v>H2708</x:v>
      </x:c>
      <x:c r="M387" s="21" t="str">
        <x:v>noun</x:v>
      </x:c>
      <x:c r="N387" s="21" t="str">
        <x:v>否</x:v>
      </x:c>
      <x:c r="O387" s="21" t="str"/>
      <x:c r="P387" s="21" t="str">
        <x:v>source_and_lexicon_matched</x:v>
      </x:c>
      <x:c r="Q387" s="21" t="str">
        <x:v>rule_generated_exception_review</x:v>
      </x:c>
      <x:c r="R387" s="20" t="str">
        <x:v>https://hebrewsyntax.org/bbh2new/</x:v>
      </x:c>
    </x:row>
    <x:row r="388" ht="28" customHeight="1">
      <x:c r="A388" s="21" t="n">
        <x:v>384</x:v>
      </x:c>
      <x:c r="B388" s="21" t="n">
        <x:f>ROUNDUP(A388/20,0)</x:f>
        <x:v>20</x:v>
      </x:c>
      <x:c r="C388" s="21" t="n">
        <x:f>MOD(A388-1,20)+1</x:f>
        <x:v>4</x:v>
      </x:c>
      <x:c r="D388" s="18" t="str">
        <x:v>חֻקּוֹת</x:v>
      </x:c>
      <x:c r="E388" s="19" t="str">
        <x:v>ḥuqqôṯ</x:v>
      </x:c>
      <x:c r="F388" s="16" t="str">
        <x:v>חקות</x:v>
      </x:c>
      <x:c r="G388" s="20" t="str">
        <x:v>statutes, ordinances; [Plural of חֻקָּה plene spelling]</x:v>
      </x:c>
      <x:c r="H388" s="20" t="str"/>
      <x:c r="I388" s="21" t="str">
        <x:v>BBH2 課序</x:v>
      </x:c>
      <x:c r="J388" s="21" t="n">
        <x:v>21</x:v>
      </x:c>
      <x:c r="K388" s="22" t="n">
        <x:v>105</x:v>
      </x:c>
      <x:c r="L388" s="21" t="str">
        <x:v>H2708</x:v>
      </x:c>
      <x:c r="M388" s="21" t="str">
        <x:v>noun</x:v>
      </x:c>
      <x:c r="N388" s="21" t="str">
        <x:v>否</x:v>
      </x:c>
      <x:c r="O388" s="21" t="str"/>
      <x:c r="P388" s="21" t="str">
        <x:v>source_and_lexicon_matched</x:v>
      </x:c>
      <x:c r="Q388" s="21" t="str">
        <x:v>rule_generated_exception_review</x:v>
      </x:c>
      <x:c r="R388" s="20" t="str">
        <x:v>https://hebrewsyntax.org/bbh2new/</x:v>
      </x:c>
    </x:row>
    <x:row r="389" ht="28" customHeight="1">
      <x:c r="A389" s="21" t="n">
        <x:v>385</x:v>
      </x:c>
      <x:c r="B389" s="21" t="n">
        <x:f>ROUNDUP(A389/20,0)</x:f>
        <x:v>20</x:v>
      </x:c>
      <x:c r="C389" s="21" t="n">
        <x:f>MOD(A389-1,20)+1</x:f>
        <x:v>5</x:v>
      </x:c>
      <x:c r="D389" s="18" t="str">
        <x:v>חֻקֹּת</x:v>
      </x:c>
      <x:c r="E389" s="19" t="str">
        <x:v>ḥuqqōṯ</x:v>
      </x:c>
      <x:c r="F389" s="16" t="str">
        <x:v>חקת</x:v>
      </x:c>
      <x:c r="G389" s="20" t="str">
        <x:v>statutes, ordinances [Plural of חֻקָּה defective spelling]</x:v>
      </x:c>
      <x:c r="H389" s="20" t="str"/>
      <x:c r="I389" s="21" t="str">
        <x:v>BBH2 課序</x:v>
      </x:c>
      <x:c r="J389" s="21" t="n">
        <x:v>21</x:v>
      </x:c>
      <x:c r="K389" s="22" t="n">
        <x:v>105</x:v>
      </x:c>
      <x:c r="L389" s="21" t="str">
        <x:v>H2708</x:v>
      </x:c>
      <x:c r="M389" s="21" t="str">
        <x:v>noun</x:v>
      </x:c>
      <x:c r="N389" s="21" t="str">
        <x:v>否</x:v>
      </x:c>
      <x:c r="O389" s="21" t="str"/>
      <x:c r="P389" s="21" t="str">
        <x:v>source_and_lexicon_matched</x:v>
      </x:c>
      <x:c r="Q389" s="21" t="str">
        <x:v>rule_generated_exception_review</x:v>
      </x:c>
      <x:c r="R389" s="20" t="str">
        <x:v>https://hebrewsyntax.org/bbh2new/</x:v>
      </x:c>
    </x:row>
    <x:row r="390" ht="28" customHeight="1">
      <x:c r="A390" s="21" t="n">
        <x:v>386</x:v>
      </x:c>
      <x:c r="B390" s="21" t="n">
        <x:f>ROUNDUP(A390/20,0)</x:f>
        <x:v>20</x:v>
      </x:c>
      <x:c r="C390" s="21" t="n">
        <x:f>MOD(A390-1,20)+1</x:f>
        <x:v>6</x:v>
      </x:c>
      <x:c r="D390" s="18" t="str">
        <x:v>יָמִין</x:v>
      </x:c>
      <x:c r="E390" s="19" t="str">
        <x:v>yāmîn</x:v>
      </x:c>
      <x:c r="F390" s="16" t="str">
        <x:v>ימין</x:v>
      </x:c>
      <x:c r="G390" s="20" t="str">
        <x:v>right hand, south [F]</x:v>
      </x:c>
      <x:c r="H390" s="20" t="str"/>
      <x:c r="I390" s="21" t="str">
        <x:v>BBH2 課序</x:v>
      </x:c>
      <x:c r="J390" s="21" t="n">
        <x:v>21</x:v>
      </x:c>
      <x:c r="K390" s="22" t="n">
        <x:v>141</x:v>
      </x:c>
      <x:c r="L390" s="21" t="str">
        <x:v>H3225</x:v>
      </x:c>
      <x:c r="M390" s="21" t="str">
        <x:v>noun</x:v>
      </x:c>
      <x:c r="N390" s="21" t="str">
        <x:v>否</x:v>
      </x:c>
      <x:c r="O390" s="21" t="str"/>
      <x:c r="P390" s="21" t="str">
        <x:v>source_and_lexicon_matched</x:v>
      </x:c>
      <x:c r="Q390" s="21" t="str">
        <x:v>rule_generated_exception_review</x:v>
      </x:c>
      <x:c r="R390" s="20" t="str">
        <x:v>https://hebrewsyntax.org/bbh2new/</x:v>
      </x:c>
    </x:row>
    <x:row r="391" ht="28" customHeight="1">
      <x:c r="A391" s="21" t="n">
        <x:v>387</x:v>
      </x:c>
      <x:c r="B391" s="21" t="n">
        <x:f>ROUNDUP(A391/20,0)</x:f>
        <x:v>20</x:v>
      </x:c>
      <x:c r="C391" s="21" t="n">
        <x:f>MOD(A391-1,20)+1</x:f>
        <x:v>7</x:v>
      </x:c>
      <x:c r="D391" s="18" t="str">
        <x:v>מִשְׁכָּן</x:v>
      </x:c>
      <x:c r="E391" s="19" t="str">
        <x:v>miškān</x:v>
      </x:c>
      <x:c r="F391" s="16" t="str">
        <x:v>משכן</x:v>
      </x:c>
      <x:c r="G391" s="20" t="str">
        <x:v>dwelling place, tabernacle</x:v>
      </x:c>
      <x:c r="H391" s="20" t="str"/>
      <x:c r="I391" s="21" t="str">
        <x:v>BBH2 課序</x:v>
      </x:c>
      <x:c r="J391" s="21" t="n">
        <x:v>21</x:v>
      </x:c>
      <x:c r="K391" s="22" t="n">
        <x:v>139</x:v>
      </x:c>
      <x:c r="L391" s="21" t="str">
        <x:v>H4908</x:v>
      </x:c>
      <x:c r="M391" s="21" t="str">
        <x:v>noun</x:v>
      </x:c>
      <x:c r="N391" s="21" t="str">
        <x:v>否</x:v>
      </x:c>
      <x:c r="O391" s="21" t="str"/>
      <x:c r="P391" s="21" t="str">
        <x:v>source_and_lexicon_matched</x:v>
      </x:c>
      <x:c r="Q391" s="21" t="str">
        <x:v>rule_generated_exception_review</x:v>
      </x:c>
      <x:c r="R391" s="20" t="str">
        <x:v>https://hebrewsyntax.org/bbh2new/</x:v>
      </x:c>
    </x:row>
    <x:row r="392" ht="28" customHeight="1">
      <x:c r="A392" s="21" t="n">
        <x:v>388</x:v>
      </x:c>
      <x:c r="B392" s="21" t="n">
        <x:f>ROUNDUP(A392/20,0)</x:f>
        <x:v>20</x:v>
      </x:c>
      <x:c r="C392" s="21" t="n">
        <x:f>MOD(A392-1,20)+1</x:f>
        <x:v>8</x:v>
      </x:c>
      <x:c r="D392" s="18" t="str">
        <x:v>נַ֫חַל</x:v>
      </x:c>
      <x:c r="E392" s="19" t="str">
        <x:v>naḥal</x:v>
      </x:c>
      <x:c r="F392" s="16" t="str">
        <x:v>נחל</x:v>
      </x:c>
      <x:c r="G392" s="20" t="str">
        <x:v>stream, brook, wadi</x:v>
      </x:c>
      <x:c r="H392" s="20" t="str"/>
      <x:c r="I392" s="21" t="str">
        <x:v>BBH2 課序</x:v>
      </x:c>
      <x:c r="J392" s="21" t="n">
        <x:v>21</x:v>
      </x:c>
      <x:c r="K392" s="22" t="n">
        <x:v>141</x:v>
      </x:c>
      <x:c r="L392" s="21" t="str">
        <x:v>H5158</x:v>
      </x:c>
      <x:c r="M392" s="21" t="str">
        <x:v>noun</x:v>
      </x:c>
      <x:c r="N392" s="21" t="str">
        <x:v>否</x:v>
      </x:c>
      <x:c r="O392" s="21" t="str"/>
      <x:c r="P392" s="21" t="str">
        <x:v>source_and_lexicon_matched</x:v>
      </x:c>
      <x:c r="Q392" s="21" t="str">
        <x:v>rule_generated_exception_review</x:v>
      </x:c>
      <x:c r="R392" s="20" t="str">
        <x:v>https://hebrewsyntax.org/bbh2new/</x:v>
      </x:c>
    </x:row>
    <x:row r="393" ht="28" customHeight="1">
      <x:c r="A393" s="21" t="n">
        <x:v>389</x:v>
      </x:c>
      <x:c r="B393" s="21" t="n">
        <x:f>ROUNDUP(A393/20,0)</x:f>
        <x:v>20</x:v>
      </x:c>
      <x:c r="C393" s="21" t="n">
        <x:f>MOD(A393-1,20)+1</x:f>
        <x:v>9</x:v>
      </x:c>
      <x:c r="D393" s="18" t="str">
        <x:v>רָעָב</x:v>
      </x:c>
      <x:c r="E393" s="19" t="str">
        <x:v>rāʿāḇ</x:v>
      </x:c>
      <x:c r="F393" s="16" t="str">
        <x:v>רעב</x:v>
      </x:c>
      <x:c r="G393" s="20" t="str">
        <x:v>famine, hunger</x:v>
      </x:c>
      <x:c r="H393" s="20" t="str"/>
      <x:c r="I393" s="21" t="str">
        <x:v>BBH2 課序</x:v>
      </x:c>
      <x:c r="J393" s="21" t="n">
        <x:v>21</x:v>
      </x:c>
      <x:c r="K393" s="22" t="n">
        <x:v>101</x:v>
      </x:c>
      <x:c r="L393" s="21" t="str">
        <x:v>H7458</x:v>
      </x:c>
      <x:c r="M393" s="21" t="str">
        <x:v>noun</x:v>
      </x:c>
      <x:c r="N393" s="21" t="str">
        <x:v>否</x:v>
      </x:c>
      <x:c r="O393" s="21" t="str"/>
      <x:c r="P393" s="21" t="str">
        <x:v>source_and_lexicon_matched</x:v>
      </x:c>
      <x:c r="Q393" s="21" t="str">
        <x:v>rule_generated_exception_review</x:v>
      </x:c>
      <x:c r="R393" s="20" t="str">
        <x:v>https://hebrewsyntax.org/bbh2new/</x:v>
      </x:c>
    </x:row>
    <x:row r="394" ht="28" customHeight="1">
      <x:c r="A394" s="21" t="n">
        <x:v>390</x:v>
      </x:c>
      <x:c r="B394" s="21" t="n">
        <x:f>ROUNDUP(A394/20,0)</x:f>
        <x:v>20</x:v>
      </x:c>
      <x:c r="C394" s="21" t="n">
        <x:f>MOD(A394-1,20)+1</x:f>
        <x:v>10</x:v>
      </x:c>
      <x:c r="D394" s="18" t="str">
        <x:v>רָעֵב</x:v>
      </x:c>
      <x:c r="E394" s="19" t="str">
        <x:v>rāʿēḇ</x:v>
      </x:c>
      <x:c r="F394" s="16" t="str">
        <x:v>רעב</x:v>
      </x:c>
      <x:c r="G394" s="20" t="str">
        <x:v>[adj] hungry</x:v>
      </x:c>
      <x:c r="H394" s="20" t="str"/>
      <x:c r="I394" s="21" t="str">
        <x:v>BBH2 課序</x:v>
      </x:c>
      <x:c r="J394" s="21" t="n">
        <x:v>21</x:v>
      </x:c>
      <x:c r="K394" s="22" t="n">
        <x:v>20</x:v>
      </x:c>
      <x:c r="L394" s="21" t="str">
        <x:v>H7457</x:v>
      </x:c>
      <x:c r="M394" s="21" t="str">
        <x:v>adjective</x:v>
      </x:c>
      <x:c r="N394" s="21" t="str">
        <x:v>否</x:v>
      </x:c>
      <x:c r="O394" s="21" t="str"/>
      <x:c r="P394" s="21" t="str">
        <x:v>source_and_lexicon_matched</x:v>
      </x:c>
      <x:c r="Q394" s="21" t="str">
        <x:v>rule_generated_exception_review</x:v>
      </x:c>
      <x:c r="R394" s="20" t="str">
        <x:v>https://hebrewsyntax.org/bbh2new/</x:v>
      </x:c>
    </x:row>
    <x:row r="395" ht="28" customHeight="1">
      <x:c r="A395" s="21" t="n">
        <x:v>391</x:v>
      </x:c>
      <x:c r="B395" s="21" t="n">
        <x:f>ROUNDUP(A395/20,0)</x:f>
        <x:v>20</x:v>
      </x:c>
      <x:c r="C395" s="21" t="n">
        <x:f>MOD(A395-1,20)+1</x:f>
        <x:v>11</x:v>
      </x:c>
      <x:c r="D395" s="18" t="str">
        <x:v>אָרַר</x:v>
      </x:c>
      <x:c r="E395" s="19" t="str">
        <x:v>ʾārar</x:v>
      </x:c>
      <x:c r="F395" s="16" t="str">
        <x:v>ארר</x:v>
      </x:c>
      <x:c r="G395" s="20" t="str">
        <x:v>to curse</x:v>
      </x:c>
      <x:c r="H395" s="20" t="str"/>
      <x:c r="I395" s="21" t="str">
        <x:v>BBH2 課序</x:v>
      </x:c>
      <x:c r="J395" s="21" t="n">
        <x:v>22</x:v>
      </x:c>
      <x:c r="K395" s="22" t="n">
        <x:v>63</x:v>
      </x:c>
      <x:c r="L395" s="21" t="str">
        <x:v>H779</x:v>
      </x:c>
      <x:c r="M395" s="21" t="str">
        <x:v>verb</x:v>
      </x:c>
      <x:c r="N395" s="21" t="str">
        <x:v>否</x:v>
      </x:c>
      <x:c r="O395" s="21" t="str"/>
      <x:c r="P395" s="21" t="str">
        <x:v>source_and_lexicon_matched</x:v>
      </x:c>
      <x:c r="Q395" s="21" t="str">
        <x:v>rule_generated_exception_review</x:v>
      </x:c>
      <x:c r="R395" s="20" t="str">
        <x:v>https://hebrewsyntax.org/bbh2new/</x:v>
      </x:c>
    </x:row>
    <x:row r="396" ht="28" customHeight="1">
      <x:c r="A396" s="21" t="n">
        <x:v>392</x:v>
      </x:c>
      <x:c r="B396" s="21" t="n">
        <x:f>ROUNDUP(A396/20,0)</x:f>
        <x:v>20</x:v>
      </x:c>
      <x:c r="C396" s="21" t="n">
        <x:f>MOD(A396-1,20)+1</x:f>
        <x:v>12</x:v>
      </x:c>
      <x:c r="D396" s="18" t="str">
        <x:v>בּוֹשׁ</x:v>
      </x:c>
      <x:c r="E396" s="19" t="str">
        <x:v>bôš</x:v>
      </x:c>
      <x:c r="F396" s="16" t="str">
        <x:v>בוש</x:v>
      </x:c>
      <x:c r="G396" s="20" t="str">
        <x:v>to be ashamed</x:v>
      </x:c>
      <x:c r="H396" s="20" t="str"/>
      <x:c r="I396" s="21" t="str">
        <x:v>BBH2 課序</x:v>
      </x:c>
      <x:c r="J396" s="21" t="n">
        <x:v>22</x:v>
      </x:c>
      <x:c r="K396" s="22" t="n">
        <x:v>114</x:v>
      </x:c>
      <x:c r="L396" s="21" t="str">
        <x:v>H954</x:v>
      </x:c>
      <x:c r="M396" s="21" t="str">
        <x:v>verb</x:v>
      </x:c>
      <x:c r="N396" s="21" t="str">
        <x:v>否</x:v>
      </x:c>
      <x:c r="O396" s="21" t="str"/>
      <x:c r="P396" s="21" t="str">
        <x:v>source_and_lexicon_matched</x:v>
      </x:c>
      <x:c r="Q396" s="21" t="str">
        <x:v>rule_generated_exception_review</x:v>
      </x:c>
      <x:c r="R396" s="20" t="str">
        <x:v>https://hebrewsyntax.org/bbh2new/</x:v>
      </x:c>
    </x:row>
    <x:row r="397" ht="28" customHeight="1">
      <x:c r="A397" s="21" t="n">
        <x:v>393</x:v>
      </x:c>
      <x:c r="B397" s="21" t="n">
        <x:f>ROUNDUP(A397/20,0)</x:f>
        <x:v>20</x:v>
      </x:c>
      <x:c r="C397" s="21" t="n">
        <x:f>MOD(A397-1,20)+1</x:f>
        <x:v>13</x:v>
      </x:c>
      <x:c r="D397" s="18" t="str">
        <x:v>גָּדַל</x:v>
      </x:c>
      <x:c r="E397" s="19" t="str">
        <x:v>gāḏal</x:v>
      </x:c>
      <x:c r="F397" s="16" t="str">
        <x:v>גדל</x:v>
      </x:c>
      <x:c r="G397" s="20" t="str">
        <x:v>to grow up, be(come) great, become strong, wealthy or important</x:v>
      </x:c>
      <x:c r="H397" s="20" t="str"/>
      <x:c r="I397" s="21" t="str">
        <x:v>BBH2 課序</x:v>
      </x:c>
      <x:c r="J397" s="21" t="n">
        <x:v>22</x:v>
      </x:c>
      <x:c r="K397" s="22" t="n">
        <x:v>116</x:v>
      </x:c>
      <x:c r="L397" s="21" t="str">
        <x:v>H1431</x:v>
      </x:c>
      <x:c r="M397" s="21" t="str">
        <x:v>verb</x:v>
      </x:c>
      <x:c r="N397" s="21" t="str">
        <x:v>否</x:v>
      </x:c>
      <x:c r="O397" s="21" t="str"/>
      <x:c r="P397" s="21" t="str">
        <x:v>source_and_lexicon_matched</x:v>
      </x:c>
      <x:c r="Q397" s="21" t="str">
        <x:v>rule_generated_exception_review</x:v>
      </x:c>
      <x:c r="R397" s="20" t="str">
        <x:v>https://hebrewsyntax.org/bbh2new/</x:v>
      </x:c>
    </x:row>
    <x:row r="398" ht="28" customHeight="1">
      <x:c r="A398" s="21" t="n">
        <x:v>394</x:v>
      </x:c>
      <x:c r="B398" s="21" t="n">
        <x:f>ROUNDUP(A398/20,0)</x:f>
        <x:v>20</x:v>
      </x:c>
      <x:c r="C398" s="21" t="n">
        <x:f>MOD(A398-1,20)+1</x:f>
        <x:v>14</x:v>
      </x:c>
      <x:c r="D398" s="18" t="str">
        <x:v>חָשַׁב</x:v>
      </x:c>
      <x:c r="E398" s="19" t="str">
        <x:v>ḥāšaḇ</x:v>
      </x:c>
      <x:c r="F398" s="16" t="str">
        <x:v>חשב</x:v>
      </x:c>
      <x:c r="G398" s="20" t="str">
        <x:v>to think, consider, devise, plan, value, esteem, reckon</x:v>
      </x:c>
      <x:c r="H398" s="20" t="str"/>
      <x:c r="I398" s="21" t="str">
        <x:v>BBH2 課序</x:v>
      </x:c>
      <x:c r="J398" s="21" t="n">
        <x:v>22</x:v>
      </x:c>
      <x:c r="K398" s="22" t="n">
        <x:v>124</x:v>
      </x:c>
      <x:c r="L398" s="21" t="str">
        <x:v>H2803</x:v>
      </x:c>
      <x:c r="M398" s="21" t="str">
        <x:v>verb</x:v>
      </x:c>
      <x:c r="N398" s="21" t="str">
        <x:v>否</x:v>
      </x:c>
      <x:c r="O398" s="21" t="str"/>
      <x:c r="P398" s="21" t="str">
        <x:v>source_and_lexicon_matched</x:v>
      </x:c>
      <x:c r="Q398" s="21" t="str">
        <x:v>rule_generated_exception_review</x:v>
      </x:c>
      <x:c r="R398" s="20" t="str">
        <x:v>https://hebrewsyntax.org/bbh2new/</x:v>
      </x:c>
    </x:row>
    <x:row r="399" ht="28" customHeight="1">
      <x:c r="A399" s="21" t="n">
        <x:v>395</x:v>
      </x:c>
      <x:c r="B399" s="21" t="n">
        <x:f>ROUNDUP(A399/20,0)</x:f>
        <x:v>20</x:v>
      </x:c>
      <x:c r="C399" s="21" t="n">
        <x:f>MOD(A399-1,20)+1</x:f>
        <x:v>15</x:v>
      </x:c>
      <x:c r="D399" s="18" t="str">
        <x:v>יָטַב</x:v>
      </x:c>
      <x:c r="E399" s="19" t="str">
        <x:v>yāṭaḇ</x:v>
      </x:c>
      <x:c r="F399" s="16" t="str">
        <x:v>יטב</x:v>
      </x:c>
      <x:c r="G399" s="20" t="str">
        <x:v>to be well with, go well with, be pleasing</x:v>
      </x:c>
      <x:c r="H399" s="20" t="str"/>
      <x:c r="I399" s="21" t="str">
        <x:v>BBH2 課序</x:v>
      </x:c>
      <x:c r="J399" s="21" t="n">
        <x:v>22</x:v>
      </x:c>
      <x:c r="K399" s="22" t="n">
        <x:v>112</x:v>
      </x:c>
      <x:c r="L399" s="21" t="str">
        <x:v>H3190</x:v>
      </x:c>
      <x:c r="M399" s="21" t="str">
        <x:v>verb</x:v>
      </x:c>
      <x:c r="N399" s="21" t="str">
        <x:v>否</x:v>
      </x:c>
      <x:c r="O399" s="21" t="str"/>
      <x:c r="P399" s="21" t="str">
        <x:v>source_and_lexicon_matched</x:v>
      </x:c>
      <x:c r="Q399" s="21" t="str">
        <x:v>rule_generated_exception_review</x:v>
      </x:c>
      <x:c r="R399" s="20" t="str">
        <x:v>https://hebrewsyntax.org/bbh2new/</x:v>
      </x:c>
    </x:row>
    <x:row r="400" ht="28" customHeight="1">
      <x:c r="A400" s="21" t="n">
        <x:v>396</x:v>
      </x:c>
      <x:c r="B400" s="21" t="n">
        <x:f>ROUNDUP(A400/20,0)</x:f>
        <x:v>20</x:v>
      </x:c>
      <x:c r="C400" s="21" t="n">
        <x:f>MOD(A400-1,20)+1</x:f>
        <x:v>16</x:v>
      </x:c>
      <x:c r="D400" s="18" t="str">
        <x:v>לָכַד</x:v>
      </x:c>
      <x:c r="E400" s="19" t="str">
        <x:v>lāḵaḏ</x:v>
      </x:c>
      <x:c r="F400" s="16" t="str">
        <x:v>לכד</x:v>
      </x:c>
      <x:c r="G400" s="20" t="str">
        <x:v>to take, capture, catch, seize</x:v>
      </x:c>
      <x:c r="H400" s="20" t="str"/>
      <x:c r="I400" s="21" t="str">
        <x:v>BBH2 課序</x:v>
      </x:c>
      <x:c r="J400" s="21" t="n">
        <x:v>22</x:v>
      </x:c>
      <x:c r="K400" s="22" t="n">
        <x:v>121</x:v>
      </x:c>
      <x:c r="L400" s="21" t="str">
        <x:v>H3920</x:v>
      </x:c>
      <x:c r="M400" s="21" t="str">
        <x:v>verb</x:v>
      </x:c>
      <x:c r="N400" s="21" t="str">
        <x:v>否</x:v>
      </x:c>
      <x:c r="O400" s="21" t="str"/>
      <x:c r="P400" s="21" t="str">
        <x:v>source_and_lexicon_matched</x:v>
      </x:c>
      <x:c r="Q400" s="21" t="str">
        <x:v>rule_generated_exception_review</x:v>
      </x:c>
      <x:c r="R400" s="20" t="str">
        <x:v>https://hebrewsyntax.org/bbh2new/</x:v>
      </x:c>
    </x:row>
    <x:row r="401" ht="28" customHeight="1">
      <x:c r="A401" s="21" t="n">
        <x:v>397</x:v>
      </x:c>
      <x:c r="B401" s="21" t="n">
        <x:f>ROUNDUP(A401/20,0)</x:f>
        <x:v>20</x:v>
      </x:c>
      <x:c r="C401" s="21" t="n">
        <x:f>MOD(A401-1,20)+1</x:f>
        <x:v>17</x:v>
      </x:c>
      <x:c r="D401" s="18" t="str">
        <x:v>נָגַשׁ</x:v>
      </x:c>
      <x:c r="E401" s="19" t="str">
        <x:v>nāg̅aš</x:v>
      </x:c>
      <x:c r="F401" s="16" t="str">
        <x:v>נגש</x:v>
      </x:c>
      <x:c r="G401" s="20" t="str">
        <x:v>to draw near, come near, approach</x:v>
      </x:c>
      <x:c r="H401" s="20" t="str"/>
      <x:c r="I401" s="21" t="str">
        <x:v>BBH2 課序</x:v>
      </x:c>
      <x:c r="J401" s="21" t="n">
        <x:v>22</x:v>
      </x:c>
      <x:c r="K401" s="22" t="n">
        <x:v>125</x:v>
      </x:c>
      <x:c r="L401" s="21" t="str">
        <x:v>H5066</x:v>
      </x:c>
      <x:c r="M401" s="21" t="str">
        <x:v>verb</x:v>
      </x:c>
      <x:c r="N401" s="21" t="str">
        <x:v>否</x:v>
      </x:c>
      <x:c r="O401" s="21" t="str"/>
      <x:c r="P401" s="21" t="str">
        <x:v>source_and_lexicon_matched</x:v>
      </x:c>
      <x:c r="Q401" s="21" t="str">
        <x:v>rule_generated_exception_review</x:v>
      </x:c>
      <x:c r="R401" s="20" t="str">
        <x:v>https://hebrewsyntax.org/bbh2new/</x:v>
      </x:c>
    </x:row>
    <x:row r="402" ht="28" customHeight="1">
      <x:c r="A402" s="21" t="n">
        <x:v>398</x:v>
      </x:c>
      <x:c r="B402" s="21" t="n">
        <x:f>ROUNDUP(A402/20,0)</x:f>
        <x:v>20</x:v>
      </x:c>
      <x:c r="C402" s="21" t="n">
        <x:f>MOD(A402-1,20)+1</x:f>
        <x:v>18</x:v>
      </x:c>
      <x:c r="D402" s="18" t="str">
        <x:v>קָבַץ</x:v>
      </x:c>
      <x:c r="E402" s="19" t="str">
        <x:v>qāḇaṣ</x:v>
      </x:c>
      <x:c r="F402" s="16" t="str">
        <x:v>קבץ</x:v>
      </x:c>
      <x:c r="G402" s="20" t="str">
        <x:v>to collect, gather, assemble</x:v>
      </x:c>
      <x:c r="H402" s="20" t="str"/>
      <x:c r="I402" s="21" t="str">
        <x:v>BBH2 課序</x:v>
      </x:c>
      <x:c r="J402" s="21" t="n">
        <x:v>22</x:v>
      </x:c>
      <x:c r="K402" s="22" t="n">
        <x:v>127</x:v>
      </x:c>
      <x:c r="L402" s="21" t="str">
        <x:v>H6908</x:v>
      </x:c>
      <x:c r="M402" s="21" t="str">
        <x:v>verb</x:v>
      </x:c>
      <x:c r="N402" s="21" t="str">
        <x:v>否</x:v>
      </x:c>
      <x:c r="O402" s="21" t="str"/>
      <x:c r="P402" s="21" t="str">
        <x:v>source_and_lexicon_matched</x:v>
      </x:c>
      <x:c r="Q402" s="21" t="str">
        <x:v>rule_generated_exception_review</x:v>
      </x:c>
      <x:c r="R402" s="20" t="str">
        <x:v>https://hebrewsyntax.org/bbh2new/</x:v>
      </x:c>
    </x:row>
    <x:row r="403" ht="28" customHeight="1">
      <x:c r="A403" s="21" t="n">
        <x:v>399</x:v>
      </x:c>
      <x:c r="B403" s="21" t="n">
        <x:f>ROUNDUP(A403/20,0)</x:f>
        <x:v>20</x:v>
      </x:c>
      <x:c r="C403" s="21" t="n">
        <x:f>MOD(A403-1,20)+1</x:f>
        <x:v>19</x:v>
      </x:c>
      <x:c r="D403" s="18" t="str">
        <x:v>קָבַר</x:v>
      </x:c>
      <x:c r="E403" s="19" t="str">
        <x:v>qāḇar</x:v>
      </x:c>
      <x:c r="F403" s="16" t="str">
        <x:v>קבר</x:v>
      </x:c>
      <x:c r="G403" s="20" t="str">
        <x:v>to bury</x:v>
      </x:c>
      <x:c r="H403" s="20" t="str"/>
      <x:c r="I403" s="21" t="str">
        <x:v>BBH2 課序</x:v>
      </x:c>
      <x:c r="J403" s="21" t="n">
        <x:v>22</x:v>
      </x:c>
      <x:c r="K403" s="22" t="n">
        <x:v>133</x:v>
      </x:c>
      <x:c r="L403" s="21" t="str">
        <x:v>H6912</x:v>
      </x:c>
      <x:c r="M403" s="21" t="str">
        <x:v>verb</x:v>
      </x:c>
      <x:c r="N403" s="21" t="str">
        <x:v>否</x:v>
      </x:c>
      <x:c r="O403" s="21" t="str"/>
      <x:c r="P403" s="21" t="str">
        <x:v>source_and_lexicon_matched</x:v>
      </x:c>
      <x:c r="Q403" s="21" t="str">
        <x:v>rule_generated_exception_review</x:v>
      </x:c>
      <x:c r="R403" s="20" t="str">
        <x:v>https://hebrewsyntax.org/bbh2new/</x:v>
      </x:c>
    </x:row>
    <x:row r="404" ht="28" customHeight="1">
      <x:c r="A404" s="21" t="n">
        <x:v>400</x:v>
      </x:c>
      <x:c r="B404" s="21" t="n">
        <x:f>ROUNDUP(A404/20,0)</x:f>
        <x:v>20</x:v>
      </x:c>
      <x:c r="C404" s="21" t="n">
        <x:f>MOD(A404-1,20)+1</x:f>
        <x:v>20</x:v>
      </x:c>
      <x:c r="D404" s="18" t="str">
        <x:v>שָׁכַן</x:v>
      </x:c>
      <x:c r="E404" s="19" t="str">
        <x:v>šāḵan</x:v>
      </x:c>
      <x:c r="F404" s="16" t="str">
        <x:v>שכן</x:v>
      </x:c>
      <x:c r="G404" s="20" t="str">
        <x:v>to settle, abide, reside, dwell, inhabit</x:v>
      </x:c>
      <x:c r="H404" s="20" t="str"/>
      <x:c r="I404" s="21" t="str">
        <x:v>BBH2 課序</x:v>
      </x:c>
      <x:c r="J404" s="21" t="n">
        <x:v>22</x:v>
      </x:c>
      <x:c r="K404" s="22" t="n">
        <x:v>129</x:v>
      </x:c>
      <x:c r="L404" s="21" t="str">
        <x:v>H7931</x:v>
      </x:c>
      <x:c r="M404" s="21" t="str">
        <x:v>verb</x:v>
      </x:c>
      <x:c r="N404" s="21" t="str">
        <x:v>否</x:v>
      </x:c>
      <x:c r="O404" s="21" t="str"/>
      <x:c r="P404" s="21" t="str">
        <x:v>source_and_lexicon_matched</x:v>
      </x:c>
      <x:c r="Q404" s="21" t="str">
        <x:v>rule_generated_exception_review</x:v>
      </x:c>
      <x:c r="R404" s="20" t="str">
        <x:v>https://hebrewsyntax.org/bbh2new/</x:v>
      </x:c>
    </x:row>
    <x:row r="405" ht="28" customHeight="1">
      <x:c r="A405" s="21" t="n">
        <x:v>401</x:v>
      </x:c>
      <x:c r="B405" s="21" t="n">
        <x:f>ROUNDUP(A405/20,0)</x:f>
        <x:v>21</x:v>
      </x:c>
      <x:c r="C405" s="21" t="n">
        <x:f>MOD(A405-1,20)+1</x:f>
        <x:v>1</x:v>
      </x:c>
      <x:c r="D405" s="18" t="str">
        <x:v>שָׁפַךְ</x:v>
      </x:c>
      <x:c r="E405" s="19" t="str">
        <x:v>šāp̄aḵ</x:v>
      </x:c>
      <x:c r="F405" s="16" t="str">
        <x:v>שפך</x:v>
      </x:c>
      <x:c r="G405" s="20" t="str">
        <x:v>to pour (out), spill, shed (blood)</x:v>
      </x:c>
      <x:c r="H405" s="20" t="str"/>
      <x:c r="I405" s="21" t="str">
        <x:v>BBH2 課序</x:v>
      </x:c>
      <x:c r="J405" s="21" t="n">
        <x:v>22</x:v>
      </x:c>
      <x:c r="K405" s="22" t="n">
        <x:v>117</x:v>
      </x:c>
      <x:c r="L405" s="21" t="str">
        <x:v>H8210</x:v>
      </x:c>
      <x:c r="M405" s="21" t="str">
        <x:v>verb</x:v>
      </x:c>
      <x:c r="N405" s="21" t="str">
        <x:v>否</x:v>
      </x:c>
      <x:c r="O405" s="21" t="str"/>
      <x:c r="P405" s="21" t="str">
        <x:v>source_and_lexicon_matched</x:v>
      </x:c>
      <x:c r="Q405" s="21" t="str">
        <x:v>rule_generated_exception_review</x:v>
      </x:c>
      <x:c r="R405" s="20" t="str">
        <x:v>https://hebrewsyntax.org/bbh2new/</x:v>
      </x:c>
    </x:row>
    <x:row r="406" ht="28" customHeight="1">
      <x:c r="A406" s="21" t="n">
        <x:v>402</x:v>
      </x:c>
      <x:c r="B406" s="21" t="n">
        <x:f>ROUNDUP(A406/20,0)</x:f>
        <x:v>21</x:v>
      </x:c>
      <x:c r="C406" s="21" t="n">
        <x:f>MOD(A406-1,20)+1</x:f>
        <x:v>2</x:v>
      </x:c>
      <x:c r="D406" s="18" t="str">
        <x:v>חוֹמָה</x:v>
      </x:c>
      <x:c r="E406" s="19" t="str">
        <x:v>ḥômâ</x:v>
      </x:c>
      <x:c r="F406" s="16" t="str">
        <x:v>חומה</x:v>
      </x:c>
      <x:c r="G406" s="20" t="str">
        <x:v>wall</x:v>
      </x:c>
      <x:c r="H406" s="20" t="str"/>
      <x:c r="I406" s="21" t="str">
        <x:v>BBH2 課序</x:v>
      </x:c>
      <x:c r="J406" s="21" t="n">
        <x:v>22</x:v>
      </x:c>
      <x:c r="K406" s="22" t="n">
        <x:v>133</x:v>
      </x:c>
      <x:c r="L406" s="21" t="str">
        <x:v>H2346</x:v>
      </x:c>
      <x:c r="M406" s="21" t="str">
        <x:v>noun</x:v>
      </x:c>
      <x:c r="N406" s="21" t="str">
        <x:v>否</x:v>
      </x:c>
      <x:c r="O406" s="21" t="str"/>
      <x:c r="P406" s="21" t="str">
        <x:v>source_and_lexicon_matched</x:v>
      </x:c>
      <x:c r="Q406" s="21" t="str">
        <x:v>rule_generated_exception_review</x:v>
      </x:c>
      <x:c r="R406" s="20" t="str">
        <x:v>https://hebrewsyntax.org/bbh2new/</x:v>
      </x:c>
    </x:row>
    <x:row r="407" ht="28" customHeight="1">
      <x:c r="A407" s="21" t="n">
        <x:v>403</x:v>
      </x:c>
      <x:c r="B407" s="21" t="n">
        <x:f>ROUNDUP(A407/20,0)</x:f>
        <x:v>21</x:v>
      </x:c>
      <x:c r="C407" s="21" t="n">
        <x:f>MOD(A407-1,20)+1</x:f>
        <x:v>3</x:v>
      </x:c>
      <x:c r="D407" s="18" t="str">
        <x:v>חֹק</x:v>
      </x:c>
      <x:c r="E407" s="19" t="str">
        <x:v>ḥōq</x:v>
      </x:c>
      <x:c r="F407" s="16" t="str">
        <x:v>חק</x:v>
      </x:c>
      <x:c r="G407" s="20" t="str">
        <x:v>statute, appointed time, portion</x:v>
      </x:c>
      <x:c r="H407" s="20" t="str"/>
      <x:c r="I407" s="21" t="str">
        <x:v>BBH2 課序</x:v>
      </x:c>
      <x:c r="J407" s="21" t="n">
        <x:v>22</x:v>
      </x:c>
      <x:c r="K407" s="22" t="n">
        <x:v>128</x:v>
      </x:c>
      <x:c r="L407" s="21" t="str">
        <x:v>H2706</x:v>
      </x:c>
      <x:c r="M407" s="21" t="str">
        <x:v>noun</x:v>
      </x:c>
      <x:c r="N407" s="21" t="str">
        <x:v>否</x:v>
      </x:c>
      <x:c r="O407" s="21" t="str"/>
      <x:c r="P407" s="21" t="str">
        <x:v>source_and_lexicon_matched</x:v>
      </x:c>
      <x:c r="Q407" s="21" t="str">
        <x:v>rule_generated_exception_review</x:v>
      </x:c>
      <x:c r="R407" s="20" t="str">
        <x:v>https://hebrewsyntax.org/bbh2new/</x:v>
      </x:c>
    </x:row>
    <x:row r="408" ht="28" customHeight="1">
      <x:c r="A408" s="21" t="n">
        <x:v>404</x:v>
      </x:c>
      <x:c r="B408" s="21" t="n">
        <x:f>ROUNDUP(A408/20,0)</x:f>
        <x:v>21</x:v>
      </x:c>
      <x:c r="C408" s="21" t="n">
        <x:f>MOD(A408-1,20)+1</x:f>
        <x:v>4</x:v>
      </x:c>
      <x:c r="D408" s="18" t="str">
        <x:v>כֶּ֫בֶשׂ</x:v>
      </x:c>
      <x:c r="E408" s="19" t="str">
        <x:v>keḇeś</x:v>
      </x:c>
      <x:c r="F408" s="16" t="str">
        <x:v>כבש</x:v>
      </x:c>
      <x:c r="G408" s="20" t="str">
        <x:v>lamb, sheep</x:v>
      </x:c>
      <x:c r="H408" s="20" t="str"/>
      <x:c r="I408" s="21" t="str">
        <x:v>BBH2 課序</x:v>
      </x:c>
      <x:c r="J408" s="21" t="n">
        <x:v>22</x:v>
      </x:c>
      <x:c r="K408" s="22" t="n">
        <x:v>107</x:v>
      </x:c>
      <x:c r="L408" s="21" t="str">
        <x:v>H3532</x:v>
      </x:c>
      <x:c r="M408" s="21" t="str">
        <x:v>noun</x:v>
      </x:c>
      <x:c r="N408" s="21" t="str">
        <x:v>否</x:v>
      </x:c>
      <x:c r="O408" s="21" t="str"/>
      <x:c r="P408" s="21" t="str">
        <x:v>source_and_lexicon_matched</x:v>
      </x:c>
      <x:c r="Q408" s="21" t="str">
        <x:v>rule_generated_exception_review</x:v>
      </x:c>
      <x:c r="R408" s="20" t="str">
        <x:v>https://hebrewsyntax.org/bbh2new/</x:v>
      </x:c>
    </x:row>
    <x:row r="409" ht="28" customHeight="1">
      <x:c r="A409" s="21" t="n">
        <x:v>405</x:v>
      </x:c>
      <x:c r="B409" s="21" t="n">
        <x:f>ROUNDUP(A409/20,0)</x:f>
        <x:v>21</x:v>
      </x:c>
      <x:c r="C409" s="21" t="n">
        <x:f>MOD(A409-1,20)+1</x:f>
        <x:v>5</x:v>
      </x:c>
      <x:c r="D409" s="18" t="str">
        <x:v>אוֹר</x:v>
      </x:c>
      <x:c r="E409" s="19" t="str">
        <x:v>ʾôr</x:v>
      </x:c>
      <x:c r="F409" s="16" t="str">
        <x:v>אור</x:v>
      </x:c>
      <x:c r="G409" s="20" t="str">
        <x:v>light, daylight, sunshine</x:v>
      </x:c>
      <x:c r="H409" s="20" t="str"/>
      <x:c r="I409" s="21" t="str">
        <x:v>BBH2 課序</x:v>
      </x:c>
      <x:c r="J409" s="21" t="n">
        <x:v>23</x:v>
      </x:c>
      <x:c r="K409" s="22" t="n">
        <x:v>121</x:v>
      </x:c>
      <x:c r="L409" s="21" t="str">
        <x:v>H216</x:v>
      </x:c>
      <x:c r="M409" s="21" t="str">
        <x:v>noun</x:v>
      </x:c>
      <x:c r="N409" s="21" t="str">
        <x:v>否</x:v>
      </x:c>
      <x:c r="O409" s="21" t="str"/>
      <x:c r="P409" s="21" t="str">
        <x:v>source_and_lexicon_matched</x:v>
      </x:c>
      <x:c r="Q409" s="21" t="str">
        <x:v>rule_generated_exception_review</x:v>
      </x:c>
      <x:c r="R409" s="20" t="str">
        <x:v>https://hebrewsyntax.org/bbh2new/</x:v>
      </x:c>
    </x:row>
    <x:row r="410" ht="28" customHeight="1">
      <x:c r="A410" s="21" t="n">
        <x:v>406</x:v>
      </x:c>
      <x:c r="B410" s="21" t="n">
        <x:f>ROUNDUP(A410/20,0)</x:f>
        <x:v>21</x:v>
      </x:c>
      <x:c r="C410" s="21" t="n">
        <x:f>MOD(A410-1,20)+1</x:f>
        <x:v>6</x:v>
      </x:c>
      <x:c r="D410" s="18" t="str">
        <x:v>בְּכֹר</x:v>
      </x:c>
      <x:c r="E410" s="19" t="str">
        <x:v>bəḵōr</x:v>
      </x:c>
      <x:c r="F410" s="16" t="str">
        <x:v>בכר</x:v>
      </x:c>
      <x:c r="G410" s="20" t="str">
        <x:v>firstborn [defective spelling]</x:v>
      </x:c>
      <x:c r="H410" s="20" t="str"/>
      <x:c r="I410" s="21" t="str">
        <x:v>BBH2 課序</x:v>
      </x:c>
      <x:c r="J410" s="21" t="n">
        <x:v>23</x:v>
      </x:c>
      <x:c r="K410" s="22" t="n">
        <x:v>118</x:v>
      </x:c>
      <x:c r="L410" s="21" t="str">
        <x:v>H1060</x:v>
      </x:c>
      <x:c r="M410" s="21" t="str">
        <x:v>noun</x:v>
      </x:c>
      <x:c r="N410" s="21" t="str">
        <x:v>否</x:v>
      </x:c>
      <x:c r="O410" s="21" t="str"/>
      <x:c r="P410" s="21" t="str">
        <x:v>source_and_lexicon_matched</x:v>
      </x:c>
      <x:c r="Q410" s="21" t="str">
        <x:v>rule_generated_exception_review</x:v>
      </x:c>
      <x:c r="R410" s="20" t="str">
        <x:v>https://hebrewsyntax.org/bbh2new/</x:v>
      </x:c>
    </x:row>
    <x:row r="411" ht="28" customHeight="1">
      <x:c r="A411" s="21" t="n">
        <x:v>407</x:v>
      </x:c>
      <x:c r="B411" s="21" t="n">
        <x:f>ROUNDUP(A411/20,0)</x:f>
        <x:v>21</x:v>
      </x:c>
      <x:c r="C411" s="21" t="n">
        <x:f>MOD(A411-1,20)+1</x:f>
        <x:v>7</x:v>
      </x:c>
      <x:c r="D411" s="18" t="str">
        <x:v>בְּכוֹר</x:v>
      </x:c>
      <x:c r="E411" s="19" t="str">
        <x:v>bəḵôr</x:v>
      </x:c>
      <x:c r="F411" s="16" t="str">
        <x:v>בכור</x:v>
      </x:c>
      <x:c r="G411" s="20" t="str">
        <x:v>firstborn [plene spelling]</x:v>
      </x:c>
      <x:c r="H411" s="20" t="str"/>
      <x:c r="I411" s="21" t="str">
        <x:v>BBH2 課序</x:v>
      </x:c>
      <x:c r="J411" s="21" t="n">
        <x:v>23</x:v>
      </x:c>
      <x:c r="K411" s="22" t="n">
        <x:v>118</x:v>
      </x:c>
      <x:c r="L411" s="21" t="str">
        <x:v>H1060</x:v>
      </x:c>
      <x:c r="M411" s="21" t="str">
        <x:v>noun</x:v>
      </x:c>
      <x:c r="N411" s="21" t="str">
        <x:v>否</x:v>
      </x:c>
      <x:c r="O411" s="21" t="str"/>
      <x:c r="P411" s="21" t="str">
        <x:v>source_and_lexicon_matched</x:v>
      </x:c>
      <x:c r="Q411" s="21" t="str">
        <x:v>rule_generated_exception_review</x:v>
      </x:c>
      <x:c r="R411" s="20" t="str">
        <x:v>https://hebrewsyntax.org/bbh2new/</x:v>
      </x:c>
    </x:row>
    <x:row r="412" ht="28" customHeight="1">
      <x:c r="A412" s="21" t="n">
        <x:v>408</x:v>
      </x:c>
      <x:c r="B412" s="21" t="n">
        <x:f>ROUNDUP(A412/20,0)</x:f>
        <x:v>21</x:v>
      </x:c>
      <x:c r="C412" s="21" t="n">
        <x:f>MOD(A412-1,20)+1</x:f>
        <x:v>8</x:v>
      </x:c>
      <x:c r="D412" s="18" t="str">
        <x:v>חֵמָה</x:v>
      </x:c>
      <x:c r="E412" s="19" t="str">
        <x:v>ḥēmâ</x:v>
      </x:c>
      <x:c r="F412" s="16" t="str">
        <x:v>חמה</x:v>
      </x:c>
      <x:c r="G412" s="20" t="str">
        <x:v>wrath, heat, poison</x:v>
      </x:c>
      <x:c r="H412" s="20" t="str"/>
      <x:c r="I412" s="21" t="str">
        <x:v>BBH2 課序</x:v>
      </x:c>
      <x:c r="J412" s="21" t="n">
        <x:v>23</x:v>
      </x:c>
      <x:c r="K412" s="22" t="n">
        <x:v>124</x:v>
      </x:c>
      <x:c r="L412" s="21" t="str">
        <x:v>H2534</x:v>
      </x:c>
      <x:c r="M412" s="21" t="str">
        <x:v>noun</x:v>
      </x:c>
      <x:c r="N412" s="21" t="str">
        <x:v>否</x:v>
      </x:c>
      <x:c r="O412" s="21" t="str"/>
      <x:c r="P412" s="21" t="str">
        <x:v>source_and_lexicon_matched</x:v>
      </x:c>
      <x:c r="Q412" s="21" t="str">
        <x:v>rule_generated_exception_review</x:v>
      </x:c>
      <x:c r="R412" s="20" t="str">
        <x:v>https://hebrewsyntax.org/bbh2new/</x:v>
      </x:c>
    </x:row>
    <x:row r="413" ht="28" customHeight="1">
      <x:c r="A413" s="21" t="n">
        <x:v>409</x:v>
      </x:c>
      <x:c r="B413" s="21" t="n">
        <x:f>ROUNDUP(A413/20,0)</x:f>
        <x:v>21</x:v>
      </x:c>
      <x:c r="C413" s="21" t="n">
        <x:f>MOD(A413-1,20)+1</x:f>
        <x:v>9</x:v>
      </x:c>
      <x:c r="D413" s="18" t="str">
        <x:v>חֲצִי</x:v>
      </x:c>
      <x:c r="E413" s="19" t="str">
        <x:v>ḥăṣî</x:v>
      </x:c>
      <x:c r="F413" s="16" t="str">
        <x:v>חצי</x:v>
      </x:c>
      <x:c r="G413" s="20" t="str">
        <x:v>half, middle</x:v>
      </x:c>
      <x:c r="H413" s="20" t="str"/>
      <x:c r="I413" s="21" t="str">
        <x:v>BBH2 課序</x:v>
      </x:c>
      <x:c r="J413" s="21" t="n">
        <x:v>23</x:v>
      </x:c>
      <x:c r="K413" s="22" t="n">
        <x:v>123</x:v>
      </x:c>
      <x:c r="L413" s="21" t="str">
        <x:v>H2677</x:v>
      </x:c>
      <x:c r="M413" s="21" t="str">
        <x:v>noun</x:v>
      </x:c>
      <x:c r="N413" s="21" t="str">
        <x:v>否</x:v>
      </x:c>
      <x:c r="O413" s="21" t="str"/>
      <x:c r="P413" s="21" t="str">
        <x:v>source_and_lexicon_matched</x:v>
      </x:c>
      <x:c r="Q413" s="21" t="str">
        <x:v>rule_generated_exception_review</x:v>
      </x:c>
      <x:c r="R413" s="20" t="str">
        <x:v>https://hebrewsyntax.org/bbh2new/</x:v>
      </x:c>
    </x:row>
    <x:row r="414" ht="28" customHeight="1">
      <x:c r="A414" s="21" t="n">
        <x:v>410</x:v>
      </x:c>
      <x:c r="B414" s="21" t="n">
        <x:f>ROUNDUP(A414/20,0)</x:f>
        <x:v>21</x:v>
      </x:c>
      <x:c r="C414" s="21" t="n">
        <x:f>MOD(A414-1,20)+1</x:f>
        <x:v>10</x:v>
      </x:c>
      <x:c r="D414" s="18" t="str">
        <x:v>כֹּחַ</x:v>
      </x:c>
      <x:c r="E414" s="19" t="str">
        <x:v>kōaḥ</x:v>
      </x:c>
      <x:c r="F414" s="16" t="str">
        <x:v>כח</x:v>
      </x:c>
      <x:c r="G414" s="20" t="str">
        <x:v>strength, power</x:v>
      </x:c>
      <x:c r="H414" s="20" t="str"/>
      <x:c r="I414" s="21" t="str">
        <x:v>BBH2 課序</x:v>
      </x:c>
      <x:c r="J414" s="21" t="n">
        <x:v>23</x:v>
      </x:c>
      <x:c r="K414" s="22" t="n">
        <x:v>127</x:v>
      </x:c>
      <x:c r="L414" s="21" t="str">
        <x:v>H3581</x:v>
      </x:c>
      <x:c r="M414" s="21" t="str">
        <x:v>noun</x:v>
      </x:c>
      <x:c r="N414" s="21" t="str">
        <x:v>否</x:v>
      </x:c>
      <x:c r="O414" s="21" t="str"/>
      <x:c r="P414" s="21" t="str">
        <x:v>source_and_lexicon_matched</x:v>
      </x:c>
      <x:c r="Q414" s="21" t="str">
        <x:v>rule_generated_exception_review</x:v>
      </x:c>
      <x:c r="R414" s="20" t="str">
        <x:v>https://hebrewsyntax.org/bbh2new/</x:v>
      </x:c>
    </x:row>
    <x:row r="415" ht="28" customHeight="1">
      <x:c r="A415" s="21" t="n">
        <x:v>411</x:v>
      </x:c>
      <x:c r="B415" s="21" t="n">
        <x:f>ROUNDUP(A415/20,0)</x:f>
        <x:v>21</x:v>
      </x:c>
      <x:c r="C415" s="21" t="n">
        <x:f>MOD(A415-1,20)+1</x:f>
        <x:v>11</x:v>
      </x:c>
      <x:c r="D415" s="18" t="str">
        <x:v>נְחֹ֫שֶׁת</x:v>
      </x:c>
      <x:c r="E415" s="19" t="str">
        <x:v>nəḥōšeṯ</x:v>
      </x:c>
      <x:c r="F415" s="16" t="str">
        <x:v>נחשת</x:v>
      </x:c>
      <x:c r="G415" s="20" t="str">
        <x:v>copper, bronze [M/F]</x:v>
      </x:c>
      <x:c r="H415" s="20" t="str"/>
      <x:c r="I415" s="21" t="str">
        <x:v>BBH2 課序</x:v>
      </x:c>
      <x:c r="J415" s="21" t="n">
        <x:v>23</x:v>
      </x:c>
      <x:c r="K415" s="22" t="n">
        <x:v>140</x:v>
      </x:c>
      <x:c r="L415" s="21" t="str">
        <x:v>H5178</x:v>
      </x:c>
      <x:c r="M415" s="21" t="str">
        <x:v>noun</x:v>
      </x:c>
      <x:c r="N415" s="21" t="str">
        <x:v>否</x:v>
      </x:c>
      <x:c r="O415" s="21" t="str"/>
      <x:c r="P415" s="21" t="str">
        <x:v>source_and_lexicon_matched</x:v>
      </x:c>
      <x:c r="Q415" s="21" t="str">
        <x:v>rule_generated_exception_review</x:v>
      </x:c>
      <x:c r="R415" s="20" t="str">
        <x:v>https://hebrewsyntax.org/bbh2new/</x:v>
      </x:c>
    </x:row>
    <x:row r="416" ht="28" customHeight="1">
      <x:c r="A416" s="21" t="n">
        <x:v>412</x:v>
      </x:c>
      <x:c r="B416" s="21" t="n">
        <x:f>ROUNDUP(A416/20,0)</x:f>
        <x:v>21</x:v>
      </x:c>
      <x:c r="C416" s="21" t="n">
        <x:f>MOD(A416-1,20)+1</x:f>
        <x:v>12</x:v>
      </x:c>
      <x:c r="D416" s="18" t="str">
        <x:v>נָשִׂיא</x:v>
      </x:c>
      <x:c r="E416" s="19" t="str">
        <x:v>nāśîʾ</x:v>
      </x:c>
      <x:c r="F416" s="16" t="str">
        <x:v>נשיא</x:v>
      </x:c>
      <x:c r="G416" s="20" t="str">
        <x:v>chief, leader, prince</x:v>
      </x:c>
      <x:c r="H416" s="20" t="str"/>
      <x:c r="I416" s="21" t="str">
        <x:v>BBH2 課序</x:v>
      </x:c>
      <x:c r="J416" s="21" t="n">
        <x:v>23</x:v>
      </x:c>
      <x:c r="K416" s="22" t="n">
        <x:v>134</x:v>
      </x:c>
      <x:c r="L416" s="21" t="str">
        <x:v>H5387</x:v>
      </x:c>
      <x:c r="M416" s="21" t="str">
        <x:v>noun</x:v>
      </x:c>
      <x:c r="N416" s="21" t="str">
        <x:v>否</x:v>
      </x:c>
      <x:c r="O416" s="21" t="str"/>
      <x:c r="P416" s="21" t="str">
        <x:v>source_and_lexicon_matched</x:v>
      </x:c>
      <x:c r="Q416" s="21" t="str">
        <x:v>rule_generated_exception_review</x:v>
      </x:c>
      <x:c r="R416" s="20" t="str">
        <x:v>https://hebrewsyntax.org/bbh2new/</x:v>
      </x:c>
    </x:row>
    <x:row r="417" ht="28" customHeight="1">
      <x:c r="A417" s="21" t="n">
        <x:v>413</x:v>
      </x:c>
      <x:c r="B417" s="21" t="n">
        <x:f>ROUNDUP(A417/20,0)</x:f>
        <x:v>21</x:v>
      </x:c>
      <x:c r="C417" s="21" t="n">
        <x:f>MOD(A417-1,20)+1</x:f>
        <x:v>13</x:v>
      </x:c>
      <x:c r="D417" s="18" t="str">
        <x:v>עֶ֫רֶב</x:v>
      </x:c>
      <x:c r="E417" s="19" t="str">
        <x:v>ʿereḇ</x:v>
      </x:c>
      <x:c r="F417" s="16" t="str">
        <x:v>ערב</x:v>
      </x:c>
      <x:c r="G417" s="20" t="str">
        <x:v>evening, sunset</x:v>
      </x:c>
      <x:c r="H417" s="20" t="str"/>
      <x:c r="I417" s="21" t="str">
        <x:v>BBH2 課序</x:v>
      </x:c>
      <x:c r="J417" s="21" t="n">
        <x:v>23</x:v>
      </x:c>
      <x:c r="K417" s="22" t="n">
        <x:v>134</x:v>
      </x:c>
      <x:c r="L417" s="21" t="str">
        <x:v>H6153</x:v>
      </x:c>
      <x:c r="M417" s="21" t="str">
        <x:v>noun</x:v>
      </x:c>
      <x:c r="N417" s="21" t="str">
        <x:v>否</x:v>
      </x:c>
      <x:c r="O417" s="21" t="str"/>
      <x:c r="P417" s="21" t="str">
        <x:v>source_and_lexicon_matched</x:v>
      </x:c>
      <x:c r="Q417" s="21" t="str">
        <x:v>rule_generated_exception_review</x:v>
      </x:c>
      <x:c r="R417" s="20" t="str">
        <x:v>https://hebrewsyntax.org/bbh2new/</x:v>
      </x:c>
    </x:row>
    <x:row r="418" ht="28" customHeight="1">
      <x:c r="A418" s="21" t="n">
        <x:v>414</x:v>
      </x:c>
      <x:c r="B418" s="21" t="n">
        <x:f>ROUNDUP(A418/20,0)</x:f>
        <x:v>21</x:v>
      </x:c>
      <x:c r="C418" s="21" t="n">
        <x:f>MOD(A418-1,20)+1</x:f>
        <x:v>14</x:v>
      </x:c>
      <x:c r="D418" s="18" t="str">
        <x:v>עֶ֫צֶם</x:v>
      </x:c>
      <x:c r="E418" s="19" t="str">
        <x:v>ʿeṣem</x:v>
      </x:c>
      <x:c r="F418" s="16" t="str">
        <x:v>עצם</x:v>
      </x:c>
      <x:c r="G418" s="20" t="str">
        <x:v>bone, skeleton</x:v>
      </x:c>
      <x:c r="H418" s="20" t="str"/>
      <x:c r="I418" s="21" t="str">
        <x:v>BBH2 課序</x:v>
      </x:c>
      <x:c r="J418" s="21" t="n">
        <x:v>23</x:v>
      </x:c>
      <x:c r="K418" s="22" t="n">
        <x:v>126</x:v>
      </x:c>
      <x:c r="L418" s="21" t="str">
        <x:v>H6106</x:v>
      </x:c>
      <x:c r="M418" s="21" t="str">
        <x:v>noun</x:v>
      </x:c>
      <x:c r="N418" s="21" t="str">
        <x:v>否</x:v>
      </x:c>
      <x:c r="O418" s="21" t="str"/>
      <x:c r="P418" s="21" t="str">
        <x:v>source_and_lexicon_matched</x:v>
      </x:c>
      <x:c r="Q418" s="21" t="str">
        <x:v>rule_generated_exception_review</x:v>
      </x:c>
      <x:c r="R418" s="20" t="str">
        <x:v>https://hebrewsyntax.org/bbh2new/</x:v>
      </x:c>
    </x:row>
    <x:row r="419" ht="28" customHeight="1">
      <x:c r="A419" s="21" t="n">
        <x:v>415</x:v>
      </x:c>
      <x:c r="B419" s="21" t="n">
        <x:f>ROUNDUP(A419/20,0)</x:f>
        <x:v>21</x:v>
      </x:c>
      <x:c r="C419" s="21" t="n">
        <x:f>MOD(A419-1,20)+1</x:f>
        <x:v>15</x:v>
      </x:c>
      <x:c r="D419" s="18" t="str">
        <x:v>פְּרִי</x:v>
      </x:c>
      <x:c r="E419" s="19" t="str">
        <x:v>pərî</x:v>
      </x:c>
      <x:c r="F419" s="16" t="str">
        <x:v>פרי</x:v>
      </x:c>
      <x:c r="G419" s="20" t="str">
        <x:v>fruit, offspring</x:v>
      </x:c>
      <x:c r="H419" s="20" t="str"/>
      <x:c r="I419" s="21" t="str">
        <x:v>BBH2 課序</x:v>
      </x:c>
      <x:c r="J419" s="21" t="n">
        <x:v>23</x:v>
      </x:c>
      <x:c r="K419" s="22" t="n">
        <x:v>119</x:v>
      </x:c>
      <x:c r="L419" s="21" t="str">
        <x:v>H6529</x:v>
      </x:c>
      <x:c r="M419" s="21" t="str">
        <x:v>noun</x:v>
      </x:c>
      <x:c r="N419" s="21" t="str">
        <x:v>否</x:v>
      </x:c>
      <x:c r="O419" s="21" t="str"/>
      <x:c r="P419" s="21" t="str">
        <x:v>source_and_lexicon_matched</x:v>
      </x:c>
      <x:c r="Q419" s="21" t="str">
        <x:v>rule_generated_exception_review</x:v>
      </x:c>
      <x:c r="R419" s="20" t="str">
        <x:v>https://hebrewsyntax.org/bbh2new/</x:v>
      </x:c>
    </x:row>
    <x:row r="420" ht="28" customHeight="1">
      <x:c r="A420" s="21" t="n">
        <x:v>416</x:v>
      </x:c>
      <x:c r="B420" s="21" t="n">
        <x:f>ROUNDUP(A420/20,0)</x:f>
        <x:v>21</x:v>
      </x:c>
      <x:c r="C420" s="21" t="n">
        <x:f>MOD(A420-1,20)+1</x:f>
        <x:v>16</x:v>
      </x:c>
      <x:c r="D420" s="18" t="str">
        <x:v>קָהָל</x:v>
      </x:c>
      <x:c r="E420" s="19" t="str">
        <x:v>qāhāl</x:v>
      </x:c>
      <x:c r="F420" s="16" t="str">
        <x:v>קהל</x:v>
      </x:c>
      <x:c r="G420" s="20" t="str">
        <x:v>assembly, community, crowd</x:v>
      </x:c>
      <x:c r="H420" s="20" t="str"/>
      <x:c r="I420" s="21" t="str">
        <x:v>BBH2 課序</x:v>
      </x:c>
      <x:c r="J420" s="21" t="n">
        <x:v>23</x:v>
      </x:c>
      <x:c r="K420" s="22" t="n">
        <x:v>123</x:v>
      </x:c>
      <x:c r="L420" s="21" t="str">
        <x:v>H6951</x:v>
      </x:c>
      <x:c r="M420" s="21" t="str">
        <x:v>noun</x:v>
      </x:c>
      <x:c r="N420" s="21" t="str">
        <x:v>否</x:v>
      </x:c>
      <x:c r="O420" s="21" t="str"/>
      <x:c r="P420" s="21" t="str">
        <x:v>source_and_lexicon_matched</x:v>
      </x:c>
      <x:c r="Q420" s="21" t="str">
        <x:v>rule_generated_exception_review</x:v>
      </x:c>
      <x:c r="R420" s="20" t="str">
        <x:v>https://hebrewsyntax.org/bbh2new/</x:v>
      </x:c>
    </x:row>
    <x:row r="421" ht="28" customHeight="1">
      <x:c r="A421" s="21" t="n">
        <x:v>417</x:v>
      </x:c>
      <x:c r="B421" s="21" t="n">
        <x:f>ROUNDUP(A421/20,0)</x:f>
        <x:v>21</x:v>
      </x:c>
      <x:c r="C421" s="21" t="n">
        <x:f>MOD(A421-1,20)+1</x:f>
        <x:v>17</x:v>
      </x:c>
      <x:c r="D421" s="18" t="str">
        <x:v>רֶ֫כֶב</x:v>
      </x:c>
      <x:c r="E421" s="19" t="str">
        <x:v>reḵeḇ</x:v>
      </x:c>
      <x:c r="F421" s="16" t="str">
        <x:v>רכב</x:v>
      </x:c>
      <x:c r="G421" s="20" t="str">
        <x:v>chariot, upper millstone, (collective) chariots or chariot riders</x:v>
      </x:c>
      <x:c r="H421" s="20" t="str"/>
      <x:c r="I421" s="21" t="str">
        <x:v>BBH2 課序</x:v>
      </x:c>
      <x:c r="J421" s="21" t="n">
        <x:v>23</x:v>
      </x:c>
      <x:c r="K421" s="22" t="n">
        <x:v>120</x:v>
      </x:c>
      <x:c r="L421" s="21" t="str">
        <x:v>H7393</x:v>
      </x:c>
      <x:c r="M421" s="21" t="str">
        <x:v>noun</x:v>
      </x:c>
      <x:c r="N421" s="21" t="str">
        <x:v>否</x:v>
      </x:c>
      <x:c r="O421" s="21" t="str"/>
      <x:c r="P421" s="21" t="str">
        <x:v>source_and_lexicon_matched</x:v>
      </x:c>
      <x:c r="Q421" s="21" t="str">
        <x:v>rule_generated_exception_review</x:v>
      </x:c>
      <x:c r="R421" s="20" t="str">
        <x:v>https://hebrewsyntax.org/bbh2new/</x:v>
      </x:c>
    </x:row>
    <x:row r="422" ht="28" customHeight="1">
      <x:c r="A422" s="21" t="n">
        <x:v>418</x:v>
      </x:c>
      <x:c r="B422" s="21" t="n">
        <x:f>ROUNDUP(A422/20,0)</x:f>
        <x:v>21</x:v>
      </x:c>
      <x:c r="C422" s="21" t="n">
        <x:f>MOD(A422-1,20)+1</x:f>
        <x:v>18</x:v>
      </x:c>
      <x:c r="D422" s="18" t="str">
        <x:v>לָשׁוֹן</x:v>
      </x:c>
      <x:c r="E422" s="19" t="str">
        <x:v>lāšôn</x:v>
      </x:c>
      <x:c r="F422" s="16" t="str">
        <x:v>לשון</x:v>
      </x:c>
      <x:c r="G422" s="20" t="str">
        <x:v>tongue, language</x:v>
      </x:c>
      <x:c r="H422" s="20" t="str"/>
      <x:c r="I422" s="21" t="str">
        <x:v>BBH2 課序</x:v>
      </x:c>
      <x:c r="J422" s="21" t="n">
        <x:v>23</x:v>
      </x:c>
      <x:c r="K422" s="22" t="n">
        <x:v>117</x:v>
      </x:c>
      <x:c r="L422" s="21" t="str">
        <x:v>H3956</x:v>
      </x:c>
      <x:c r="M422" s="21" t="str">
        <x:v>noun</x:v>
      </x:c>
      <x:c r="N422" s="21" t="str">
        <x:v>否</x:v>
      </x:c>
      <x:c r="O422" s="21" t="str"/>
      <x:c r="P422" s="21" t="str">
        <x:v>source_and_lexicon_matched</x:v>
      </x:c>
      <x:c r="Q422" s="21" t="str">
        <x:v>rule_generated_exception_review</x:v>
      </x:c>
      <x:c r="R422" s="20" t="str">
        <x:v>https://hebrewsyntax.org/bbh2new/</x:v>
      </x:c>
    </x:row>
    <x:row r="423" ht="28" customHeight="1">
      <x:c r="A423" s="21" t="n">
        <x:v>419</x:v>
      </x:c>
      <x:c r="B423" s="21" t="n">
        <x:f>ROUNDUP(A423/20,0)</x:f>
        <x:v>21</x:v>
      </x:c>
      <x:c r="C423" s="21" t="n">
        <x:f>MOD(A423-1,20)+1</x:f>
        <x:v>19</x:v>
      </x:c>
      <x:c r="D423" s="18" t="str">
        <x:v>תּוֹעֵבָה</x:v>
      </x:c>
      <x:c r="E423" s="19" t="str">
        <x:v>tôʿēḇâ</x:v>
      </x:c>
      <x:c r="F423" s="16" t="str">
        <x:v>תועבה</x:v>
      </x:c>
      <x:c r="G423" s="20" t="str">
        <x:v>abomination, abhorrence, offensive thing</x:v>
      </x:c>
      <x:c r="H423" s="20" t="str"/>
      <x:c r="I423" s="21" t="str">
        <x:v>BBH2 課序</x:v>
      </x:c>
      <x:c r="J423" s="21" t="n">
        <x:v>23</x:v>
      </x:c>
      <x:c r="K423" s="22" t="n">
        <x:v>118</x:v>
      </x:c>
      <x:c r="L423" s="21" t="str">
        <x:v>H8441</x:v>
      </x:c>
      <x:c r="M423" s="21" t="str">
        <x:v>noun</x:v>
      </x:c>
      <x:c r="N423" s="21" t="str">
        <x:v>否</x:v>
      </x:c>
      <x:c r="O423" s="21" t="str"/>
      <x:c r="P423" s="21" t="str">
        <x:v>source_and_lexicon_matched</x:v>
      </x:c>
      <x:c r="Q423" s="21" t="str">
        <x:v>rule_generated_exception_review</x:v>
      </x:c>
      <x:c r="R423" s="20" t="str">
        <x:v>https://hebrewsyntax.org/bbh2new/</x:v>
      </x:c>
    </x:row>
    <x:row r="424" ht="28" customHeight="1">
      <x:c r="A424" s="21" t="n">
        <x:v>420</x:v>
      </x:c>
      <x:c r="B424" s="21" t="n">
        <x:f>ROUNDUP(A424/20,0)</x:f>
        <x:v>21</x:v>
      </x:c>
      <x:c r="C424" s="21" t="n">
        <x:f>MOD(A424-1,20)+1</x:f>
        <x:v>20</x:v>
      </x:c>
      <x:c r="D424" s="18" t="str">
        <x:v>אָמַן</x:v>
      </x:c>
      <x:c r="E424" s="19" t="str">
        <x:v>ʾāman</x:v>
      </x:c>
      <x:c r="F424" s="16" t="str">
        <x:v>אמן</x:v>
      </x:c>
      <x:c r="G424" s="20" t="str">
        <x:v>(N) to be reliable, be faithful, be trustworthy</x:v>
      </x:c>
      <x:c r="H424" s="20" t="str"/>
      <x:c r="I424" s="21" t="str">
        <x:v>BBH2 課序</x:v>
      </x:c>
      <x:c r="J424" s="21" t="n">
        <x:v>24</x:v>
      </x:c>
      <x:c r="K424" s="22" t="n">
        <x:v>108</x:v>
      </x:c>
      <x:c r="L424" s="21" t="str">
        <x:v>H539</x:v>
      </x:c>
      <x:c r="M424" s="21" t="str">
        <x:v>verb</x:v>
      </x:c>
      <x:c r="N424" s="21" t="str">
        <x:v>否</x:v>
      </x:c>
      <x:c r="O424" s="21" t="str"/>
      <x:c r="P424" s="21" t="str">
        <x:v>source_and_lexicon_matched</x:v>
      </x:c>
      <x:c r="Q424" s="21" t="str">
        <x:v>rule_generated_exception_review</x:v>
      </x:c>
      <x:c r="R424" s="20" t="str">
        <x:v>https://hebrewsyntax.org/bbh2new/</x:v>
      </x:c>
    </x:row>
    <x:row r="425" ht="28" customHeight="1">
      <x:c r="A425" s="21" t="n">
        <x:v>421</x:v>
      </x:c>
      <x:c r="B425" s="21" t="n">
        <x:f>ROUNDUP(A425/20,0)</x:f>
        <x:v>22</x:v>
      </x:c>
      <x:c r="C425" s="21" t="n">
        <x:f>MOD(A425-1,20)+1</x:f>
        <x:v>1</x:v>
      </x:c>
      <x:c r="D425" s="18" t="str">
        <x:v>יָשַׁע</x:v>
      </x:c>
      <x:c r="E425" s="19" t="str">
        <x:v>yāšaʿ</x:v>
      </x:c>
      <x:c r="F425" s="16" t="str">
        <x:v>ישע</x:v>
      </x:c>
      <x:c r="G425" s="20" t="str">
        <x:v>(N) to be delivered, be victorious, receive help</x:v>
      </x:c>
      <x:c r="H425" s="20" t="str"/>
      <x:c r="I425" s="21" t="str">
        <x:v>BBH2 課序</x:v>
      </x:c>
      <x:c r="J425" s="21" t="n">
        <x:v>24</x:v>
      </x:c>
      <x:c r="K425" s="22" t="n">
        <x:v>206</x:v>
      </x:c>
      <x:c r="L425" s="21" t="str">
        <x:v>H3467</x:v>
      </x:c>
      <x:c r="M425" s="21" t="str">
        <x:v>verb</x:v>
      </x:c>
      <x:c r="N425" s="21" t="str">
        <x:v>否</x:v>
      </x:c>
      <x:c r="O425" s="21" t="str"/>
      <x:c r="P425" s="21" t="str">
        <x:v>source_and_lexicon_matched</x:v>
      </x:c>
      <x:c r="Q425" s="21" t="str">
        <x:v>rule_generated_exception_review</x:v>
      </x:c>
      <x:c r="R425" s="20" t="str">
        <x:v>https://hebrewsyntax.org/bbh2new/</x:v>
      </x:c>
    </x:row>
    <x:row r="426" ht="28" customHeight="1">
      <x:c r="A426" s="21" t="n">
        <x:v>422</x:v>
      </x:c>
      <x:c r="B426" s="21" t="n">
        <x:f>ROUNDUP(A426/20,0)</x:f>
        <x:v>22</x:v>
      </x:c>
      <x:c r="C426" s="21" t="n">
        <x:f>MOD(A426-1,20)+1</x:f>
        <x:v>2</x:v>
      </x:c>
      <x:c r="D426" s="18" t="str">
        <x:v>יָתַר</x:v>
      </x:c>
      <x:c r="E426" s="19" t="str">
        <x:v>yāṯar</x:v>
      </x:c>
      <x:c r="F426" s="16" t="str">
        <x:v>יתר</x:v>
      </x:c>
      <x:c r="G426" s="20" t="str">
        <x:v>(N) to be left over, remain</x:v>
      </x:c>
      <x:c r="H426" s="20" t="str"/>
      <x:c r="I426" s="21" t="str">
        <x:v>BBH2 課序</x:v>
      </x:c>
      <x:c r="J426" s="21" t="n">
        <x:v>24</x:v>
      </x:c>
      <x:c r="K426" s="22" t="n">
        <x:v>107</x:v>
      </x:c>
      <x:c r="L426" s="21" t="str">
        <x:v>H3498</x:v>
      </x:c>
      <x:c r="M426" s="21" t="str">
        <x:v>verb</x:v>
      </x:c>
      <x:c r="N426" s="21" t="str">
        <x:v>否</x:v>
      </x:c>
      <x:c r="O426" s="21" t="str"/>
      <x:c r="P426" s="21" t="str">
        <x:v>source_and_lexicon_matched</x:v>
      </x:c>
      <x:c r="Q426" s="21" t="str">
        <x:v>rule_generated_exception_review</x:v>
      </x:c>
      <x:c r="R426" s="20" t="str">
        <x:v>https://hebrewsyntax.org/bbh2new/</x:v>
      </x:c>
    </x:row>
    <x:row r="427" ht="28" customHeight="1">
      <x:c r="A427" s="21" t="n">
        <x:v>423</x:v>
      </x:c>
      <x:c r="B427" s="21" t="n">
        <x:f>ROUNDUP(A427/20,0)</x:f>
        <x:v>22</x:v>
      </x:c>
      <x:c r="C427" s="21" t="n">
        <x:f>MOD(A427-1,20)+1</x:f>
        <x:v>3</x:v>
      </x:c>
      <x:c r="D427" s="18" t="str">
        <x:v>כּוּן</x:v>
      </x:c>
      <x:c r="E427" s="19" t="str">
        <x:v>kûn</x:v>
      </x:c>
      <x:c r="F427" s="16" t="str">
        <x:v>כון</x:v>
      </x:c>
      <x:c r="G427" s="20" t="str">
        <x:v>(N) to be established, be steadfast, be ready</x:v>
      </x:c>
      <x:c r="H427" s="20" t="str"/>
      <x:c r="I427" s="21" t="str">
        <x:v>BBH2 課序</x:v>
      </x:c>
      <x:c r="J427" s="21" t="n">
        <x:v>24</x:v>
      </x:c>
      <x:c r="K427" s="22" t="n">
        <x:v>219</x:v>
      </x:c>
      <x:c r="L427" s="21" t="str">
        <x:v>H3559</x:v>
      </x:c>
      <x:c r="M427" s="21" t="str">
        <x:v>verb</x:v>
      </x:c>
      <x:c r="N427" s="21" t="str">
        <x:v>否</x:v>
      </x:c>
      <x:c r="O427" s="21" t="str"/>
      <x:c r="P427" s="21" t="str">
        <x:v>source_and_lexicon_matched</x:v>
      </x:c>
      <x:c r="Q427" s="21" t="str">
        <x:v>rule_generated_exception_review</x:v>
      </x:c>
      <x:c r="R427" s="20" t="str">
        <x:v>https://hebrewsyntax.org/bbh2new/</x:v>
      </x:c>
    </x:row>
    <x:row r="428" ht="28" customHeight="1">
      <x:c r="A428" s="21" t="n">
        <x:v>424</x:v>
      </x:c>
      <x:c r="B428" s="21" t="n">
        <x:f>ROUNDUP(A428/20,0)</x:f>
        <x:v>22</x:v>
      </x:c>
      <x:c r="C428" s="21" t="n">
        <x:f>MOD(A428-1,20)+1</x:f>
        <x:v>4</x:v>
      </x:c>
      <x:c r="D428" s="18" t="str">
        <x:v>לָחַם</x:v>
      </x:c>
      <x:c r="E428" s="19" t="str">
        <x:v>lāḥam</x:v>
      </x:c>
      <x:c r="F428" s="16" t="str">
        <x:v>לחם</x:v>
      </x:c>
      <x:c r="G428" s="20" t="str">
        <x:v>(N) to fight, do battle with</x:v>
      </x:c>
      <x:c r="H428" s="20" t="str"/>
      <x:c r="I428" s="21" t="str">
        <x:v>BBH2 課序</x:v>
      </x:c>
      <x:c r="J428" s="21" t="n">
        <x:v>24</x:v>
      </x:c>
      <x:c r="K428" s="22" t="n">
        <x:v>177</x:v>
      </x:c>
      <x:c r="L428" s="21" t="str">
        <x:v>H3898</x:v>
      </x:c>
      <x:c r="M428" s="21" t="str">
        <x:v>verb</x:v>
      </x:c>
      <x:c r="N428" s="21" t="str">
        <x:v>否</x:v>
      </x:c>
      <x:c r="O428" s="21" t="str"/>
      <x:c r="P428" s="21" t="str">
        <x:v>source_and_lexicon_matched</x:v>
      </x:c>
      <x:c r="Q428" s="21" t="str">
        <x:v>rule_generated_exception_review</x:v>
      </x:c>
      <x:c r="R428" s="20" t="str">
        <x:v>https://hebrewsyntax.org/bbh2new/</x:v>
      </x:c>
    </x:row>
    <x:row r="429" ht="28" customHeight="1">
      <x:c r="A429" s="21" t="n">
        <x:v>425</x:v>
      </x:c>
      <x:c r="B429" s="21" t="n">
        <x:f>ROUNDUP(A429/20,0)</x:f>
        <x:v>22</x:v>
      </x:c>
      <x:c r="C429" s="21" t="n">
        <x:f>MOD(A429-1,20)+1</x:f>
        <x:v>5</x:v>
      </x:c>
      <x:c r="D429" s="18" t="str">
        <x:v>מָלַט</x:v>
      </x:c>
      <x:c r="E429" s="19" t="str">
        <x:v>mālaṭ</x:v>
      </x:c>
      <x:c r="F429" s="16" t="str">
        <x:v>מלט</x:v>
      </x:c>
      <x:c r="G429" s="20" t="str">
        <x:v>(N) to escape, flee to safety</x:v>
      </x:c>
      <x:c r="H429" s="20" t="str"/>
      <x:c r="I429" s="21" t="str">
        <x:v>BBH2 課序</x:v>
      </x:c>
      <x:c r="J429" s="21" t="n">
        <x:v>24</x:v>
      </x:c>
      <x:c r="K429" s="22" t="n">
        <x:v>95</x:v>
      </x:c>
      <x:c r="L429" s="21" t="str">
        <x:v>H4422</x:v>
      </x:c>
      <x:c r="M429" s="21" t="str">
        <x:v>verb</x:v>
      </x:c>
      <x:c r="N429" s="21" t="str">
        <x:v>否</x:v>
      </x:c>
      <x:c r="O429" s="21" t="str"/>
      <x:c r="P429" s="21" t="str">
        <x:v>source_and_lexicon_matched</x:v>
      </x:c>
      <x:c r="Q429" s="21" t="str">
        <x:v>rule_generated_exception_review</x:v>
      </x:c>
      <x:c r="R429" s="20" t="str">
        <x:v>https://hebrewsyntax.org/bbh2new/</x:v>
      </x:c>
    </x:row>
    <x:row r="430" ht="28" customHeight="1">
      <x:c r="A430" s="21" t="n">
        <x:v>426</x:v>
      </x:c>
      <x:c r="B430" s="21" t="n">
        <x:f>ROUNDUP(A430/20,0)</x:f>
        <x:v>22</x:v>
      </x:c>
      <x:c r="C430" s="21" t="n">
        <x:f>MOD(A430-1,20)+1</x:f>
        <x:v>6</x:v>
      </x:c>
      <x:c r="D430" s="18" t="str">
        <x:v>נָחַם</x:v>
      </x:c>
      <x:c r="E430" s="19" t="str">
        <x:v>nāḥam</x:v>
      </x:c>
      <x:c r="F430" s="16" t="str">
        <x:v>נחם</x:v>
      </x:c>
      <x:c r="G430" s="20" t="str">
        <x:v>(N) to be sorry, regret, have compassion</x:v>
      </x:c>
      <x:c r="H430" s="20" t="str"/>
      <x:c r="I430" s="21" t="str">
        <x:v>BBH2 課序</x:v>
      </x:c>
      <x:c r="J430" s="21" t="n">
        <x:v>24</x:v>
      </x:c>
      <x:c r="K430" s="22" t="n">
        <x:v>108</x:v>
      </x:c>
      <x:c r="L430" s="21" t="str">
        <x:v>H5162</x:v>
      </x:c>
      <x:c r="M430" s="21" t="str">
        <x:v>verb</x:v>
      </x:c>
      <x:c r="N430" s="21" t="str">
        <x:v>否</x:v>
      </x:c>
      <x:c r="O430" s="21" t="str"/>
      <x:c r="P430" s="21" t="str">
        <x:v>source_and_lexicon_matched</x:v>
      </x:c>
      <x:c r="Q430" s="21" t="str">
        <x:v>rule_generated_exception_review</x:v>
      </x:c>
      <x:c r="R430" s="20" t="str">
        <x:v>https://hebrewsyntax.org/bbh2new/</x:v>
      </x:c>
    </x:row>
    <x:row r="431" ht="28" customHeight="1">
      <x:c r="A431" s="21" t="n">
        <x:v>427</x:v>
      </x:c>
      <x:c r="B431" s="21" t="n">
        <x:f>ROUNDUP(A431/20,0)</x:f>
        <x:v>22</x:v>
      </x:c>
      <x:c r="C431" s="21" t="n">
        <x:f>MOD(A431-1,20)+1</x:f>
        <x:v>7</x:v>
      </x:c>
      <x:c r="D431" s="18" t="str">
        <x:v>נָכָה</x:v>
      </x:c>
      <x:c r="E431" s="19" t="str">
        <x:v>nāḵâ</x:v>
      </x:c>
      <x:c r="F431" s="16" t="str">
        <x:v>נכה</x:v>
      </x:c>
      <x:c r="G431" s="20" t="str">
        <x:v>(H) to strike, smite, beat, strike dead, destroy, injure</x:v>
      </x:c>
      <x:c r="H431" s="20" t="str"/>
      <x:c r="I431" s="21" t="str">
        <x:v>BBH2 課序</x:v>
      </x:c>
      <x:c r="J431" s="21" t="n">
        <x:v>24</x:v>
      </x:c>
      <x:c r="K431" s="22" t="n">
        <x:v>502</x:v>
      </x:c>
      <x:c r="L431" s="21" t="str">
        <x:v>H5221</x:v>
      </x:c>
      <x:c r="M431" s="21" t="str">
        <x:v>verb</x:v>
      </x:c>
      <x:c r="N431" s="21" t="str">
        <x:v>否</x:v>
      </x:c>
      <x:c r="O431" s="21" t="str"/>
      <x:c r="P431" s="21" t="str">
        <x:v>source_and_lexicon_matched</x:v>
      </x:c>
      <x:c r="Q431" s="21" t="str">
        <x:v>rule_generated_exception_review</x:v>
      </x:c>
      <x:c r="R431" s="20" t="str">
        <x:v>https://hebrewsyntax.org/bbh2new/</x:v>
      </x:c>
    </x:row>
    <x:row r="432" ht="28" customHeight="1">
      <x:c r="A432" s="21" t="n">
        <x:v>428</x:v>
      </x:c>
      <x:c r="B432" s="21" t="n">
        <x:f>ROUNDUP(A432/20,0)</x:f>
        <x:v>22</x:v>
      </x:c>
      <x:c r="C432" s="21" t="n">
        <x:f>MOD(A432-1,20)+1</x:f>
        <x:v>8</x:v>
      </x:c>
      <x:c r="D432" s="18" t="str">
        <x:v>נָצַב</x:v>
      </x:c>
      <x:c r="E432" s="19" t="str">
        <x:v>nāṣaḇ</x:v>
      </x:c>
      <x:c r="F432" s="16" t="str">
        <x:v>נצב</x:v>
      </x:c>
      <x:c r="G432" s="20" t="str">
        <x:v>(N) to stand (firm), take one’s stand</x:v>
      </x:c>
      <x:c r="H432" s="20" t="str"/>
      <x:c r="I432" s="21" t="str">
        <x:v>BBH2 課序</x:v>
      </x:c>
      <x:c r="J432" s="21" t="n">
        <x:v>24</x:v>
      </x:c>
      <x:c r="K432" s="22" t="n">
        <x:v>75</x:v>
      </x:c>
      <x:c r="L432" s="21" t="str">
        <x:v>H5324</x:v>
      </x:c>
      <x:c r="M432" s="21" t="str">
        <x:v>verb</x:v>
      </x:c>
      <x:c r="N432" s="21" t="str">
        <x:v>否</x:v>
      </x:c>
      <x:c r="O432" s="21" t="str"/>
      <x:c r="P432" s="21" t="str">
        <x:v>source_and_lexicon_matched</x:v>
      </x:c>
      <x:c r="Q432" s="21" t="str">
        <x:v>rule_generated_exception_review</x:v>
      </x:c>
      <x:c r="R432" s="20" t="str">
        <x:v>https://hebrewsyntax.org/bbh2new/</x:v>
      </x:c>
    </x:row>
    <x:row r="433" ht="28" customHeight="1">
      <x:c r="A433" s="21" t="n">
        <x:v>429</x:v>
      </x:c>
      <x:c r="B433" s="21" t="n">
        <x:f>ROUNDUP(A433/20,0)</x:f>
        <x:v>22</x:v>
      </x:c>
      <x:c r="C433" s="21" t="n">
        <x:f>MOD(A433-1,20)+1</x:f>
        <x:v>9</x:v>
      </x:c>
      <x:c r="D433" s="18" t="str">
        <x:v>נָצַל</x:v>
      </x:c>
      <x:c r="E433" s="19" t="str">
        <x:v>nāṣal</x:v>
      </x:c>
      <x:c r="F433" s="16" t="str">
        <x:v>נצל</x:v>
      </x:c>
      <x:c r="G433" s="20" t="str">
        <x:v>(N) to be rescued, be delivered</x:v>
      </x:c>
      <x:c r="H433" s="20" t="str"/>
      <x:c r="I433" s="21" t="str">
        <x:v>BBH2 課序</x:v>
      </x:c>
      <x:c r="J433" s="21" t="n">
        <x:v>24</x:v>
      </x:c>
      <x:c r="K433" s="22" t="n">
        <x:v>213</x:v>
      </x:c>
      <x:c r="L433" s="21" t="str">
        <x:v>H5337</x:v>
      </x:c>
      <x:c r="M433" s="21" t="str">
        <x:v>verb</x:v>
      </x:c>
      <x:c r="N433" s="21" t="str">
        <x:v>否</x:v>
      </x:c>
      <x:c r="O433" s="21" t="str"/>
      <x:c r="P433" s="21" t="str">
        <x:v>source_and_lexicon_matched</x:v>
      </x:c>
      <x:c r="Q433" s="21" t="str">
        <x:v>rule_generated_exception_review</x:v>
      </x:c>
      <x:c r="R433" s="20" t="str">
        <x:v>https://hebrewsyntax.org/bbh2new/</x:v>
      </x:c>
    </x:row>
    <x:row r="434" ht="28" customHeight="1">
      <x:c r="A434" s="21" t="n">
        <x:v>430</x:v>
      </x:c>
      <x:c r="B434" s="21" t="n">
        <x:f>ROUNDUP(A434/20,0)</x:f>
        <x:v>22</x:v>
      </x:c>
      <x:c r="C434" s="21" t="n">
        <x:f>MOD(A434-1,20)+1</x:f>
        <x:v>10</x:v>
      </x:c>
      <x:c r="D434" s="18" t="str">
        <x:v>סָתַר</x:v>
      </x:c>
      <x:c r="E434" s="19" t="str">
        <x:v>sāṯar</x:v>
      </x:c>
      <x:c r="F434" s="16" t="str">
        <x:v>סתר</x:v>
      </x:c>
      <x:c r="G434" s="20" t="str">
        <x:v>(N) to be hidden, hide oneself</x:v>
      </x:c>
      <x:c r="H434" s="20" t="str"/>
      <x:c r="I434" s="21" t="str">
        <x:v>BBH2 課序</x:v>
      </x:c>
      <x:c r="J434" s="21" t="n">
        <x:v>24</x:v>
      </x:c>
      <x:c r="K434" s="22" t="n">
        <x:v>82</x:v>
      </x:c>
      <x:c r="L434" s="21" t="str">
        <x:v>H5641</x:v>
      </x:c>
      <x:c r="M434" s="21" t="str">
        <x:v>verb</x:v>
      </x:c>
      <x:c r="N434" s="21" t="str">
        <x:v>否</x:v>
      </x:c>
      <x:c r="O434" s="21" t="str"/>
      <x:c r="P434" s="21" t="str">
        <x:v>source_and_lexicon_matched</x:v>
      </x:c>
      <x:c r="Q434" s="21" t="str">
        <x:v>rule_generated_exception_review</x:v>
      </x:c>
      <x:c r="R434" s="20" t="str">
        <x:v>https://hebrewsyntax.org/bbh2new/</x:v>
      </x:c>
    </x:row>
    <x:row r="435" ht="28" customHeight="1">
      <x:c r="A435" s="21" t="n">
        <x:v>431</x:v>
      </x:c>
      <x:c r="B435" s="21" t="n">
        <x:f>ROUNDUP(A435/20,0)</x:f>
        <x:v>22</x:v>
      </x:c>
      <x:c r="C435" s="21" t="n">
        <x:f>MOD(A435-1,20)+1</x:f>
        <x:v>11</x:v>
      </x:c>
      <x:c r="D435" s="18" t="str">
        <x:v>פָּלָא</x:v>
      </x:c>
      <x:c r="E435" s="19" t="str">
        <x:v>pālāʾ</x:v>
      </x:c>
      <x:c r="F435" s="16" t="str">
        <x:v>פלא</x:v>
      </x:c>
      <x:c r="G435" s="20" t="str">
        <x:v>(N) to be extraordinary, be wonderful, be too difficult</x:v>
      </x:c>
      <x:c r="H435" s="20" t="str"/>
      <x:c r="I435" s="21" t="str">
        <x:v>BBH2 課序</x:v>
      </x:c>
      <x:c r="J435" s="21" t="n">
        <x:v>24</x:v>
      </x:c>
      <x:c r="K435" s="22" t="n">
        <x:v>71</x:v>
      </x:c>
      <x:c r="L435" s="21" t="str">
        <x:v>H6381</x:v>
      </x:c>
      <x:c r="M435" s="21" t="str">
        <x:v>verb</x:v>
      </x:c>
      <x:c r="N435" s="21" t="str">
        <x:v>否</x:v>
      </x:c>
      <x:c r="O435" s="21" t="str"/>
      <x:c r="P435" s="21" t="str">
        <x:v>source_and_lexicon_matched</x:v>
      </x:c>
      <x:c r="Q435" s="21" t="str">
        <x:v>rule_generated_exception_review</x:v>
      </x:c>
      <x:c r="R435" s="20" t="str">
        <x:v>https://hebrewsyntax.org/bbh2new/</x:v>
      </x:c>
    </x:row>
    <x:row r="436" ht="28" customHeight="1">
      <x:c r="A436" s="21" t="n">
        <x:v>432</x:v>
      </x:c>
      <x:c r="B436" s="21" t="n">
        <x:f>ROUNDUP(A436/20,0)</x:f>
        <x:v>22</x:v>
      </x:c>
      <x:c r="C436" s="21" t="n">
        <x:f>MOD(A436-1,20)+1</x:f>
        <x:v>12</x:v>
      </x:c>
      <x:c r="D436" s="18" t="str">
        <x:v>רוּץ</x:v>
      </x:c>
      <x:c r="E436" s="19" t="str">
        <x:v>rûṣ</x:v>
      </x:c>
      <x:c r="F436" s="16" t="str">
        <x:v>רוץ</x:v>
      </x:c>
      <x:c r="G436" s="20" t="str">
        <x:v>to run</x:v>
      </x:c>
      <x:c r="H436" s="20" t="str"/>
      <x:c r="I436" s="21" t="str">
        <x:v>BBH2 課序</x:v>
      </x:c>
      <x:c r="J436" s="21" t="n">
        <x:v>24</x:v>
      </x:c>
      <x:c r="K436" s="22" t="n">
        <x:v>104</x:v>
      </x:c>
      <x:c r="L436" s="21" t="str">
        <x:v>H7323</x:v>
      </x:c>
      <x:c r="M436" s="21" t="str">
        <x:v>verb</x:v>
      </x:c>
      <x:c r="N436" s="21" t="str">
        <x:v>否</x:v>
      </x:c>
      <x:c r="O436" s="21" t="str"/>
      <x:c r="P436" s="21" t="str">
        <x:v>source_and_lexicon_matched</x:v>
      </x:c>
      <x:c r="Q436" s="21" t="str">
        <x:v>rule_generated_exception_review</x:v>
      </x:c>
      <x:c r="R436" s="20" t="str">
        <x:v>https://hebrewsyntax.org/bbh2new/</x:v>
      </x:c>
    </x:row>
    <x:row r="437" ht="28" customHeight="1">
      <x:c r="A437" s="21" t="n">
        <x:v>433</x:v>
      </x:c>
      <x:c r="B437" s="21" t="n">
        <x:f>ROUNDUP(A437/20,0)</x:f>
        <x:v>22</x:v>
      </x:c>
      <x:c r="C437" s="21" t="n">
        <x:f>MOD(A437-1,20)+1</x:f>
        <x:v>13</x:v>
      </x:c>
      <x:c r="D437" s="18" t="str">
        <x:v>שָׁחַת</x:v>
      </x:c>
      <x:c r="E437" s="19" t="str">
        <x:v>šāḥaṯ</x:v>
      </x:c>
      <x:c r="F437" s="16" t="str">
        <x:v>שחת</x:v>
      </x:c>
      <x:c r="G437" s="20" t="str">
        <x:v>(D, H) to ruin, destroy, spoil, annihilate</x:v>
      </x:c>
      <x:c r="H437" s="20" t="str"/>
      <x:c r="I437" s="21" t="str">
        <x:v>BBH2 課序</x:v>
      </x:c>
      <x:c r="J437" s="21" t="n">
        <x:v>24</x:v>
      </x:c>
      <x:c r="K437" s="22" t="n">
        <x:v>147</x:v>
      </x:c>
      <x:c r="L437" s="21" t="str">
        <x:v>H7843</x:v>
      </x:c>
      <x:c r="M437" s="21" t="str">
        <x:v>verb</x:v>
      </x:c>
      <x:c r="N437" s="21" t="str">
        <x:v>否</x:v>
      </x:c>
      <x:c r="O437" s="21" t="str"/>
      <x:c r="P437" s="21" t="str">
        <x:v>source_and_lexicon_matched</x:v>
      </x:c>
      <x:c r="Q437" s="21" t="str">
        <x:v>rule_generated_exception_review</x:v>
      </x:c>
      <x:c r="R437" s="20" t="str">
        <x:v>https://hebrewsyntax.org/bbh2new/</x:v>
      </x:c>
    </x:row>
    <x:row r="438" ht="28" customHeight="1">
      <x:c r="A438" s="21" t="n">
        <x:v>434</x:v>
      </x:c>
      <x:c r="B438" s="21" t="n">
        <x:f>ROUNDUP(A438/20,0)</x:f>
        <x:v>22</x:v>
      </x:c>
      <x:c r="C438" s="21" t="n">
        <x:f>MOD(A438-1,20)+1</x:f>
        <x:v>14</x:v>
      </x:c>
      <x:c r="D438" s="18" t="str">
        <x:v>שָׁמַד</x:v>
      </x:c>
      <x:c r="E438" s="19" t="str">
        <x:v>šāmaḏ</x:v>
      </x:c>
      <x:c r="F438" s="16" t="str">
        <x:v>שמד</x:v>
      </x:c>
      <x:c r="G438" s="20" t="str">
        <x:v>(N) to be exterminated, be destroyed, be annihilated</x:v>
      </x:c>
      <x:c r="H438" s="20" t="str"/>
      <x:c r="I438" s="21" t="str">
        <x:v>BBH2 課序</x:v>
      </x:c>
      <x:c r="J438" s="21" t="n">
        <x:v>24</x:v>
      </x:c>
      <x:c r="K438" s="22" t="n">
        <x:v>90</x:v>
      </x:c>
      <x:c r="L438" s="21" t="str">
        <x:v>H8045</x:v>
      </x:c>
      <x:c r="M438" s="21" t="str">
        <x:v>verb</x:v>
      </x:c>
      <x:c r="N438" s="21" t="str">
        <x:v>否</x:v>
      </x:c>
      <x:c r="O438" s="21" t="str"/>
      <x:c r="P438" s="21" t="str">
        <x:v>source_and_lexicon_matched</x:v>
      </x:c>
      <x:c r="Q438" s="21" t="str">
        <x:v>rule_generated_exception_review</x:v>
      </x:c>
      <x:c r="R438" s="20" t="str">
        <x:v>https://hebrewsyntax.org/bbh2new/</x:v>
      </x:c>
    </x:row>
    <x:row r="439" ht="28" customHeight="1">
      <x:c r="A439" s="21" t="n">
        <x:v>435</x:v>
      </x:c>
      <x:c r="B439" s="21" t="n">
        <x:f>ROUNDUP(A439/20,0)</x:f>
        <x:v>22</x:v>
      </x:c>
      <x:c r="C439" s="21" t="n">
        <x:f>MOD(A439-1,20)+1</x:f>
        <x:v>15</x:v>
      </x:c>
      <x:c r="D439" s="18" t="str">
        <x:v>הָפַךְ</x:v>
      </x:c>
      <x:c r="E439" s="19" t="str">
        <x:v>hāp̄aḵ</x:v>
      </x:c>
      <x:c r="F439" s="16" t="str">
        <x:v>הפך</x:v>
      </x:c>
      <x:c r="G439" s="20" t="str">
        <x:v>to turn, overturn, overthrow, destroy</x:v>
      </x:c>
      <x:c r="H439" s="20" t="str"/>
      <x:c r="I439" s="21" t="str">
        <x:v>BBH2 課序</x:v>
      </x:c>
      <x:c r="J439" s="21" t="n">
        <x:v>25</x:v>
      </x:c>
      <x:c r="K439" s="22" t="n">
        <x:v>94</x:v>
      </x:c>
      <x:c r="L439" s="21" t="str">
        <x:v>H2015</x:v>
      </x:c>
      <x:c r="M439" s="21" t="str">
        <x:v>verb</x:v>
      </x:c>
      <x:c r="N439" s="21" t="str">
        <x:v>否</x:v>
      </x:c>
      <x:c r="O439" s="21" t="str"/>
      <x:c r="P439" s="21" t="str">
        <x:v>source_and_lexicon_matched</x:v>
      </x:c>
      <x:c r="Q439" s="21" t="str">
        <x:v>rule_generated_exception_review</x:v>
      </x:c>
      <x:c r="R439" s="20" t="str">
        <x:v>https://hebrewsyntax.org/bbh2new/</x:v>
      </x:c>
    </x:row>
    <x:row r="440" ht="28" customHeight="1">
      <x:c r="A440" s="21" t="n">
        <x:v>436</x:v>
      </x:c>
      <x:c r="B440" s="21" t="n">
        <x:f>ROUNDUP(A440/20,0)</x:f>
        <x:v>22</x:v>
      </x:c>
      <x:c r="C440" s="21" t="n">
        <x:f>MOD(A440-1,20)+1</x:f>
        <x:v>16</x:v>
      </x:c>
      <x:c r="D440" s="18" t="str">
        <x:v>זָנָה</x:v>
      </x:c>
      <x:c r="E440" s="19" t="str">
        <x:v>zānâ</x:v>
      </x:c>
      <x:c r="F440" s="16" t="str">
        <x:v>זנה</x:v>
      </x:c>
      <x:c r="G440" s="20" t="str">
        <x:v>to commit fornication, be a harlot (prostitute), be unfaithful</x:v>
      </x:c>
      <x:c r="H440" s="20" t="str"/>
      <x:c r="I440" s="21" t="str">
        <x:v>BBH2 課序</x:v>
      </x:c>
      <x:c r="J440" s="21" t="n">
        <x:v>25</x:v>
      </x:c>
      <x:c r="K440" s="22" t="n">
        <x:v>93</x:v>
      </x:c>
      <x:c r="L440" s="21" t="str">
        <x:v>H2181</x:v>
      </x:c>
      <x:c r="M440" s="21" t="str">
        <x:v>verb</x:v>
      </x:c>
      <x:c r="N440" s="21" t="str">
        <x:v>否</x:v>
      </x:c>
      <x:c r="O440" s="21" t="str"/>
      <x:c r="P440" s="21" t="str">
        <x:v>source_and_lexicon_matched</x:v>
      </x:c>
      <x:c r="Q440" s="21" t="str">
        <x:v>rule_generated_exception_review</x:v>
      </x:c>
      <x:c r="R440" s="20" t="str">
        <x:v>https://hebrewsyntax.org/bbh2new/</x:v>
      </x:c>
    </x:row>
    <x:row r="441" ht="28" customHeight="1">
      <x:c r="A441" s="21" t="n">
        <x:v>437</x:v>
      </x:c>
      <x:c r="B441" s="21" t="n">
        <x:f>ROUNDUP(A441/20,0)</x:f>
        <x:v>22</x:v>
      </x:c>
      <x:c r="C441" s="21" t="n">
        <x:f>MOD(A441-1,20)+1</x:f>
        <x:v>17</x:v>
      </x:c>
      <x:c r="D441" s="18" t="str">
        <x:v>חָרָה</x:v>
      </x:c>
      <x:c r="E441" s="19" t="str">
        <x:v>ḥārâ</x:v>
      </x:c>
      <x:c r="F441" s="16" t="str">
        <x:v>חרה</x:v>
      </x:c>
      <x:c r="G441" s="20" t="str">
        <x:v>to be(come) hot, burn with anger, become angry</x:v>
      </x:c>
      <x:c r="H441" s="20" t="str"/>
      <x:c r="I441" s="21" t="str">
        <x:v>BBH2 課序</x:v>
      </x:c>
      <x:c r="J441" s="21" t="n">
        <x:v>25</x:v>
      </x:c>
      <x:c r="K441" s="22" t="n">
        <x:v>90</x:v>
      </x:c>
      <x:c r="L441" s="21" t="str">
        <x:v>H2734</x:v>
      </x:c>
      <x:c r="M441" s="21" t="str">
        <x:v>verb</x:v>
      </x:c>
      <x:c r="N441" s="21" t="str">
        <x:v>否</x:v>
      </x:c>
      <x:c r="O441" s="21" t="str"/>
      <x:c r="P441" s="21" t="str">
        <x:v>source_and_lexicon_matched</x:v>
      </x:c>
      <x:c r="Q441" s="21" t="str">
        <x:v>rule_generated_exception_review</x:v>
      </x:c>
      <x:c r="R441" s="20" t="str">
        <x:v>https://hebrewsyntax.org/bbh2new/</x:v>
      </x:c>
    </x:row>
    <x:row r="442" ht="28" customHeight="1">
      <x:c r="A442" s="21" t="n">
        <x:v>438</x:v>
      </x:c>
      <x:c r="B442" s="21" t="n">
        <x:f>ROUNDUP(A442/20,0)</x:f>
        <x:v>22</x:v>
      </x:c>
      <x:c r="C442" s="21" t="n">
        <x:f>MOD(A442-1,20)+1</x:f>
        <x:v>18</x:v>
      </x:c>
      <x:c r="D442" s="18" t="str">
        <x:v>רָעַע</x:v>
      </x:c>
      <x:c r="E442" s="19" t="str">
        <x:v>rāʿaʿ</x:v>
      </x:c>
      <x:c r="F442" s="16" t="str">
        <x:v>רעע</x:v>
      </x:c>
      <x:c r="G442" s="20" t="str">
        <x:v>to be bad, be evil, be displeasing</x:v>
      </x:c>
      <x:c r="H442" s="20" t="str"/>
      <x:c r="I442" s="21" t="str">
        <x:v>BBH2 課序</x:v>
      </x:c>
      <x:c r="J442" s="21" t="n">
        <x:v>25</x:v>
      </x:c>
      <x:c r="K442" s="22" t="n">
        <x:v>102</x:v>
      </x:c>
      <x:c r="L442" s="21" t="str">
        <x:v>H7489</x:v>
      </x:c>
      <x:c r="M442" s="21" t="str">
        <x:v>verb</x:v>
      </x:c>
      <x:c r="N442" s="21" t="str">
        <x:v>否</x:v>
      </x:c>
      <x:c r="O442" s="21" t="str"/>
      <x:c r="P442" s="21" t="str">
        <x:v>source_and_lexicon_matched</x:v>
      </x:c>
      <x:c r="Q442" s="21" t="str">
        <x:v>rule_generated_exception_review</x:v>
      </x:c>
      <x:c r="R442" s="20" t="str">
        <x:v>https://hebrewsyntax.org/bbh2new/</x:v>
      </x:c>
    </x:row>
    <x:row r="443" ht="28" customHeight="1">
      <x:c r="A443" s="21" t="n">
        <x:v>439</x:v>
      </x:c>
      <x:c r="B443" s="21" t="n">
        <x:f>ROUNDUP(A443/20,0)</x:f>
        <x:v>22</x:v>
      </x:c>
      <x:c r="C443" s="21" t="n">
        <x:f>MOD(A443-1,20)+1</x:f>
        <x:v>19</x:v>
      </x:c>
      <x:c r="D443" s="18" t="str">
        <x:v>שָׂבַע</x:v>
      </x:c>
      <x:c r="E443" s="19" t="str">
        <x:v>śāḇaʿ</x:v>
      </x:c>
      <x:c r="F443" s="16" t="str">
        <x:v>שבע</x:v>
      </x:c>
      <x:c r="G443" s="20" t="str">
        <x:v>to satisfy, be satiated, eat or drink one’s fill</x:v>
      </x:c>
      <x:c r="H443" s="20" t="str"/>
      <x:c r="I443" s="21" t="str">
        <x:v>BBH2 課序</x:v>
      </x:c>
      <x:c r="J443" s="21" t="n">
        <x:v>25</x:v>
      </x:c>
      <x:c r="K443" s="22" t="n">
        <x:v>97</x:v>
      </x:c>
      <x:c r="L443" s="21" t="str">
        <x:v>H7646</x:v>
      </x:c>
      <x:c r="M443" s="21" t="str">
        <x:v>verb</x:v>
      </x:c>
      <x:c r="N443" s="21" t="str">
        <x:v>否</x:v>
      </x:c>
      <x:c r="O443" s="21" t="str"/>
      <x:c r="P443" s="21" t="str">
        <x:v>source_and_lexicon_matched</x:v>
      </x:c>
      <x:c r="Q443" s="21" t="str">
        <x:v>rule_generated_exception_review</x:v>
      </x:c>
      <x:c r="R443" s="20" t="str">
        <x:v>https://hebrewsyntax.org/bbh2new/</x:v>
      </x:c>
    </x:row>
    <x:row r="444" ht="28" customHeight="1">
      <x:c r="A444" s="21" t="n">
        <x:v>440</x:v>
      </x:c>
      <x:c r="B444" s="21" t="n">
        <x:f>ROUNDUP(A444/20,0)</x:f>
        <x:v>22</x:v>
      </x:c>
      <x:c r="C444" s="21" t="n">
        <x:f>MOD(A444-1,20)+1</x:f>
        <x:v>20</x:v>
      </x:c>
      <x:c r="D444" s="18" t="str">
        <x:v>שָׁכַח</x:v>
      </x:c>
      <x:c r="E444" s="19" t="str">
        <x:v>šāḵaḥ</x:v>
      </x:c>
      <x:c r="F444" s="16" t="str">
        <x:v>שכח</x:v>
      </x:c>
      <x:c r="G444" s="20" t="str">
        <x:v>to forget</x:v>
      </x:c>
      <x:c r="H444" s="20" t="str"/>
      <x:c r="I444" s="21" t="str">
        <x:v>BBH2 課序</x:v>
      </x:c>
      <x:c r="J444" s="21" t="n">
        <x:v>25</x:v>
      </x:c>
      <x:c r="K444" s="22" t="n">
        <x:v>102</x:v>
      </x:c>
      <x:c r="L444" s="21" t="str">
        <x:v>H7911</x:v>
      </x:c>
      <x:c r="M444" s="21" t="str">
        <x:v>verb</x:v>
      </x:c>
      <x:c r="N444" s="21" t="str">
        <x:v>否</x:v>
      </x:c>
      <x:c r="O444" s="21" t="str"/>
      <x:c r="P444" s="21" t="str">
        <x:v>source_and_lexicon_matched</x:v>
      </x:c>
      <x:c r="Q444" s="21" t="str">
        <x:v>rule_generated_exception_review</x:v>
      </x:c>
      <x:c r="R444" s="20" t="str">
        <x:v>https://hebrewsyntax.org/bbh2new/</x:v>
      </x:c>
    </x:row>
    <x:row r="445" ht="28" customHeight="1">
      <x:c r="A445" s="21" t="n">
        <x:v>441</x:v>
      </x:c>
      <x:c r="B445" s="21" t="n">
        <x:f>ROUNDUP(A445/20,0)</x:f>
        <x:v>23</x:v>
      </x:c>
      <x:c r="C445" s="21" t="n">
        <x:f>MOD(A445-1,20)+1</x:f>
        <x:v>1</x:v>
      </x:c>
      <x:c r="D445" s="18" t="str">
        <x:v>שָׁמֵם</x:v>
      </x:c>
      <x:c r="E445" s="19" t="str">
        <x:v>šāmēm</x:v>
      </x:c>
      <x:c r="F445" s="16" t="str">
        <x:v>שמם</x:v>
      </x:c>
      <x:c r="G445" s="20" t="str">
        <x:v>to be deserted, be uninhabited, be desolated</x:v>
      </x:c>
      <x:c r="H445" s="20" t="str"/>
      <x:c r="I445" s="21" t="str">
        <x:v>BBH2 課序</x:v>
      </x:c>
      <x:c r="J445" s="21" t="n">
        <x:v>25</x:v>
      </x:c>
      <x:c r="K445" s="22" t="n">
        <x:v>86</x:v>
      </x:c>
      <x:c r="L445" s="21" t="str">
        <x:v>H8074</x:v>
      </x:c>
      <x:c r="M445" s="21" t="str">
        <x:v>verb</x:v>
      </x:c>
      <x:c r="N445" s="21" t="str">
        <x:v>否</x:v>
      </x:c>
      <x:c r="O445" s="21" t="str"/>
      <x:c r="P445" s="21" t="str">
        <x:v>source_and_lexicon_matched</x:v>
      </x:c>
      <x:c r="Q445" s="21" t="str">
        <x:v>rule_generated_exception_review</x:v>
      </x:c>
      <x:c r="R445" s="20" t="str">
        <x:v>https://hebrewsyntax.org/bbh2new/</x:v>
      </x:c>
    </x:row>
    <x:row r="446" ht="28" customHeight="1">
      <x:c r="A446" s="21" t="n">
        <x:v>442</x:v>
      </x:c>
      <x:c r="B446" s="21" t="n">
        <x:f>ROUNDUP(A446/20,0)</x:f>
        <x:v>23</x:v>
      </x:c>
      <x:c r="C446" s="21" t="n">
        <x:f>MOD(A446-1,20)+1</x:f>
        <x:v>2</x:v>
      </x:c>
      <x:c r="D446" s="18" t="str">
        <x:v>זָכָר</x:v>
      </x:c>
      <x:c r="E446" s="19" t="str">
        <x:v>zāḵār</x:v>
      </x:c>
      <x:c r="F446" s="16" t="str">
        <x:v>זכר</x:v>
      </x:c>
      <x:c r="G446" s="20" t="str">
        <x:v>man, male</x:v>
      </x:c>
      <x:c r="H446" s="20" t="str"/>
      <x:c r="I446" s="21" t="str">
        <x:v>BBH2 課序</x:v>
      </x:c>
      <x:c r="J446" s="21" t="n">
        <x:v>25</x:v>
      </x:c>
      <x:c r="K446" s="22" t="n">
        <x:v>82</x:v>
      </x:c>
      <x:c r="L446" s="21" t="str">
        <x:v>H2145</x:v>
      </x:c>
      <x:c r="M446" s="21" t="str">
        <x:v>adjective</x:v>
      </x:c>
      <x:c r="N446" s="21" t="str">
        <x:v>否</x:v>
      </x:c>
      <x:c r="O446" s="21" t="str"/>
      <x:c r="P446" s="21" t="str">
        <x:v>source_and_lexicon_matched</x:v>
      </x:c>
      <x:c r="Q446" s="21" t="str">
        <x:v>rule_generated_exception_review</x:v>
      </x:c>
      <x:c r="R446" s="20" t="str">
        <x:v>https://hebrewsyntax.org/bbh2new/</x:v>
      </x:c>
    </x:row>
    <x:row r="447" ht="28" customHeight="1">
      <x:c r="A447" s="21" t="n">
        <x:v>443</x:v>
      </x:c>
      <x:c r="B447" s="21" t="n">
        <x:f>ROUNDUP(A447/20,0)</x:f>
        <x:v>23</x:v>
      </x:c>
      <x:c r="C447" s="21" t="n">
        <x:f>MOD(A447-1,20)+1</x:f>
        <x:v>3</x:v>
      </x:c>
      <x:c r="D447" s="18" t="str">
        <x:v>חֹ֫שֶׁךְ</x:v>
      </x:c>
      <x:c r="E447" s="19" t="str">
        <x:v>ḥōšeḵ</x:v>
      </x:c>
      <x:c r="F447" s="16" t="str">
        <x:v>חשך</x:v>
      </x:c>
      <x:c r="G447" s="20" t="str">
        <x:v>darkness</x:v>
      </x:c>
      <x:c r="H447" s="20" t="str"/>
      <x:c r="I447" s="21" t="str">
        <x:v>BBH2 課序</x:v>
      </x:c>
      <x:c r="J447" s="21" t="n">
        <x:v>25</x:v>
      </x:c>
      <x:c r="K447" s="22" t="n">
        <x:v>80</x:v>
      </x:c>
      <x:c r="L447" s="21" t="str">
        <x:v>H2822</x:v>
      </x:c>
      <x:c r="M447" s="21" t="str">
        <x:v>noun</x:v>
      </x:c>
      <x:c r="N447" s="21" t="str">
        <x:v>否</x:v>
      </x:c>
      <x:c r="O447" s="21" t="str"/>
      <x:c r="P447" s="21" t="str">
        <x:v>source_and_lexicon_matched</x:v>
      </x:c>
      <x:c r="Q447" s="21" t="str">
        <x:v>rule_generated_exception_review</x:v>
      </x:c>
      <x:c r="R447" s="20" t="str">
        <x:v>https://hebrewsyntax.org/bbh2new/</x:v>
      </x:c>
    </x:row>
    <x:row r="448" ht="28" customHeight="1">
      <x:c r="A448" s="21" t="n">
        <x:v>444</x:v>
      </x:c>
      <x:c r="B448" s="21" t="n">
        <x:f>ROUNDUP(A448/20,0)</x:f>
        <x:v>23</x:v>
      </x:c>
      <x:c r="C448" s="21" t="n">
        <x:f>MOD(A448-1,20)+1</x:f>
        <x:v>4</x:v>
      </x:c>
      <x:c r="D448" s="18" t="str">
        <x:v>מִגְרָשׁ</x:v>
      </x:c>
      <x:c r="E448" s="19" t="str">
        <x:v>mig̅rāš</x:v>
      </x:c>
      <x:c r="F448" s="16" t="str">
        <x:v>מגרש</x:v>
      </x:c>
      <x:c r="G448" s="20" t="str">
        <x:v>open land, pasture</x:v>
      </x:c>
      <x:c r="H448" s="20" t="str"/>
      <x:c r="I448" s="21" t="str">
        <x:v>BBH2 課序</x:v>
      </x:c>
      <x:c r="J448" s="21" t="n">
        <x:v>25</x:v>
      </x:c>
      <x:c r="K448" s="22" t="n">
        <x:v>115</x:v>
      </x:c>
      <x:c r="L448" s="21" t="str">
        <x:v>H4054</x:v>
      </x:c>
      <x:c r="M448" s="21" t="str">
        <x:v>noun</x:v>
      </x:c>
      <x:c r="N448" s="21" t="str">
        <x:v>否</x:v>
      </x:c>
      <x:c r="O448" s="21" t="str"/>
      <x:c r="P448" s="21" t="str">
        <x:v>source_and_lexicon_matched</x:v>
      </x:c>
      <x:c r="Q448" s="21" t="str">
        <x:v>rule_generated_exception_review</x:v>
      </x:c>
      <x:c r="R448" s="20" t="str">
        <x:v>https://hebrewsyntax.org/bbh2new/</x:v>
      </x:c>
    </x:row>
    <x:row r="449" ht="28" customHeight="1">
      <x:c r="A449" s="21" t="n">
        <x:v>445</x:v>
      </x:c>
      <x:c r="B449" s="21" t="n">
        <x:f>ROUNDUP(A449/20,0)</x:f>
        <x:v>23</x:v>
      </x:c>
      <x:c r="C449" s="21" t="n">
        <x:f>MOD(A449-1,20)+1</x:f>
        <x:v>5</x:v>
      </x:c>
      <x:c r="D449" s="18" t="str">
        <x:v>מַמְלָכָה</x:v>
      </x:c>
      <x:c r="E449" s="19" t="str">
        <x:v>mamlāḵâ</x:v>
      </x:c>
      <x:c r="F449" s="16" t="str">
        <x:v>ממלכה</x:v>
      </x:c>
      <x:c r="G449" s="20" t="str">
        <x:v>kingdom, dominion, reign</x:v>
      </x:c>
      <x:c r="H449" s="20" t="str"/>
      <x:c r="I449" s="21" t="str">
        <x:v>BBH2 課序</x:v>
      </x:c>
      <x:c r="J449" s="21" t="n">
        <x:v>25</x:v>
      </x:c>
      <x:c r="K449" s="22" t="n">
        <x:v>117</x:v>
      </x:c>
      <x:c r="L449" s="21" t="str">
        <x:v>H4467</x:v>
      </x:c>
      <x:c r="M449" s="21" t="str">
        <x:v>noun</x:v>
      </x:c>
      <x:c r="N449" s="21" t="str">
        <x:v>否</x:v>
      </x:c>
      <x:c r="O449" s="21" t="str"/>
      <x:c r="P449" s="21" t="str">
        <x:v>source_and_lexicon_matched</x:v>
      </x:c>
      <x:c r="Q449" s="21" t="str">
        <x:v>rule_generated_exception_review</x:v>
      </x:c>
      <x:c r="R449" s="20" t="str">
        <x:v>https://hebrewsyntax.org/bbh2new/</x:v>
      </x:c>
    </x:row>
    <x:row r="450" ht="28" customHeight="1">
      <x:c r="A450" s="21" t="n">
        <x:v>446</x:v>
      </x:c>
      <x:c r="B450" s="21" t="n">
        <x:f>ROUNDUP(A450/20,0)</x:f>
        <x:v>23</x:v>
      </x:c>
      <x:c r="C450" s="21" t="n">
        <x:f>MOD(A450-1,20)+1</x:f>
        <x:v>6</x:v>
      </x:c>
      <x:c r="D450" s="18" t="str">
        <x:v>נָהָר</x:v>
      </x:c>
      <x:c r="E450" s="19" t="str">
        <x:v>nāhār</x:v>
      </x:c>
      <x:c r="F450" s="16" t="str">
        <x:v>נהר</x:v>
      </x:c>
      <x:c r="G450" s="20" t="str">
        <x:v>river, stream</x:v>
      </x:c>
      <x:c r="H450" s="20" t="str"/>
      <x:c r="I450" s="21" t="str">
        <x:v>BBH2 課序</x:v>
      </x:c>
      <x:c r="J450" s="21" t="n">
        <x:v>25</x:v>
      </x:c>
      <x:c r="K450" s="22" t="n">
        <x:v>119</x:v>
      </x:c>
      <x:c r="L450" s="21" t="str">
        <x:v>H5104</x:v>
      </x:c>
      <x:c r="M450" s="21" t="str">
        <x:v>noun</x:v>
      </x:c>
      <x:c r="N450" s="21" t="str">
        <x:v>否</x:v>
      </x:c>
      <x:c r="O450" s="21" t="str"/>
      <x:c r="P450" s="21" t="str">
        <x:v>source_and_lexicon_matched</x:v>
      </x:c>
      <x:c r="Q450" s="21" t="str">
        <x:v>rule_generated_exception_review</x:v>
      </x:c>
      <x:c r="R450" s="20" t="str">
        <x:v>https://hebrewsyntax.org/bbh2new/</x:v>
      </x:c>
    </x:row>
    <x:row r="451" ht="28" customHeight="1">
      <x:c r="A451" s="21" t="n">
        <x:v>447</x:v>
      </x:c>
      <x:c r="B451" s="21" t="n">
        <x:f>ROUNDUP(A451/20,0)</x:f>
        <x:v>23</x:v>
      </x:c>
      <x:c r="C451" s="21" t="n">
        <x:f>MOD(A451-1,20)+1</x:f>
        <x:v>7</x:v>
      </x:c>
      <x:c r="D451" s="18" t="str">
        <x:v>צֶ֫דֶק</x:v>
      </x:c>
      <x:c r="E451" s="19" t="str">
        <x:v>ṣeḏeq</x:v>
      </x:c>
      <x:c r="F451" s="16" t="str">
        <x:v>צדק</x:v>
      </x:c>
      <x:c r="G451" s="20" t="str">
        <x:v>righteousness, equity</x:v>
      </x:c>
      <x:c r="H451" s="20" t="str"/>
      <x:c r="I451" s="21" t="str">
        <x:v>BBH2 課序</x:v>
      </x:c>
      <x:c r="J451" s="21" t="n">
        <x:v>25</x:v>
      </x:c>
      <x:c r="K451" s="22" t="n">
        <x:v>119</x:v>
      </x:c>
      <x:c r="L451" s="21" t="str">
        <x:v>H6664</x:v>
      </x:c>
      <x:c r="M451" s="21" t="str">
        <x:v>noun</x:v>
      </x:c>
      <x:c r="N451" s="21" t="str">
        <x:v>否</x:v>
      </x:c>
      <x:c r="O451" s="21" t="str"/>
      <x:c r="P451" s="21" t="str">
        <x:v>source_and_lexicon_matched</x:v>
      </x:c>
      <x:c r="Q451" s="21" t="str">
        <x:v>rule_generated_exception_review</x:v>
      </x:c>
      <x:c r="R451" s="20" t="str">
        <x:v>https://hebrewsyntax.org/bbh2new/</x:v>
      </x:c>
    </x:row>
    <x:row r="452" ht="28" customHeight="1">
      <x:c r="A452" s="21" t="n">
        <x:v>448</x:v>
      </x:c>
      <x:c r="B452" s="21" t="n">
        <x:f>ROUNDUP(A452/20,0)</x:f>
        <x:v>23</x:v>
      </x:c>
      <x:c r="C452" s="21" t="n">
        <x:f>MOD(A452-1,20)+1</x:f>
        <x:v>8</x:v>
      </x:c>
      <x:c r="D452" s="18" t="str">
        <x:v>רֹעֶה</x:v>
      </x:c>
      <x:c r="E452" s="19" t="str">
        <x:v>rōʿê</x:v>
      </x:c>
      <x:c r="F452" s="16" t="str">
        <x:v>רעה</x:v>
      </x:c>
      <x:c r="G452" s="20" t="str">
        <x:v>shepherd</x:v>
      </x:c>
      <x:c r="H452" s="20" t="str"/>
      <x:c r="I452" s="21" t="str">
        <x:v>BBH2 課序</x:v>
      </x:c>
      <x:c r="J452" s="21" t="n">
        <x:v>25</x:v>
      </x:c>
      <x:c r="K452" s="22" t="n">
        <x:v>164</x:v>
      </x:c>
      <x:c r="L452" s="21" t="str">
        <x:v>H7462</x:v>
      </x:c>
      <x:c r="M452" s="21" t="str">
        <x:v>verb</x:v>
      </x:c>
      <x:c r="N452" s="21" t="str">
        <x:v>否</x:v>
      </x:c>
      <x:c r="O452" s="21" t="str"/>
      <x:c r="P452" s="21" t="str">
        <x:v>source_and_lexicon_matched</x:v>
      </x:c>
      <x:c r="Q452" s="21" t="str">
        <x:v>rule_generated_exception_review</x:v>
      </x:c>
      <x:c r="R452" s="20" t="str">
        <x:v>https://hebrewsyntax.org/bbh2new/</x:v>
      </x:c>
    </x:row>
    <x:row r="453" ht="28" customHeight="1">
      <x:c r="A453" s="21" t="n">
        <x:v>449</x:v>
      </x:c>
      <x:c r="B453" s="21" t="n">
        <x:f>ROUNDUP(A453/20,0)</x:f>
        <x:v>23</x:v>
      </x:c>
      <x:c r="C453" s="21" t="n">
        <x:f>MOD(A453-1,20)+1</x:f>
        <x:v>9</x:v>
      </x:c>
      <x:c r="D453" s="18" t="str">
        <x:v>בָּקַשׁ</x:v>
      </x:c>
      <x:c r="E453" s="19" t="str">
        <x:v>bāqaš</x:v>
      </x:c>
      <x:c r="F453" s="16" t="str">
        <x:v>בקש</x:v>
      </x:c>
      <x:c r="G453" s="20" t="str">
        <x:v>(D) to seek, search for, discover, demand, require</x:v>
      </x:c>
      <x:c r="H453" s="20" t="str"/>
      <x:c r="I453" s="21" t="str">
        <x:v>BBH2 課序</x:v>
      </x:c>
      <x:c r="J453" s="21" t="n">
        <x:v>26</x:v>
      </x:c>
      <x:c r="K453" s="22" t="n">
        <x:v>225</x:v>
      </x:c>
      <x:c r="L453" s="21" t="str">
        <x:v>H1245</x:v>
      </x:c>
      <x:c r="M453" s="21" t="str">
        <x:v>verb</x:v>
      </x:c>
      <x:c r="N453" s="21" t="str">
        <x:v>否</x:v>
      </x:c>
      <x:c r="O453" s="21" t="str"/>
      <x:c r="P453" s="21" t="str">
        <x:v>source_and_lexicon_matched</x:v>
      </x:c>
      <x:c r="Q453" s="21" t="str">
        <x:v>rule_generated_exception_review</x:v>
      </x:c>
      <x:c r="R453" s="20" t="str">
        <x:v>https://hebrewsyntax.org/bbh2new/</x:v>
      </x:c>
    </x:row>
    <x:row r="454" ht="28" customHeight="1">
      <x:c r="A454" s="21" t="n">
        <x:v>450</x:v>
      </x:c>
      <x:c r="B454" s="21" t="n">
        <x:f>ROUNDUP(A454/20,0)</x:f>
        <x:v>23</x:v>
      </x:c>
      <x:c r="C454" s="21" t="n">
        <x:f>MOD(A454-1,20)+1</x:f>
        <x:v>10</x:v>
      </x:c>
      <x:c r="D454" s="18" t="str">
        <x:v>דָּבַר</x:v>
      </x:c>
      <x:c r="E454" s="19" t="str">
        <x:v>dāḇar</x:v>
      </x:c>
      <x:c r="F454" s="16" t="str">
        <x:v>דבר</x:v>
      </x:c>
      <x:c r="G454" s="20" t="str">
        <x:v>(D) to speak</x:v>
      </x:c>
      <x:c r="H454" s="20" t="str"/>
      <x:c r="I454" s="21" t="str">
        <x:v>BBH2 課序</x:v>
      </x:c>
      <x:c r="J454" s="21" t="n">
        <x:v>26</x:v>
      </x:c>
      <x:c r="K454" s="22" t="n">
        <x:v>1144</x:v>
      </x:c>
      <x:c r="L454" s="21" t="str">
        <x:v>H1696</x:v>
      </x:c>
      <x:c r="M454" s="21" t="str">
        <x:v>verb</x:v>
      </x:c>
      <x:c r="N454" s="21" t="str">
        <x:v>否</x:v>
      </x:c>
      <x:c r="O454" s="21" t="str"/>
      <x:c r="P454" s="21" t="str">
        <x:v>source_and_lexicon_matched</x:v>
      </x:c>
      <x:c r="Q454" s="21" t="str">
        <x:v>rule_generated_exception_review</x:v>
      </x:c>
      <x:c r="R454" s="20" t="str">
        <x:v>https://hebrewsyntax.org/bbh2new/</x:v>
      </x:c>
    </x:row>
    <x:row r="455" ht="28" customHeight="1">
      <x:c r="A455" s="21" t="n">
        <x:v>451</x:v>
      </x:c>
      <x:c r="B455" s="21" t="n">
        <x:f>ROUNDUP(A455/20,0)</x:f>
        <x:v>23</x:v>
      </x:c>
      <x:c r="C455" s="21" t="n">
        <x:f>MOD(A455-1,20)+1</x:f>
        <x:v>11</x:v>
      </x:c>
      <x:c r="D455" s="18" t="str">
        <x:v>הָלַל</x:v>
      </x:c>
      <x:c r="E455" s="19" t="str">
        <x:v>hālal</x:v>
      </x:c>
      <x:c r="F455" s="16" t="str">
        <x:v>הלל</x:v>
      </x:c>
      <x:c r="G455" s="20" t="str">
        <x:v>(D) to praise, sing hallelujah</x:v>
      </x:c>
      <x:c r="H455" s="20" t="str"/>
      <x:c r="I455" s="21" t="str">
        <x:v>BBH2 課序</x:v>
      </x:c>
      <x:c r="J455" s="21" t="n">
        <x:v>26</x:v>
      </x:c>
      <x:c r="K455" s="22" t="n">
        <x:v>165</x:v>
      </x:c>
      <x:c r="L455" s="21" t="str">
        <x:v>H1984</x:v>
      </x:c>
      <x:c r="M455" s="21" t="str">
        <x:v>verb</x:v>
      </x:c>
      <x:c r="N455" s="21" t="str">
        <x:v>否</x:v>
      </x:c>
      <x:c r="O455" s="21" t="str"/>
      <x:c r="P455" s="21" t="str">
        <x:v>source_and_lexicon_matched</x:v>
      </x:c>
      <x:c r="Q455" s="21" t="str">
        <x:v>rule_generated_exception_review</x:v>
      </x:c>
      <x:c r="R455" s="20" t="str">
        <x:v>https://hebrewsyntax.org/bbh2new/</x:v>
      </x:c>
    </x:row>
    <x:row r="456" ht="28" customHeight="1">
      <x:c r="A456" s="21" t="n">
        <x:v>452</x:v>
      </x:c>
      <x:c r="B456" s="21" t="n">
        <x:f>ROUNDUP(A456/20,0)</x:f>
        <x:v>23</x:v>
      </x:c>
      <x:c r="C456" s="21" t="n">
        <x:f>MOD(A456-1,20)+1</x:f>
        <x:v>12</x:v>
      </x:c>
      <x:c r="D456" s="18" t="str">
        <x:v>יָדָה</x:v>
      </x:c>
      <x:c r="E456" s="19" t="str">
        <x:v>yāḏâ</x:v>
      </x:c>
      <x:c r="F456" s="16" t="str">
        <x:v>ידה</x:v>
      </x:c>
      <x:c r="G456" s="20" t="str">
        <x:v>(H) to thank, praise, confess</x:v>
      </x:c>
      <x:c r="H456" s="20" t="str"/>
      <x:c r="I456" s="21" t="str">
        <x:v>BBH2 課序</x:v>
      </x:c>
      <x:c r="J456" s="21" t="n">
        <x:v>26</x:v>
      </x:c>
      <x:c r="K456" s="22" t="n">
        <x:v>114</x:v>
      </x:c>
      <x:c r="L456" s="21" t="str">
        <x:v>H3034</x:v>
      </x:c>
      <x:c r="M456" s="21" t="str">
        <x:v>verb</x:v>
      </x:c>
      <x:c r="N456" s="21" t="str">
        <x:v>否</x:v>
      </x:c>
      <x:c r="O456" s="21" t="str"/>
      <x:c r="P456" s="21" t="str">
        <x:v>source_and_lexicon_matched</x:v>
      </x:c>
      <x:c r="Q456" s="21" t="str">
        <x:v>rule_generated_exception_review</x:v>
      </x:c>
      <x:c r="R456" s="20" t="str">
        <x:v>https://hebrewsyntax.org/bbh2new/</x:v>
      </x:c>
    </x:row>
    <x:row r="457" ht="28" customHeight="1">
      <x:c r="A457" s="21" t="n">
        <x:v>453</x:v>
      </x:c>
      <x:c r="B457" s="21" t="n">
        <x:f>ROUNDUP(A457/20,0)</x:f>
        <x:v>23</x:v>
      </x:c>
      <x:c r="C457" s="21" t="n">
        <x:f>MOD(A457-1,20)+1</x:f>
        <x:v>13</x:v>
      </x:c>
      <x:c r="D457" s="18" t="str">
        <x:v>כָּסָה</x:v>
      </x:c>
      <x:c r="E457" s="19" t="str">
        <x:v>kāsâ</x:v>
      </x:c>
      <x:c r="F457" s="16" t="str">
        <x:v>כסה</x:v>
      </x:c>
      <x:c r="G457" s="20" t="str">
        <x:v>to cover, conceal, hide; (D) to cover (up), clothe</x:v>
      </x:c>
      <x:c r="H457" s="20" t="str"/>
      <x:c r="I457" s="21" t="str">
        <x:v>BBH2 課序</x:v>
      </x:c>
      <x:c r="J457" s="21" t="n">
        <x:v>26</x:v>
      </x:c>
      <x:c r="K457" s="22" t="n">
        <x:v>153</x:v>
      </x:c>
      <x:c r="L457" s="21" t="str">
        <x:v>H3680</x:v>
      </x:c>
      <x:c r="M457" s="21" t="str">
        <x:v>verb</x:v>
      </x:c>
      <x:c r="N457" s="21" t="str">
        <x:v>否</x:v>
      </x:c>
      <x:c r="O457" s="21" t="str"/>
      <x:c r="P457" s="21" t="str">
        <x:v>source_and_lexicon_matched</x:v>
      </x:c>
      <x:c r="Q457" s="21" t="str">
        <x:v>rule_generated_exception_review</x:v>
      </x:c>
      <x:c r="R457" s="20" t="str">
        <x:v>https://hebrewsyntax.org/bbh2new/</x:v>
      </x:c>
    </x:row>
    <x:row r="458" ht="28" customHeight="1">
      <x:c r="A458" s="21" t="n">
        <x:v>454</x:v>
      </x:c>
      <x:c r="B458" s="21" t="n">
        <x:f>ROUNDUP(A458/20,0)</x:f>
        <x:v>23</x:v>
      </x:c>
      <x:c r="C458" s="21" t="n">
        <x:f>MOD(A458-1,20)+1</x:f>
        <x:v>14</x:v>
      </x:c>
      <x:c r="D458" s="18" t="str">
        <x:v>מָהַר</x:v>
      </x:c>
      <x:c r="E458" s="19" t="str">
        <x:v>māhar</x:v>
      </x:c>
      <x:c r="F458" s="16" t="str">
        <x:v>מהר</x:v>
      </x:c>
      <x:c r="G458" s="20" t="str">
        <x:v>(D) to hasten, hurry, go or come quickly</x:v>
      </x:c>
      <x:c r="H458" s="20" t="str"/>
      <x:c r="I458" s="21" t="str">
        <x:v>BBH2 課序</x:v>
      </x:c>
      <x:c r="J458" s="21" t="n">
        <x:v>26</x:v>
      </x:c>
      <x:c r="K458" s="22" t="n">
        <x:v>64</x:v>
      </x:c>
      <x:c r="L458" s="21" t="str">
        <x:v>H4116</x:v>
      </x:c>
      <x:c r="M458" s="21" t="str">
        <x:v>verb</x:v>
      </x:c>
      <x:c r="N458" s="21" t="str">
        <x:v>否</x:v>
      </x:c>
      <x:c r="O458" s="21" t="str"/>
      <x:c r="P458" s="21" t="str">
        <x:v>source_and_lexicon_matched</x:v>
      </x:c>
      <x:c r="Q458" s="21" t="str">
        <x:v>rule_generated_exception_review</x:v>
      </x:c>
      <x:c r="R458" s="20" t="str">
        <x:v>https://hebrewsyntax.org/bbh2new/</x:v>
      </x:c>
    </x:row>
    <x:row r="459" ht="28" customHeight="1">
      <x:c r="A459" s="21" t="n">
        <x:v>455</x:v>
      </x:c>
      <x:c r="B459" s="21" t="n">
        <x:f>ROUNDUP(A459/20,0)</x:f>
        <x:v>23</x:v>
      </x:c>
      <x:c r="C459" s="21" t="n">
        <x:f>MOD(A459-1,20)+1</x:f>
        <x:v>15</x:v>
      </x:c>
      <x:c r="D459" s="18" t="str">
        <x:v>נָבָא</x:v>
      </x:c>
      <x:c r="E459" s="19" t="str">
        <x:v>nāḇāʾ</x:v>
      </x:c>
      <x:c r="F459" s="16" t="str">
        <x:v>נבא</x:v>
      </x:c>
      <x:c r="G459" s="20" t="str">
        <x:v>(N) to prophesy, be in a state of prophetic ecstasy</x:v>
      </x:c>
      <x:c r="H459" s="20" t="str"/>
      <x:c r="I459" s="21" t="str">
        <x:v>BBH2 課序</x:v>
      </x:c>
      <x:c r="J459" s="21" t="n">
        <x:v>26</x:v>
      </x:c>
      <x:c r="K459" s="22" t="n">
        <x:v>115</x:v>
      </x:c>
      <x:c r="L459" s="21" t="str">
        <x:v>H5012</x:v>
      </x:c>
      <x:c r="M459" s="21" t="str">
        <x:v>verb</x:v>
      </x:c>
      <x:c r="N459" s="21" t="str">
        <x:v>否</x:v>
      </x:c>
      <x:c r="O459" s="21" t="str"/>
      <x:c r="P459" s="21" t="str">
        <x:v>source_and_lexicon_matched</x:v>
      </x:c>
      <x:c r="Q459" s="21" t="str">
        <x:v>rule_generated_exception_review</x:v>
      </x:c>
      <x:c r="R459" s="20" t="str">
        <x:v>https://hebrewsyntax.org/bbh2new/</x:v>
      </x:c>
    </x:row>
    <x:row r="460" ht="28" customHeight="1">
      <x:c r="A460" s="21" t="n">
        <x:v>456</x:v>
      </x:c>
      <x:c r="B460" s="21" t="n">
        <x:f>ROUNDUP(A460/20,0)</x:f>
        <x:v>23</x:v>
      </x:c>
      <x:c r="C460" s="21" t="n">
        <x:f>MOD(A460-1,20)+1</x:f>
        <x:v>16</x:v>
      </x:c>
      <x:c r="D460" s="18" t="str">
        <x:v>נָבַט</x:v>
      </x:c>
      <x:c r="E460" s="19" t="str">
        <x:v>nāḇaṭ</x:v>
      </x:c>
      <x:c r="F460" s="16" t="str">
        <x:v>נבט</x:v>
      </x:c>
      <x:c r="G460" s="20" t="str">
        <x:v>(D) to look (at), gaze, behold</x:v>
      </x:c>
      <x:c r="H460" s="20" t="str"/>
      <x:c r="I460" s="21" t="str">
        <x:v>BBH2 課序</x:v>
      </x:c>
      <x:c r="J460" s="21" t="n">
        <x:v>26</x:v>
      </x:c>
      <x:c r="K460" s="22" t="n">
        <x:v>70</x:v>
      </x:c>
      <x:c r="L460" s="21" t="str">
        <x:v>H5027</x:v>
      </x:c>
      <x:c r="M460" s="21" t="str">
        <x:v>verb</x:v>
      </x:c>
      <x:c r="N460" s="21" t="str">
        <x:v>否</x:v>
      </x:c>
      <x:c r="O460" s="21" t="str"/>
      <x:c r="P460" s="21" t="str">
        <x:v>source_and_lexicon_matched</x:v>
      </x:c>
      <x:c r="Q460" s="21" t="str">
        <x:v>rule_generated_exception_review</x:v>
      </x:c>
      <x:c r="R460" s="20" t="str">
        <x:v>https://hebrewsyntax.org/bbh2new/</x:v>
      </x:c>
    </x:row>
    <x:row r="461" ht="28" customHeight="1">
      <x:c r="A461" s="21" t="n">
        <x:v>457</x:v>
      </x:c>
      <x:c r="B461" s="21" t="n">
        <x:f>ROUNDUP(A461/20,0)</x:f>
        <x:v>23</x:v>
      </x:c>
      <x:c r="C461" s="21" t="n">
        <x:f>MOD(A461-1,20)+1</x:f>
        <x:v>17</x:v>
      </x:c>
      <x:c r="D461" s="18" t="str">
        <x:v>סָגַר</x:v>
      </x:c>
      <x:c r="E461" s="19" t="str">
        <x:v>sāg̅ar</x:v>
      </x:c>
      <x:c r="F461" s="16" t="str">
        <x:v>סגר</x:v>
      </x:c>
      <x:c r="G461" s="20" t="str">
        <x:v>to shut, close</x:v>
      </x:c>
      <x:c r="H461" s="20" t="str"/>
      <x:c r="I461" s="21" t="str">
        <x:v>BBH2 課序</x:v>
      </x:c>
      <x:c r="J461" s="21" t="n">
        <x:v>26</x:v>
      </x:c>
      <x:c r="K461" s="22" t="n">
        <x:v>91</x:v>
      </x:c>
      <x:c r="L461" s="21" t="str">
        <x:v>H5462</x:v>
      </x:c>
      <x:c r="M461" s="21" t="str">
        <x:v>verb</x:v>
      </x:c>
      <x:c r="N461" s="21" t="str">
        <x:v>否</x:v>
      </x:c>
      <x:c r="O461" s="21" t="str"/>
      <x:c r="P461" s="21" t="str">
        <x:v>source_and_lexicon_matched</x:v>
      </x:c>
      <x:c r="Q461" s="21" t="str">
        <x:v>rule_generated_exception_review</x:v>
      </x:c>
      <x:c r="R461" s="20" t="str">
        <x:v>https://hebrewsyntax.org/bbh2new/</x:v>
      </x:c>
    </x:row>
    <x:row r="462" ht="28" customHeight="1">
      <x:c r="A462" s="21" t="n">
        <x:v>458</x:v>
      </x:c>
      <x:c r="B462" s="21" t="n">
        <x:f>ROUNDUP(A462/20,0)</x:f>
        <x:v>23</x:v>
      </x:c>
      <x:c r="C462" s="21" t="n">
        <x:f>MOD(A462-1,20)+1</x:f>
        <x:v>18</x:v>
      </x:c>
      <x:c r="D462" s="18" t="str">
        <x:v>צָוָה</x:v>
      </x:c>
      <x:c r="E462" s="19" t="str">
        <x:v>ṣāwâ</x:v>
      </x:c>
      <x:c r="F462" s="16" t="str">
        <x:v>צוה</x:v>
      </x:c>
      <x:c r="G462" s="20" t="str">
        <x:v>(D) to command, give an order, charge</x:v>
      </x:c>
      <x:c r="H462" s="20" t="str"/>
      <x:c r="I462" s="21" t="str">
        <x:v>BBH2 課序</x:v>
      </x:c>
      <x:c r="J462" s="21" t="n">
        <x:v>26</x:v>
      </x:c>
      <x:c r="K462" s="22" t="n">
        <x:v>496</x:v>
      </x:c>
      <x:c r="L462" s="21" t="str">
        <x:v>H6680</x:v>
      </x:c>
      <x:c r="M462" s="21" t="str">
        <x:v>verb</x:v>
      </x:c>
      <x:c r="N462" s="21" t="str">
        <x:v>否</x:v>
      </x:c>
      <x:c r="O462" s="21" t="str"/>
      <x:c r="P462" s="21" t="str">
        <x:v>source_and_lexicon_matched</x:v>
      </x:c>
      <x:c r="Q462" s="21" t="str">
        <x:v>rule_generated_exception_review</x:v>
      </x:c>
      <x:c r="R462" s="20" t="str">
        <x:v>https://hebrewsyntax.org/bbh2new/</x:v>
      </x:c>
    </x:row>
    <x:row r="463" ht="28" customHeight="1">
      <x:c r="A463" s="21" t="n">
        <x:v>459</x:v>
      </x:c>
      <x:c r="B463" s="21" t="n">
        <x:f>ROUNDUP(A463/20,0)</x:f>
        <x:v>23</x:v>
      </x:c>
      <x:c r="C463" s="21" t="n">
        <x:f>MOD(A463-1,20)+1</x:f>
        <x:v>19</x:v>
      </x:c>
      <x:c r="D463" s="18" t="str">
        <x:v>קָטַר</x:v>
      </x:c>
      <x:c r="E463" s="19" t="str">
        <x:v>qāṭar</x:v>
      </x:c>
      <x:c r="F463" s="16" t="str">
        <x:v>קטר</x:v>
      </x:c>
      <x:c r="G463" s="20" t="str">
        <x:v>(D) to make a sacrifice go up in smoke, offer (a sacrifice) by burning</x:v>
      </x:c>
      <x:c r="H463" s="20" t="str"/>
      <x:c r="I463" s="21" t="str">
        <x:v>BBH2 課序</x:v>
      </x:c>
      <x:c r="J463" s="21" t="n">
        <x:v>26</x:v>
      </x:c>
      <x:c r="K463" s="22" t="n">
        <x:v>117</x:v>
      </x:c>
      <x:c r="L463" s="21" t="str">
        <x:v>H6999</x:v>
      </x:c>
      <x:c r="M463" s="21" t="str">
        <x:v>verb</x:v>
      </x:c>
      <x:c r="N463" s="21" t="str">
        <x:v>否</x:v>
      </x:c>
      <x:c r="O463" s="21" t="str"/>
      <x:c r="P463" s="21" t="str">
        <x:v>source_and_lexicon_matched</x:v>
      </x:c>
      <x:c r="Q463" s="21" t="str">
        <x:v>rule_generated_exception_review</x:v>
      </x:c>
      <x:c r="R463" s="20" t="str">
        <x:v>https://hebrewsyntax.org/bbh2new/</x:v>
      </x:c>
    </x:row>
    <x:row r="464" ht="28" customHeight="1">
      <x:c r="A464" s="21" t="n">
        <x:v>460</x:v>
      </x:c>
      <x:c r="B464" s="21" t="n">
        <x:f>ROUNDUP(A464/20,0)</x:f>
        <x:v>23</x:v>
      </x:c>
      <x:c r="C464" s="21" t="n">
        <x:f>MOD(A464-1,20)+1</x:f>
        <x:v>20</x:v>
      </x:c>
      <x:c r="D464" s="18" t="str">
        <x:v>שִׁיר</x:v>
      </x:c>
      <x:c r="E464" s="19" t="str">
        <x:v>šîr</x:v>
      </x:c>
      <x:c r="F464" s="16" t="str">
        <x:v>שיר</x:v>
      </x:c>
      <x:c r="G464" s="20" t="str">
        <x:v>to sing [ch7: ‘song’]</x:v>
      </x:c>
      <x:c r="H464" s="20" t="str"/>
      <x:c r="I464" s="21" t="str">
        <x:v>BBH2 課序</x:v>
      </x:c>
      <x:c r="J464" s="21" t="n">
        <x:v>26</x:v>
      </x:c>
      <x:c r="K464" s="22" t="n">
        <x:v>88</x:v>
      </x:c>
      <x:c r="L464" s="21" t="str">
        <x:v>H7891</x:v>
      </x:c>
      <x:c r="M464" s="21" t="str">
        <x:v>verb</x:v>
      </x:c>
      <x:c r="N464" s="21" t="str">
        <x:v>否</x:v>
      </x:c>
      <x:c r="O464" s="21" t="str"/>
      <x:c r="P464" s="21" t="str">
        <x:v>source_and_lexicon_matched</x:v>
      </x:c>
      <x:c r="Q464" s="21" t="str">
        <x:v>rule_generated_exception_review</x:v>
      </x:c>
      <x:c r="R464" s="20" t="str">
        <x:v>https://hebrewsyntax.org/bbh2new/</x:v>
      </x:c>
    </x:row>
    <x:row r="465" ht="28" customHeight="1">
      <x:c r="A465" s="21" t="n">
        <x:v>461</x:v>
      </x:c>
      <x:c r="B465" s="21" t="n">
        <x:f>ROUNDUP(A465/20,0)</x:f>
        <x:v>24</x:v>
      </x:c>
      <x:c r="C465" s="21" t="n">
        <x:f>MOD(A465-1,20)+1</x:f>
        <x:v>1</x:v>
      </x:c>
      <x:c r="D465" s="18" t="str">
        <x:v>שִׁית</x:v>
      </x:c>
      <x:c r="E465" s="19" t="str">
        <x:v>šîṯ</x:v>
      </x:c>
      <x:c r="F465" s="16" t="str">
        <x:v>שית</x:v>
      </x:c>
      <x:c r="G465" s="20" t="str">
        <x:v>to set, put, place</x:v>
      </x:c>
      <x:c r="H465" s="20" t="str"/>
      <x:c r="I465" s="21" t="str">
        <x:v>BBH2 課序</x:v>
      </x:c>
      <x:c r="J465" s="21" t="n">
        <x:v>26</x:v>
      </x:c>
      <x:c r="K465" s="22" t="n">
        <x:v>86</x:v>
      </x:c>
      <x:c r="L465" s="21" t="str">
        <x:v>H7896</x:v>
      </x:c>
      <x:c r="M465" s="21" t="str">
        <x:v>verb</x:v>
      </x:c>
      <x:c r="N465" s="21" t="str">
        <x:v>否</x:v>
      </x:c>
      <x:c r="O465" s="21" t="str"/>
      <x:c r="P465" s="21" t="str">
        <x:v>source_and_lexicon_matched</x:v>
      </x:c>
      <x:c r="Q465" s="21" t="str">
        <x:v>rule_generated_exception_review</x:v>
      </x:c>
      <x:c r="R465" s="20" t="str">
        <x:v>https://hebrewsyntax.org/bbh2new/</x:v>
      </x:c>
    </x:row>
    <x:row r="466" ht="28" customHeight="1">
      <x:c r="A466" s="21" t="n">
        <x:v>462</x:v>
      </x:c>
      <x:c r="B466" s="21" t="n">
        <x:f>ROUNDUP(A466/20,0)</x:f>
        <x:v>24</x:v>
      </x:c>
      <x:c r="C466" s="21" t="n">
        <x:f>MOD(A466-1,20)+1</x:f>
        <x:v>2</x:v>
      </x:c>
      <x:c r="D466" s="18" t="str">
        <x:v>שָׁרַת</x:v>
      </x:c>
      <x:c r="E466" s="19" t="str">
        <x:v>šāraṯ</x:v>
      </x:c>
      <x:c r="F466" s="16" t="str">
        <x:v>שרת</x:v>
      </x:c>
      <x:c r="G466" s="20" t="str">
        <x:v>(D) to minister, serve, attend to the service of God</x:v>
      </x:c>
      <x:c r="H466" s="20" t="str"/>
      <x:c r="I466" s="21" t="str">
        <x:v>BBH2 課序</x:v>
      </x:c>
      <x:c r="J466" s="21" t="n">
        <x:v>26</x:v>
      </x:c>
      <x:c r="K466" s="22" t="n">
        <x:v>98</x:v>
      </x:c>
      <x:c r="L466" s="21" t="str">
        <x:v>H8334</x:v>
      </x:c>
      <x:c r="M466" s="21" t="str">
        <x:v>verb</x:v>
      </x:c>
      <x:c r="N466" s="21" t="str">
        <x:v>否</x:v>
      </x:c>
      <x:c r="O466" s="21" t="str"/>
      <x:c r="P466" s="21" t="str">
        <x:v>source_and_lexicon_matched</x:v>
      </x:c>
      <x:c r="Q466" s="21" t="str">
        <x:v>rule_generated_exception_review</x:v>
      </x:c>
      <x:c r="R466" s="20" t="str">
        <x:v>https://hebrewsyntax.org/bbh2new/</x:v>
      </x:c>
    </x:row>
    <x:row r="467" ht="28" customHeight="1">
      <x:c r="A467" s="21" t="n">
        <x:v>463</x:v>
      </x:c>
      <x:c r="B467" s="21" t="n">
        <x:f>ROUNDUP(A467/20,0)</x:f>
        <x:v>24</x:v>
      </x:c>
      <x:c r="C467" s="21" t="n">
        <x:f>MOD(A467-1,20)+1</x:f>
        <x:v>3</x:v>
      </x:c>
      <x:c r="D467" s="18" t="str">
        <x:v>גּוּר</x:v>
      </x:c>
      <x:c r="E467" s="19" t="str">
        <x:v>gûr</x:v>
      </x:c>
      <x:c r="F467" s="16" t="str">
        <x:v>גור</x:v>
      </x:c>
      <x:c r="G467" s="20" t="str">
        <x:v>to sojourn, dwell as a foreigner or alien</x:v>
      </x:c>
      <x:c r="H467" s="20" t="str"/>
      <x:c r="I467" s="21" t="str">
        <x:v>BBH2 課序</x:v>
      </x:c>
      <x:c r="J467" s="21" t="n">
        <x:v>27</x:v>
      </x:c>
      <x:c r="K467" s="22" t="n">
        <x:v>98</x:v>
      </x:c>
      <x:c r="L467" s="21" t="str">
        <x:v>H1481</x:v>
      </x:c>
      <x:c r="M467" s="21" t="str">
        <x:v>verb</x:v>
      </x:c>
      <x:c r="N467" s="21" t="str">
        <x:v>否</x:v>
      </x:c>
      <x:c r="O467" s="21" t="str"/>
      <x:c r="P467" s="21" t="str">
        <x:v>source_and_lexicon_matched</x:v>
      </x:c>
      <x:c r="Q467" s="21" t="str">
        <x:v>rule_generated_exception_review</x:v>
      </x:c>
      <x:c r="R467" s="20" t="str">
        <x:v>https://hebrewsyntax.org/bbh2new/</x:v>
      </x:c>
    </x:row>
    <x:row r="468" ht="28" customHeight="1">
      <x:c r="A468" s="21" t="n">
        <x:v>464</x:v>
      </x:c>
      <x:c r="B468" s="21" t="n">
        <x:f>ROUNDUP(A468/20,0)</x:f>
        <x:v>24</x:v>
      </x:c>
      <x:c r="C468" s="21" t="n">
        <x:f>MOD(A468-1,20)+1</x:f>
        <x:v>4</x:v>
      </x:c>
      <x:c r="D468" s="18" t="str">
        <x:v>יָעַץ</x:v>
      </x:c>
      <x:c r="E468" s="19" t="str">
        <x:v>yāʿaṣ</x:v>
      </x:c>
      <x:c r="F468" s="16" t="str">
        <x:v>יעץ</x:v>
      </x:c>
      <x:c r="G468" s="20" t="str">
        <x:v>to advise, counsel, plan, decide</x:v>
      </x:c>
      <x:c r="H468" s="20" t="str"/>
      <x:c r="I468" s="21" t="str">
        <x:v>BBH2 課序</x:v>
      </x:c>
      <x:c r="J468" s="21" t="n">
        <x:v>27</x:v>
      </x:c>
      <x:c r="K468" s="22" t="n">
        <x:v>79</x:v>
      </x:c>
      <x:c r="L468" s="21" t="str">
        <x:v>H3289</x:v>
      </x:c>
      <x:c r="M468" s="21" t="str">
        <x:v>verb</x:v>
      </x:c>
      <x:c r="N468" s="21" t="str">
        <x:v>否</x:v>
      </x:c>
      <x:c r="O468" s="21" t="str"/>
      <x:c r="P468" s="21" t="str">
        <x:v>source_and_lexicon_matched</x:v>
      </x:c>
      <x:c r="Q468" s="21" t="str">
        <x:v>rule_generated_exception_review</x:v>
      </x:c>
      <x:c r="R468" s="20" t="str">
        <x:v>https://hebrewsyntax.org/bbh2new/</x:v>
      </x:c>
    </x:row>
    <x:row r="469" ht="28" customHeight="1">
      <x:c r="A469" s="21" t="n">
        <x:v>465</x:v>
      </x:c>
      <x:c r="B469" s="21" t="n">
        <x:f>ROUNDUP(A469/20,0)</x:f>
        <x:v>24</x:v>
      </x:c>
      <x:c r="C469" s="21" t="n">
        <x:f>MOD(A469-1,20)+1</x:f>
        <x:v>5</x:v>
      </x:c>
      <x:c r="D469" s="18" t="str">
        <x:v>לָמַד</x:v>
      </x:c>
      <x:c r="E469" s="19" t="str">
        <x:v>lāmaḏ</x:v>
      </x:c>
      <x:c r="F469" s="16" t="str">
        <x:v>למד</x:v>
      </x:c>
      <x:c r="G469" s="20" t="str">
        <x:v>to learn; (D) to teach</x:v>
      </x:c>
      <x:c r="H469" s="20" t="str"/>
      <x:c r="I469" s="21" t="str">
        <x:v>BBH2 課序</x:v>
      </x:c>
      <x:c r="J469" s="21" t="n">
        <x:v>27</x:v>
      </x:c>
      <x:c r="K469" s="22" t="n">
        <x:v>87</x:v>
      </x:c>
      <x:c r="L469" s="21" t="str">
        <x:v>H3925</x:v>
      </x:c>
      <x:c r="M469" s="21" t="str">
        <x:v>verb</x:v>
      </x:c>
      <x:c r="N469" s="21" t="str">
        <x:v>否</x:v>
      </x:c>
      <x:c r="O469" s="21" t="str"/>
      <x:c r="P469" s="21" t="str">
        <x:v>source_and_lexicon_matched</x:v>
      </x:c>
      <x:c r="Q469" s="21" t="str">
        <x:v>rule_generated_exception_review</x:v>
      </x:c>
      <x:c r="R469" s="20" t="str">
        <x:v>https://hebrewsyntax.org/bbh2new/</x:v>
      </x:c>
    </x:row>
    <x:row r="470" ht="28" customHeight="1">
      <x:c r="A470" s="21" t="n">
        <x:v>466</x:v>
      </x:c>
      <x:c r="B470" s="21" t="n">
        <x:f>ROUNDUP(A470/20,0)</x:f>
        <x:v>24</x:v>
      </x:c>
      <x:c r="C470" s="21" t="n">
        <x:f>MOD(A470-1,20)+1</x:f>
        <x:v>6</x:v>
      </x:c>
      <x:c r="D470" s="18" t="str">
        <x:v>מָשַׁל</x:v>
      </x:c>
      <x:c r="E470" s="19" t="str">
        <x:v>māšal</x:v>
      </x:c>
      <x:c r="F470" s="16" t="str">
        <x:v>משל</x:v>
      </x:c>
      <x:c r="G470" s="20" t="str">
        <x:v>to rule, reign, govern, have dominion</x:v>
      </x:c>
      <x:c r="H470" s="20" t="str"/>
      <x:c r="I470" s="21" t="str">
        <x:v>BBH2 課序</x:v>
      </x:c>
      <x:c r="J470" s="21" t="n">
        <x:v>27</x:v>
      </x:c>
      <x:c r="K470" s="22" t="n">
        <x:v>82</x:v>
      </x:c>
      <x:c r="L470" s="21" t="str">
        <x:v>H4910</x:v>
      </x:c>
      <x:c r="M470" s="21" t="str">
        <x:v>verb</x:v>
      </x:c>
      <x:c r="N470" s="21" t="str">
        <x:v>否</x:v>
      </x:c>
      <x:c r="O470" s="21" t="str"/>
      <x:c r="P470" s="21" t="str">
        <x:v>source_and_lexicon_matched</x:v>
      </x:c>
      <x:c r="Q470" s="21" t="str">
        <x:v>rule_generated_exception_review</x:v>
      </x:c>
      <x:c r="R470" s="20" t="str">
        <x:v>https://hebrewsyntax.org/bbh2new/</x:v>
      </x:c>
    </x:row>
    <x:row r="471" ht="28" customHeight="1">
      <x:c r="A471" s="21" t="n">
        <x:v>467</x:v>
      </x:c>
      <x:c r="B471" s="21" t="n">
        <x:f>ROUNDUP(A471/20,0)</x:f>
        <x:v>24</x:v>
      </x:c>
      <x:c r="C471" s="21" t="n">
        <x:f>MOD(A471-1,20)+1</x:f>
        <x:v>7</x:v>
      </x:c>
      <x:c r="D471" s="18" t="str">
        <x:v>מָכַר</x:v>
      </x:c>
      <x:c r="E471" s="19" t="str">
        <x:v>māḵar</x:v>
      </x:c>
      <x:c r="F471" s="16" t="str">
        <x:v>מכר</x:v>
      </x:c>
      <x:c r="G471" s="20" t="str">
        <x:v>to sell, hand over</x:v>
      </x:c>
      <x:c r="H471" s="20" t="str"/>
      <x:c r="I471" s="21" t="str">
        <x:v>BBH2 課序</x:v>
      </x:c>
      <x:c r="J471" s="21" t="n">
        <x:v>27</x:v>
      </x:c>
      <x:c r="K471" s="22" t="n">
        <x:v>80</x:v>
      </x:c>
      <x:c r="L471" s="21" t="str">
        <x:v>H4376</x:v>
      </x:c>
      <x:c r="M471" s="21" t="str">
        <x:v>verb</x:v>
      </x:c>
      <x:c r="N471" s="21" t="str">
        <x:v>否</x:v>
      </x:c>
      <x:c r="O471" s="21" t="str"/>
      <x:c r="P471" s="21" t="str">
        <x:v>source_and_lexicon_matched</x:v>
      </x:c>
      <x:c r="Q471" s="21" t="str">
        <x:v>rule_generated_exception_review</x:v>
      </x:c>
      <x:c r="R471" s="20" t="str">
        <x:v>https://hebrewsyntax.org/bbh2new/</x:v>
      </x:c>
    </x:row>
    <x:row r="472" ht="28" customHeight="1">
      <x:c r="A472" s="21" t="n">
        <x:v>468</x:v>
      </x:c>
      <x:c r="B472" s="21" t="n">
        <x:f>ROUNDUP(A472/20,0)</x:f>
        <x:v>24</x:v>
      </x:c>
      <x:c r="C472" s="21" t="n">
        <x:f>MOD(A472-1,20)+1</x:f>
        <x:v>8</x:v>
      </x:c>
      <x:c r="D472" s="18" t="str">
        <x:v>עָזַר</x:v>
      </x:c>
      <x:c r="E472" s="19" t="str">
        <x:v>ʿāzar</x:v>
      </x:c>
      <x:c r="F472" s="16" t="str">
        <x:v>עזר</x:v>
      </x:c>
      <x:c r="G472" s="20" t="str">
        <x:v>to help, assist, come to the aid of</x:v>
      </x:c>
      <x:c r="H472" s="20" t="str"/>
      <x:c r="I472" s="21" t="str">
        <x:v>BBH2 課序</x:v>
      </x:c>
      <x:c r="J472" s="21" t="n">
        <x:v>27</x:v>
      </x:c>
      <x:c r="K472" s="22" t="n">
        <x:v>82</x:v>
      </x:c>
      <x:c r="L472" s="21" t="str">
        <x:v>H5826</x:v>
      </x:c>
      <x:c r="M472" s="21" t="str">
        <x:v>verb</x:v>
      </x:c>
      <x:c r="N472" s="21" t="str">
        <x:v>否</x:v>
      </x:c>
      <x:c r="O472" s="21" t="str"/>
      <x:c r="P472" s="21" t="str">
        <x:v>source_and_lexicon_matched</x:v>
      </x:c>
      <x:c r="Q472" s="21" t="str">
        <x:v>rule_generated_exception_review</x:v>
      </x:c>
      <x:c r="R472" s="20" t="str">
        <x:v>https://hebrewsyntax.org/bbh2new/</x:v>
      </x:c>
    </x:row>
    <x:row r="473" ht="28" customHeight="1">
      <x:c r="A473" s="21" t="n">
        <x:v>469</x:v>
      </x:c>
      <x:c r="B473" s="21" t="n">
        <x:f>ROUNDUP(A473/20,0)</x:f>
        <x:v>24</x:v>
      </x:c>
      <x:c r="C473" s="21" t="n">
        <x:f>MOD(A473-1,20)+1</x:f>
        <x:v>9</x:v>
      </x:c>
      <x:c r="D473" s="18" t="str">
        <x:v>עָנָה</x:v>
      </x:c>
      <x:c r="E473" s="19" t="str">
        <x:v>ʿānâ</x:v>
      </x:c>
      <x:c r="F473" s="16" t="str">
        <x:v>ענה</x:v>
      </x:c>
      <x:c r="G473" s="20" t="str">
        <x:v>(D) to afflict, oppress, humiliate, violate; [ch15: (Qal) to answer, respond, reply, testify]</x:v>
      </x:c>
      <x:c r="H473" s="20" t="str"/>
      <x:c r="I473" s="21" t="str">
        <x:v>BBH2 課序</x:v>
      </x:c>
      <x:c r="J473" s="21" t="n">
        <x:v>27</x:v>
      </x:c>
      <x:c r="K473" s="22" t="n">
        <x:v>83</x:v>
      </x:c>
      <x:c r="L473" s="21" t="str">
        <x:v>H6031</x:v>
      </x:c>
      <x:c r="M473" s="21" t="str">
        <x:v>verb</x:v>
      </x:c>
      <x:c r="N473" s="21" t="str">
        <x:v>否</x:v>
      </x:c>
      <x:c r="O473" s="21" t="str"/>
      <x:c r="P473" s="21" t="str">
        <x:v>source_and_lexicon_matched</x:v>
      </x:c>
      <x:c r="Q473" s="21" t="str">
        <x:v>rule_generated_exception_review</x:v>
      </x:c>
      <x:c r="R473" s="20" t="str">
        <x:v>https://hebrewsyntax.org/bbh2new/</x:v>
      </x:c>
    </x:row>
    <x:row r="474" ht="28" customHeight="1">
      <x:c r="A474" s="21" t="n">
        <x:v>470</x:v>
      </x:c>
      <x:c r="B474" s="21" t="n">
        <x:f>ROUNDUP(A474/20,0)</x:f>
        <x:v>24</x:v>
      </x:c>
      <x:c r="C474" s="21" t="n">
        <x:f>MOD(A474-1,20)+1</x:f>
        <x:v>10</x:v>
      </x:c>
      <x:c r="D474" s="18" t="str">
        <x:v>קָלַל</x:v>
      </x:c>
      <x:c r="E474" s="19" t="str">
        <x:v>qālal</x:v>
      </x:c>
      <x:c r="F474" s="16" t="str">
        <x:v>קלל</x:v>
      </x:c>
      <x:c r="G474" s="20" t="str">
        <x:v>to be small, be insignificant, be swift; (N, D) to declare cursed</x:v>
      </x:c>
      <x:c r="H474" s="20" t="str"/>
      <x:c r="I474" s="21" t="str">
        <x:v>BBH2 課序</x:v>
      </x:c>
      <x:c r="J474" s="21" t="n">
        <x:v>27</x:v>
      </x:c>
      <x:c r="K474" s="22" t="n">
        <x:v>82</x:v>
      </x:c>
      <x:c r="L474" s="21" t="str">
        <x:v>H7043</x:v>
      </x:c>
      <x:c r="M474" s="21" t="str">
        <x:v>verb</x:v>
      </x:c>
      <x:c r="N474" s="21" t="str">
        <x:v>否</x:v>
      </x:c>
      <x:c r="O474" s="21" t="str"/>
      <x:c r="P474" s="21" t="str">
        <x:v>source_and_lexicon_matched</x:v>
      </x:c>
      <x:c r="Q474" s="21" t="str">
        <x:v>rule_generated_exception_review</x:v>
      </x:c>
      <x:c r="R474" s="20" t="str">
        <x:v>https://hebrewsyntax.org/bbh2new/</x:v>
      </x:c>
    </x:row>
    <x:row r="475" ht="28" customHeight="1">
      <x:c r="A475" s="21" t="n">
        <x:v>471</x:v>
      </x:c>
      <x:c r="B475" s="21" t="n">
        <x:f>ROUNDUP(A475/20,0)</x:f>
        <x:v>24</x:v>
      </x:c>
      <x:c r="C475" s="21" t="n">
        <x:f>MOD(A475-1,20)+1</x:f>
        <x:v>11</x:v>
      </x:c>
      <x:c r="D475" s="18" t="str">
        <x:v>קָנָה</x:v>
      </x:c>
      <x:c r="E475" s="19" t="str">
        <x:v>qānâ</x:v>
      </x:c>
      <x:c r="F475" s="16" t="str">
        <x:v>קנה</x:v>
      </x:c>
      <x:c r="G475" s="20" t="str">
        <x:v>to get, acquire, buy</x:v>
      </x:c>
      <x:c r="H475" s="20" t="str"/>
      <x:c r="I475" s="21" t="str">
        <x:v>BBH2 課序</x:v>
      </x:c>
      <x:c r="J475" s="21" t="n">
        <x:v>27</x:v>
      </x:c>
      <x:c r="K475" s="22" t="n">
        <x:v>86</x:v>
      </x:c>
      <x:c r="L475" s="21" t="str">
        <x:v>H7069</x:v>
      </x:c>
      <x:c r="M475" s="21" t="str">
        <x:v>verb</x:v>
      </x:c>
      <x:c r="N475" s="21" t="str">
        <x:v>否</x:v>
      </x:c>
      <x:c r="O475" s="21" t="str"/>
      <x:c r="P475" s="21" t="str">
        <x:v>source_and_lexicon_matched</x:v>
      </x:c>
      <x:c r="Q475" s="21" t="str">
        <x:v>rule_generated_exception_review</x:v>
      </x:c>
      <x:c r="R475" s="20" t="str">
        <x:v>https://hebrewsyntax.org/bbh2new/</x:v>
      </x:c>
    </x:row>
    <x:row r="476" ht="28" customHeight="1">
      <x:c r="A476" s="21" t="n">
        <x:v>472</x:v>
      </x:c>
      <x:c r="B476" s="21" t="n">
        <x:f>ROUNDUP(A476/20,0)</x:f>
        <x:v>24</x:v>
      </x:c>
      <x:c r="C476" s="21" t="n">
        <x:f>MOD(A476-1,20)+1</x:f>
        <x:v>12</x:v>
      </x:c>
      <x:c r="D476" s="18" t="str">
        <x:v>רָכַב</x:v>
      </x:c>
      <x:c r="E476" s="19" t="str">
        <x:v>rāḵaḇ</x:v>
      </x:c>
      <x:c r="F476" s="16" t="str">
        <x:v>רכב</x:v>
      </x:c>
      <x:c r="G476" s="20" t="str">
        <x:v>to mount and ride, ride</x:v>
      </x:c>
      <x:c r="H476" s="20" t="str"/>
      <x:c r="I476" s="21" t="str">
        <x:v>BBH2 課序</x:v>
      </x:c>
      <x:c r="J476" s="21" t="n">
        <x:v>27</x:v>
      </x:c>
      <x:c r="K476" s="22" t="n">
        <x:v>78</x:v>
      </x:c>
      <x:c r="L476" s="21" t="str">
        <x:v>H7392</x:v>
      </x:c>
      <x:c r="M476" s="21" t="str">
        <x:v>verb</x:v>
      </x:c>
      <x:c r="N476" s="21" t="str">
        <x:v>否</x:v>
      </x:c>
      <x:c r="O476" s="21" t="str"/>
      <x:c r="P476" s="21" t="str">
        <x:v>source_and_lexicon_matched</x:v>
      </x:c>
      <x:c r="Q476" s="21" t="str">
        <x:v>rule_generated_exception_review</x:v>
      </x:c>
      <x:c r="R476" s="20" t="str">
        <x:v>https://hebrewsyntax.org/bbh2new/</x:v>
      </x:c>
    </x:row>
    <x:row r="477" ht="28" customHeight="1">
      <x:c r="A477" s="21" t="n">
        <x:v>473</x:v>
      </x:c>
      <x:c r="B477" s="21" t="n">
        <x:f>ROUNDUP(A477/20,0)</x:f>
        <x:v>24</x:v>
      </x:c>
      <x:c r="C477" s="21" t="n">
        <x:f>MOD(A477-1,20)+1</x:f>
        <x:v>13</x:v>
      </x:c>
      <x:c r="D477" s="18" t="str">
        <x:v>שָׁחַט</x:v>
      </x:c>
      <x:c r="E477" s="19" t="str">
        <x:v>šāḥaṭ</x:v>
      </x:c>
      <x:c r="F477" s="16" t="str">
        <x:v>שחט</x:v>
      </x:c>
      <x:c r="G477" s="20" t="str">
        <x:v>to slaughter</x:v>
      </x:c>
      <x:c r="H477" s="20" t="str"/>
      <x:c r="I477" s="21" t="str">
        <x:v>BBH2 課序</x:v>
      </x:c>
      <x:c r="J477" s="21" t="n">
        <x:v>27</x:v>
      </x:c>
      <x:c r="K477" s="22" t="n">
        <x:v>82</x:v>
      </x:c>
      <x:c r="L477" s="21" t="str">
        <x:v>H7819</x:v>
      </x:c>
      <x:c r="M477" s="21" t="str">
        <x:v>verb</x:v>
      </x:c>
      <x:c r="N477" s="21" t="str">
        <x:v>否</x:v>
      </x:c>
      <x:c r="O477" s="21" t="str"/>
      <x:c r="P477" s="21" t="str">
        <x:v>source_and_lexicon_matched</x:v>
      </x:c>
      <x:c r="Q477" s="21" t="str">
        <x:v>rule_generated_exception_review</x:v>
      </x:c>
      <x:c r="R477" s="20" t="str">
        <x:v>https://hebrewsyntax.org/bbh2new/</x:v>
      </x:c>
    </x:row>
    <x:row r="478" ht="28" customHeight="1">
      <x:c r="A478" s="21" t="n">
        <x:v>474</x:v>
      </x:c>
      <x:c r="B478" s="21" t="n">
        <x:f>ROUNDUP(A478/20,0)</x:f>
        <x:v>24</x:v>
      </x:c>
      <x:c r="C478" s="21" t="n">
        <x:f>MOD(A478-1,20)+1</x:f>
        <x:v>14</x:v>
      </x:c>
      <x:c r="D478" s="18" t="str">
        <x:v>אָחוֹת</x:v>
      </x:c>
      <x:c r="E478" s="19" t="str">
        <x:v>ʾāḥôṯ</x:v>
      </x:c>
      <x:c r="F478" s="16" t="str">
        <x:v>אחות</x:v>
      </x:c>
      <x:c r="G478" s="20" t="str">
        <x:v>sister, relative, loved one [FS]</x:v>
      </x:c>
      <x:c r="H478" s="20" t="str"/>
      <x:c r="I478" s="21" t="str">
        <x:v>BBH2 課序</x:v>
      </x:c>
      <x:c r="J478" s="21" t="n">
        <x:v>27</x:v>
      </x:c>
      <x:c r="K478" s="22" t="n">
        <x:v>119</x:v>
      </x:c>
      <x:c r="L478" s="21" t="str">
        <x:v>H269</x:v>
      </x:c>
      <x:c r="M478" s="21" t="str">
        <x:v>noun</x:v>
      </x:c>
      <x:c r="N478" s="21" t="str">
        <x:v>否</x:v>
      </x:c>
      <x:c r="O478" s="21" t="str"/>
      <x:c r="P478" s="21" t="str">
        <x:v>source_and_lexicon_matched</x:v>
      </x:c>
      <x:c r="Q478" s="21" t="str">
        <x:v>rule_generated_exception_review</x:v>
      </x:c>
      <x:c r="R478" s="20" t="str">
        <x:v>https://hebrewsyntax.org/bbh2new/</x:v>
      </x:c>
    </x:row>
    <x:row r="479" ht="28" customHeight="1">
      <x:c r="A479" s="21" t="n">
        <x:v>475</x:v>
      </x:c>
      <x:c r="B479" s="21" t="n">
        <x:f>ROUNDUP(A479/20,0)</x:f>
        <x:v>24</x:v>
      </x:c>
      <x:c r="C479" s="21" t="n">
        <x:f>MOD(A479-1,20)+1</x:f>
        <x:v>15</x:v>
      </x:c>
      <x:c r="D479" s="18" t="str">
        <x:v>כָּנָף</x:v>
      </x:c>
      <x:c r="E479" s="19" t="str">
        <x:v>kānāp̄</x:v>
      </x:c>
      <x:c r="F479" s="16" t="str">
        <x:v>כנף</x:v>
      </x:c>
      <x:c r="G479" s="20" t="str">
        <x:v>wing, edge, extremity</x:v>
      </x:c>
      <x:c r="H479" s="20" t="str"/>
      <x:c r="I479" s="21" t="str">
        <x:v>BBH2 課序</x:v>
      </x:c>
      <x:c r="J479" s="21" t="n">
        <x:v>27</x:v>
      </x:c>
      <x:c r="K479" s="22" t="n">
        <x:v>111</x:v>
      </x:c>
      <x:c r="L479" s="21" t="str">
        <x:v>H3671</x:v>
      </x:c>
      <x:c r="M479" s="21" t="str">
        <x:v>noun</x:v>
      </x:c>
      <x:c r="N479" s="21" t="str">
        <x:v>否</x:v>
      </x:c>
      <x:c r="O479" s="21" t="str"/>
      <x:c r="P479" s="21" t="str">
        <x:v>source_and_lexicon_matched</x:v>
      </x:c>
      <x:c r="Q479" s="21" t="str">
        <x:v>rule_generated_exception_review</x:v>
      </x:c>
      <x:c r="R479" s="20" t="str">
        <x:v>https://hebrewsyntax.org/bbh2new/</x:v>
      </x:c>
    </x:row>
    <x:row r="480" ht="28" customHeight="1">
      <x:c r="A480" s="21" t="n">
        <x:v>476</x:v>
      </x:c>
      <x:c r="B480" s="21" t="n">
        <x:f>ROUNDUP(A480/20,0)</x:f>
        <x:v>24</x:v>
      </x:c>
      <x:c r="C480" s="21" t="n">
        <x:f>MOD(A480-1,20)+1</x:f>
        <x:v>16</x:v>
      </x:c>
      <x:c r="D480" s="18" t="str">
        <x:v>עַמּוּד</x:v>
      </x:c>
      <x:c r="E480" s="19" t="str">
        <x:v>ʿammûḏ</x:v>
      </x:c>
      <x:c r="F480" s="16" t="str">
        <x:v>עמוד</x:v>
      </x:c>
      <x:c r="G480" s="20" t="str">
        <x:v>pillar, column, tent pole</x:v>
      </x:c>
      <x:c r="H480" s="20" t="str"/>
      <x:c r="I480" s="21" t="str">
        <x:v>BBH2 課序</x:v>
      </x:c>
      <x:c r="J480" s="21" t="n">
        <x:v>27</x:v>
      </x:c>
      <x:c r="K480" s="22" t="n">
        <x:v>112</x:v>
      </x:c>
      <x:c r="L480" s="21" t="str">
        <x:v>H5982</x:v>
      </x:c>
      <x:c r="M480" s="21" t="str">
        <x:v>noun</x:v>
      </x:c>
      <x:c r="N480" s="21" t="str">
        <x:v>否</x:v>
      </x:c>
      <x:c r="O480" s="21" t="str"/>
      <x:c r="P480" s="21" t="str">
        <x:v>source_and_lexicon_matched</x:v>
      </x:c>
      <x:c r="Q480" s="21" t="str">
        <x:v>rule_generated_exception_review</x:v>
      </x:c>
      <x:c r="R480" s="20" t="str">
        <x:v>https://hebrewsyntax.org/bbh2new/</x:v>
      </x:c>
    </x:row>
    <x:row r="481" ht="28" customHeight="1">
      <x:c r="A481" s="21" t="n">
        <x:v>477</x:v>
      </x:c>
      <x:c r="B481" s="21" t="n">
        <x:f>ROUNDUP(A481/20,0)</x:f>
        <x:v>24</x:v>
      </x:c>
      <x:c r="C481" s="21" t="n">
        <x:f>MOD(A481-1,20)+1</x:f>
        <x:v>17</x:v>
      </x:c>
      <x:c r="D481" s="18" t="str">
        <x:v>שֶׁ֫קֶר</x:v>
      </x:c>
      <x:c r="E481" s="19" t="str">
        <x:v>šeqer</x:v>
      </x:c>
      <x:c r="F481" s="16" t="str">
        <x:v>שקר</x:v>
      </x:c>
      <x:c r="G481" s="20" t="str">
        <x:v>lie, deception, falsehood</x:v>
      </x:c>
      <x:c r="H481" s="20" t="str"/>
      <x:c r="I481" s="21" t="str">
        <x:v>BBH2 課序</x:v>
      </x:c>
      <x:c r="J481" s="21" t="n">
        <x:v>27</x:v>
      </x:c>
      <x:c r="K481" s="22" t="n">
        <x:v>113</x:v>
      </x:c>
      <x:c r="L481" s="21" t="str">
        <x:v>H8267</x:v>
      </x:c>
      <x:c r="M481" s="21" t="str">
        <x:v>noun</x:v>
      </x:c>
      <x:c r="N481" s="21" t="str">
        <x:v>否</x:v>
      </x:c>
      <x:c r="O481" s="21" t="str"/>
      <x:c r="P481" s="21" t="str">
        <x:v>source_and_lexicon_matched</x:v>
      </x:c>
      <x:c r="Q481" s="21" t="str">
        <x:v>rule_generated_exception_review</x:v>
      </x:c>
      <x:c r="R481" s="20" t="str">
        <x:v>https://hebrewsyntax.org/bbh2new/</x:v>
      </x:c>
    </x:row>
    <x:row r="482" ht="28" customHeight="1">
      <x:c r="A482" s="21" t="n">
        <x:v>478</x:v>
      </x:c>
      <x:c r="B482" s="21" t="n">
        <x:f>ROUNDUP(A482/20,0)</x:f>
        <x:v>24</x:v>
      </x:c>
      <x:c r="C482" s="21" t="n">
        <x:f>MOD(A482-1,20)+1</x:f>
        <x:v>18</x:v>
      </x:c>
      <x:c r="D482" s="18" t="str">
        <x:v>אָסַר</x:v>
      </x:c>
      <x:c r="E482" s="19" t="str">
        <x:v>ʾāsar</x:v>
      </x:c>
      <x:c r="F482" s="16" t="str">
        <x:v>אסר</x:v>
      </x:c>
      <x:c r="G482" s="20" t="str">
        <x:v>to tie, bind, fetter, imprison</x:v>
      </x:c>
      <x:c r="H482" s="20" t="str"/>
      <x:c r="I482" s="21" t="str">
        <x:v>BBH2 課序</x:v>
      </x:c>
      <x:c r="J482" s="21" t="n">
        <x:v>28</x:v>
      </x:c>
      <x:c r="K482" s="22" t="n">
        <x:v>73</x:v>
      </x:c>
      <x:c r="L482" s="21" t="str">
        <x:v>H631</x:v>
      </x:c>
      <x:c r="M482" s="21" t="str">
        <x:v>verb</x:v>
      </x:c>
      <x:c r="N482" s="21" t="str">
        <x:v>否</x:v>
      </x:c>
      <x:c r="O482" s="21" t="str"/>
      <x:c r="P482" s="21" t="str">
        <x:v>source_and_lexicon_matched</x:v>
      </x:c>
      <x:c r="Q482" s="21" t="str">
        <x:v>rule_generated_exception_review</x:v>
      </x:c>
      <x:c r="R482" s="20" t="str">
        <x:v>https://hebrewsyntax.org/bbh2new/</x:v>
      </x:c>
    </x:row>
    <x:row r="483" ht="28" customHeight="1">
      <x:c r="A483" s="21" t="n">
        <x:v>479</x:v>
      </x:c>
      <x:c r="B483" s="21" t="n">
        <x:f>ROUNDUP(A483/20,0)</x:f>
        <x:v>24</x:v>
      </x:c>
      <x:c r="C483" s="21" t="n">
        <x:f>MOD(A483-1,20)+1</x:f>
        <x:v>19</x:v>
      </x:c>
      <x:c r="D483" s="18" t="str">
        <x:v>זָעַק</x:v>
      </x:c>
      <x:c r="E483" s="19" t="str">
        <x:v>zāʿaq</x:v>
      </x:c>
      <x:c r="F483" s="16" t="str">
        <x:v>זעק</x:v>
      </x:c>
      <x:c r="G483" s="20" t="str">
        <x:v>to cry (out), call for help, summon</x:v>
      </x:c>
      <x:c r="H483" s="20" t="str"/>
      <x:c r="I483" s="21" t="str">
        <x:v>BBH2 課序</x:v>
      </x:c>
      <x:c r="J483" s="21" t="n">
        <x:v>28</x:v>
      </x:c>
      <x:c r="K483" s="22" t="n">
        <x:v>73</x:v>
      </x:c>
      <x:c r="L483" s="21" t="str">
        <x:v>H2199</x:v>
      </x:c>
      <x:c r="M483" s="21" t="str">
        <x:v>verb</x:v>
      </x:c>
      <x:c r="N483" s="21" t="str">
        <x:v>否</x:v>
      </x:c>
      <x:c r="O483" s="21" t="str"/>
      <x:c r="P483" s="21" t="str">
        <x:v>source_and_lexicon_matched</x:v>
      </x:c>
      <x:c r="Q483" s="21" t="str">
        <x:v>rule_generated_exception_review</x:v>
      </x:c>
      <x:c r="R483" s="20" t="str">
        <x:v>https://hebrewsyntax.org/bbh2new/</x:v>
      </x:c>
    </x:row>
    <x:row r="484" ht="28" customHeight="1">
      <x:c r="A484" s="21" t="n">
        <x:v>480</x:v>
      </x:c>
      <x:c r="B484" s="21" t="n">
        <x:f>ROUNDUP(A484/20,0)</x:f>
        <x:v>24</x:v>
      </x:c>
      <x:c r="C484" s="21" t="n">
        <x:f>MOD(A484-1,20)+1</x:f>
        <x:v>20</x:v>
      </x:c>
      <x:c r="D484" s="18" t="str">
        <x:v>חָזָה</x:v>
      </x:c>
      <x:c r="E484" s="19" t="str">
        <x:v>ḥāzâ</x:v>
      </x:c>
      <x:c r="F484" s="16" t="str">
        <x:v>חזה</x:v>
      </x:c>
      <x:c r="G484" s="20" t="str">
        <x:v>to see, behold, perceive</x:v>
      </x:c>
      <x:c r="H484" s="20" t="str"/>
      <x:c r="I484" s="21" t="str">
        <x:v>BBH2 課序</x:v>
      </x:c>
      <x:c r="J484" s="21" t="n">
        <x:v>28</x:v>
      </x:c>
      <x:c r="K484" s="22" t="n">
        <x:v>51</x:v>
      </x:c>
      <x:c r="L484" s="21" t="str">
        <x:v>H2372</x:v>
      </x:c>
      <x:c r="M484" s="21" t="str">
        <x:v>verb</x:v>
      </x:c>
      <x:c r="N484" s="21" t="str">
        <x:v>否</x:v>
      </x:c>
      <x:c r="O484" s="21" t="str"/>
      <x:c r="P484" s="21" t="str">
        <x:v>source_and_lexicon_matched</x:v>
      </x:c>
      <x:c r="Q484" s="21" t="str">
        <x:v>rule_generated_exception_review</x:v>
      </x:c>
      <x:c r="R484" s="20" t="str">
        <x:v>https://hebrewsyntax.org/bbh2new/</x:v>
      </x:c>
    </x:row>
    <x:row r="485" ht="28" customHeight="1">
      <x:c r="A485" s="21" t="n">
        <x:v>481</x:v>
      </x:c>
      <x:c r="B485" s="21" t="n">
        <x:f>ROUNDUP(A485/20,0)</x:f>
        <x:v>25</x:v>
      </x:c>
      <x:c r="C485" s="21" t="n">
        <x:f>MOD(A485-1,20)+1</x:f>
        <x:v>1</x:v>
      </x:c>
      <x:c r="D485" s="18" t="str">
        <x:v>חָלָה</x:v>
      </x:c>
      <x:c r="E485" s="19" t="str">
        <x:v>ḥālâ</x:v>
      </x:c>
      <x:c r="F485" s="16" t="str">
        <x:v>חלה</x:v>
      </x:c>
      <x:c r="G485" s="20" t="str">
        <x:v>to be(come) weak or tired, be(come) sick</x:v>
      </x:c>
      <x:c r="H485" s="20" t="str"/>
      <x:c r="I485" s="21" t="str">
        <x:v>BBH2 課序</x:v>
      </x:c>
      <x:c r="J485" s="21" t="n">
        <x:v>28</x:v>
      </x:c>
      <x:c r="K485" s="22" t="n">
        <x:v>75</x:v>
      </x:c>
      <x:c r="L485" s="21" t="str">
        <x:v>H2470</x:v>
      </x:c>
      <x:c r="M485" s="21" t="str">
        <x:v>verb</x:v>
      </x:c>
      <x:c r="N485" s="21" t="str">
        <x:v>否</x:v>
      </x:c>
      <x:c r="O485" s="21" t="str"/>
      <x:c r="P485" s="21" t="str">
        <x:v>source_and_lexicon_matched</x:v>
      </x:c>
      <x:c r="Q485" s="21" t="str">
        <x:v>rule_generated_exception_review</x:v>
      </x:c>
      <x:c r="R485" s="20" t="str">
        <x:v>https://hebrewsyntax.org/bbh2new/</x:v>
      </x:c>
    </x:row>
    <x:row r="486" ht="28" customHeight="1">
      <x:c r="A486" s="21" t="n">
        <x:v>482</x:v>
      </x:c>
      <x:c r="B486" s="21" t="n">
        <x:f>ROUNDUP(A486/20,0)</x:f>
        <x:v>25</x:v>
      </x:c>
      <x:c r="C486" s="21" t="n">
        <x:f>MOD(A486-1,20)+1</x:f>
        <x:v>2</x:v>
      </x:c>
      <x:c r="D486" s="18" t="str">
        <x:v>חָנַן</x:v>
      </x:c>
      <x:c r="E486" s="19" t="str">
        <x:v>ḥānan</x:v>
      </x:c>
      <x:c r="F486" s="16" t="str">
        <x:v>חנן</x:v>
      </x:c>
      <x:c r="G486" s="20" t="str">
        <x:v>to be gracious to, show favor to, favor</x:v>
      </x:c>
      <x:c r="H486" s="20" t="str"/>
      <x:c r="I486" s="21" t="str">
        <x:v>BBH2 課序</x:v>
      </x:c>
      <x:c r="J486" s="21" t="n">
        <x:v>28</x:v>
      </x:c>
      <x:c r="K486" s="22" t="n">
        <x:v>79</x:v>
      </x:c>
      <x:c r="L486" s="21" t="str">
        <x:v>H2603</x:v>
      </x:c>
      <x:c r="M486" s="21" t="str">
        <x:v>verb</x:v>
      </x:c>
      <x:c r="N486" s="21" t="str">
        <x:v>否</x:v>
      </x:c>
      <x:c r="O486" s="21" t="str"/>
      <x:c r="P486" s="21" t="str">
        <x:v>source_and_lexicon_matched</x:v>
      </x:c>
      <x:c r="Q486" s="21" t="str">
        <x:v>rule_generated_exception_review</x:v>
      </x:c>
      <x:c r="R486" s="20" t="str">
        <x:v>https://hebrewsyntax.org/bbh2new/</x:v>
      </x:c>
    </x:row>
    <x:row r="487" ht="28" customHeight="1">
      <x:c r="A487" s="21" t="n">
        <x:v>483</x:v>
      </x:c>
      <x:c r="B487" s="21" t="n">
        <x:f>ROUNDUP(A487/20,0)</x:f>
        <x:v>25</x:v>
      </x:c>
      <x:c r="C487" s="21" t="n">
        <x:f>MOD(A487-1,20)+1</x:f>
        <x:v>3</x:v>
      </x:c>
      <x:c r="D487" s="18" t="str">
        <x:v>מָאַס</x:v>
      </x:c>
      <x:c r="E487" s="19" t="str">
        <x:v>māʾas</x:v>
      </x:c>
      <x:c r="F487" s="16" t="str">
        <x:v>מאס</x:v>
      </x:c>
      <x:c r="G487" s="20" t="str">
        <x:v>to refuse, reject, despise</x:v>
      </x:c>
      <x:c r="H487" s="20" t="str"/>
      <x:c r="I487" s="21" t="str">
        <x:v>BBH2 課序</x:v>
      </x:c>
      <x:c r="J487" s="21" t="n">
        <x:v>28</x:v>
      </x:c>
      <x:c r="K487" s="22" t="n">
        <x:v>76</x:v>
      </x:c>
      <x:c r="L487" s="21" t="str">
        <x:v>H3988</x:v>
      </x:c>
      <x:c r="M487" s="21" t="str">
        <x:v>verb</x:v>
      </x:c>
      <x:c r="N487" s="21" t="str">
        <x:v>否</x:v>
      </x:c>
      <x:c r="O487" s="21" t="str"/>
      <x:c r="P487" s="21" t="str">
        <x:v>source_and_lexicon_matched</x:v>
      </x:c>
      <x:c r="Q487" s="21" t="str">
        <x:v>rule_generated_exception_review</x:v>
      </x:c>
      <x:c r="R487" s="20" t="str">
        <x:v>https://hebrewsyntax.org/bbh2new/</x:v>
      </x:c>
    </x:row>
    <x:row r="488" ht="28" customHeight="1">
      <x:c r="A488" s="21" t="n">
        <x:v>484</x:v>
      </x:c>
      <x:c r="B488" s="21" t="n">
        <x:f>ROUNDUP(A488/20,0)</x:f>
        <x:v>25</x:v>
      </x:c>
      <x:c r="C488" s="21" t="n">
        <x:f>MOD(A488-1,20)+1</x:f>
        <x:v>4</x:v>
      </x:c>
      <x:c r="D488" s="18" t="str">
        <x:v>עוּר</x:v>
      </x:c>
      <x:c r="E488" s="19" t="str">
        <x:v>ʿûr</x:v>
      </x:c>
      <x:c r="F488" s="16" t="str">
        <x:v>עור</x:v>
      </x:c>
      <x:c r="G488" s="20" t="str">
        <x:v>to be awake, stir up</x:v>
      </x:c>
      <x:c r="H488" s="20" t="str"/>
      <x:c r="I488" s="21" t="str">
        <x:v>BBH2 課序</x:v>
      </x:c>
      <x:c r="J488" s="21" t="n">
        <x:v>28</x:v>
      </x:c>
      <x:c r="K488" s="22" t="n">
        <x:v>80</x:v>
      </x:c>
      <x:c r="L488" s="21" t="str">
        <x:v>H5782</x:v>
      </x:c>
      <x:c r="M488" s="21" t="str">
        <x:v>verb</x:v>
      </x:c>
      <x:c r="N488" s="21" t="str">
        <x:v>否</x:v>
      </x:c>
      <x:c r="O488" s="21" t="str"/>
      <x:c r="P488" s="21" t="str">
        <x:v>source_and_lexicon_matched</x:v>
      </x:c>
      <x:c r="Q488" s="21" t="str">
        <x:v>rule_generated_exception_review</x:v>
      </x:c>
      <x:c r="R488" s="20" t="str">
        <x:v>https://hebrewsyntax.org/bbh2new/</x:v>
      </x:c>
    </x:row>
    <x:row r="489" ht="28" customHeight="1">
      <x:c r="A489" s="21" t="n">
        <x:v>485</x:v>
      </x:c>
      <x:c r="B489" s="21" t="n">
        <x:f>ROUNDUP(A489/20,0)</x:f>
        <x:v>25</x:v>
      </x:c>
      <x:c r="C489" s="21" t="n">
        <x:f>MOD(A489-1,20)+1</x:f>
        <x:v>5</x:v>
      </x:c>
      <x:c r="D489" s="18" t="str">
        <x:v>עָרַךְ</x:v>
      </x:c>
      <x:c r="E489" s="19" t="str">
        <x:v>ʿāraḵ</x:v>
      </x:c>
      <x:c r="F489" s="16" t="str">
        <x:v>ערך</x:v>
      </x:c>
      <x:c r="G489" s="20" t="str">
        <x:v>to lay out, set in rows, arrange, stack (wood), draw up a battle formation</x:v>
      </x:c>
      <x:c r="H489" s="20" t="str"/>
      <x:c r="I489" s="21" t="str">
        <x:v>BBH2 課序</x:v>
      </x:c>
      <x:c r="J489" s="21" t="n">
        <x:v>28</x:v>
      </x:c>
      <x:c r="K489" s="22" t="n">
        <x:v>76</x:v>
      </x:c>
      <x:c r="L489" s="21" t="str">
        <x:v>H6186</x:v>
      </x:c>
      <x:c r="M489" s="21" t="str">
        <x:v>verb</x:v>
      </x:c>
      <x:c r="N489" s="21" t="str">
        <x:v>否</x:v>
      </x:c>
      <x:c r="O489" s="21" t="str"/>
      <x:c r="P489" s="21" t="str">
        <x:v>source_and_lexicon_matched</x:v>
      </x:c>
      <x:c r="Q489" s="21" t="str">
        <x:v>rule_generated_exception_review</x:v>
      </x:c>
      <x:c r="R489" s="20" t="str">
        <x:v>https://hebrewsyntax.org/bbh2new/</x:v>
      </x:c>
    </x:row>
    <x:row r="490" ht="28" customHeight="1">
      <x:c r="A490" s="21" t="n">
        <x:v>486</x:v>
      </x:c>
      <x:c r="B490" s="21" t="n">
        <x:f>ROUNDUP(A490/20,0)</x:f>
        <x:v>25</x:v>
      </x:c>
      <x:c r="C490" s="21" t="n">
        <x:f>MOD(A490-1,20)+1</x:f>
        <x:v>6</x:v>
      </x:c>
      <x:c r="D490" s="18" t="str">
        <x:v>רָחַץ</x:v>
      </x:c>
      <x:c r="E490" s="19" t="str">
        <x:v>rāḥaṣ</x:v>
      </x:c>
      <x:c r="F490" s="16" t="str">
        <x:v>רחץ</x:v>
      </x:c>
      <x:c r="G490" s="20" t="str">
        <x:v>to wash, bathe</x:v>
      </x:c>
      <x:c r="H490" s="20" t="str"/>
      <x:c r="I490" s="21" t="str">
        <x:v>BBH2 課序</x:v>
      </x:c>
      <x:c r="J490" s="21" t="n">
        <x:v>28</x:v>
      </x:c>
      <x:c r="K490" s="22" t="n">
        <x:v>72</x:v>
      </x:c>
      <x:c r="L490" s="21" t="str">
        <x:v>H7364</x:v>
      </x:c>
      <x:c r="M490" s="21" t="str">
        <x:v>verb</x:v>
      </x:c>
      <x:c r="N490" s="21" t="str">
        <x:v>否</x:v>
      </x:c>
      <x:c r="O490" s="21" t="str"/>
      <x:c r="P490" s="21" t="str">
        <x:v>source_and_lexicon_matched</x:v>
      </x:c>
      <x:c r="Q490" s="21" t="str">
        <x:v>rule_generated_exception_review</x:v>
      </x:c>
      <x:c r="R490" s="20" t="str">
        <x:v>https://hebrewsyntax.org/bbh2new/</x:v>
      </x:c>
    </x:row>
    <x:row r="491" ht="28" customHeight="1">
      <x:c r="A491" s="21" t="n">
        <x:v>487</x:v>
      </x:c>
      <x:c r="B491" s="21" t="n">
        <x:f>ROUNDUP(A491/20,0)</x:f>
        <x:v>25</x:v>
      </x:c>
      <x:c r="C491" s="21" t="n">
        <x:f>MOD(A491-1,20)+1</x:f>
        <x:v>7</x:v>
      </x:c>
      <x:c r="D491" s="18" t="str">
        <x:v>שָׂכַל</x:v>
      </x:c>
      <x:c r="E491" s="19" t="str">
        <x:v>śāḵal</x:v>
      </x:c>
      <x:c r="F491" s="16" t="str">
        <x:v>שכל</x:v>
      </x:c>
      <x:c r="G491" s="20" t="str">
        <x:v>(H) to understand, comprehend, have insight, make wise, have success</x:v>
      </x:c>
      <x:c r="H491" s="20" t="str"/>
      <x:c r="I491" s="21" t="str">
        <x:v>BBH2 課序</x:v>
      </x:c>
      <x:c r="J491" s="21" t="n">
        <x:v>28</x:v>
      </x:c>
      <x:c r="K491" s="22" t="n">
        <x:v>63</x:v>
      </x:c>
      <x:c r="L491" s="21" t="str">
        <x:v>H7919</x:v>
      </x:c>
      <x:c r="M491" s="21" t="str">
        <x:v>verb</x:v>
      </x:c>
      <x:c r="N491" s="21" t="str">
        <x:v>否</x:v>
      </x:c>
      <x:c r="O491" s="21" t="str"/>
      <x:c r="P491" s="21" t="str">
        <x:v>source_and_lexicon_matched</x:v>
      </x:c>
      <x:c r="Q491" s="21" t="str">
        <x:v>rule_generated_exception_review</x:v>
      </x:c>
      <x:c r="R491" s="20" t="str">
        <x:v>https://hebrewsyntax.org/bbh2new/</x:v>
      </x:c>
    </x:row>
    <x:row r="492" ht="28" customHeight="1">
      <x:c r="A492" s="21" t="n">
        <x:v>488</x:v>
      </x:c>
      <x:c r="B492" s="21" t="n">
        <x:f>ROUNDUP(A492/20,0)</x:f>
        <x:v>25</x:v>
      </x:c>
      <x:c r="C492" s="21" t="n">
        <x:f>MOD(A492-1,20)+1</x:f>
        <x:v>8</x:v>
      </x:c>
      <x:c r="D492" s="18" t="str">
        <x:v>מַרְאֶה</x:v>
      </x:c>
      <x:c r="E492" s="19" t="str">
        <x:v>marʾê</x:v>
      </x:c>
      <x:c r="F492" s="16" t="str">
        <x:v>מראה</x:v>
      </x:c>
      <x:c r="G492" s="20" t="str">
        <x:v>vision, sight, appearance</x:v>
      </x:c>
      <x:c r="H492" s="20" t="str"/>
      <x:c r="I492" s="21" t="str">
        <x:v>BBH2 課序</x:v>
      </x:c>
      <x:c r="J492" s="21" t="n">
        <x:v>28</x:v>
      </x:c>
      <x:c r="K492" s="22" t="n">
        <x:v>104</x:v>
      </x:c>
      <x:c r="L492" s="21" t="str">
        <x:v>H4758</x:v>
      </x:c>
      <x:c r="M492" s="21" t="str">
        <x:v>noun</x:v>
      </x:c>
      <x:c r="N492" s="21" t="str">
        <x:v>否</x:v>
      </x:c>
      <x:c r="O492" s="21" t="str"/>
      <x:c r="P492" s="21" t="str">
        <x:v>source_and_lexicon_matched</x:v>
      </x:c>
      <x:c r="Q492" s="21" t="str">
        <x:v>rule_generated_exception_review</x:v>
      </x:c>
      <x:c r="R492" s="20" t="str">
        <x:v>https://hebrewsyntax.org/bbh2new/</x:v>
      </x:c>
    </x:row>
    <x:row r="493" ht="28" customHeight="1">
      <x:c r="A493" s="21" t="n">
        <x:v>489</x:v>
      </x:c>
      <x:c r="B493" s="21" t="n">
        <x:f>ROUNDUP(A493/20,0)</x:f>
        <x:v>25</x:v>
      </x:c>
      <x:c r="C493" s="21" t="n">
        <x:f>MOD(A493-1,20)+1</x:f>
        <x:v>9</x:v>
      </x:c>
      <x:c r="D493" s="18" t="str">
        <x:v>נֶ֫גֶב</x:v>
      </x:c>
      <x:c r="E493" s="19" t="str">
        <x:v>neg̅eḇ</x:v>
      </x:c>
      <x:c r="F493" s="16" t="str">
        <x:v>נגב</x:v>
      </x:c>
      <x:c r="G493" s="20" t="str">
        <x:v>south, Negev</x:v>
      </x:c>
      <x:c r="H493" s="20" t="str"/>
      <x:c r="I493" s="21" t="str">
        <x:v>BBH2 課序</x:v>
      </x:c>
      <x:c r="J493" s="21" t="n">
        <x:v>28</x:v>
      </x:c>
      <x:c r="K493" s="22" t="n">
        <x:v>111</x:v>
      </x:c>
      <x:c r="L493" s="21" t="str">
        <x:v>H5045</x:v>
      </x:c>
      <x:c r="M493" s="21" t="str">
        <x:v>noun</x:v>
      </x:c>
      <x:c r="N493" s="21" t="str">
        <x:v>是</x:v>
      </x:c>
      <x:c r="O493" s="21" t="str">
        <x:v>地名</x:v>
      </x:c>
      <x:c r="P493" s="21" t="str">
        <x:v>source_and_lexicon_matched</x:v>
      </x:c>
      <x:c r="Q493" s="21" t="str">
        <x:v>rule_generated_exception_review</x:v>
      </x:c>
      <x:c r="R493" s="20" t="str">
        <x:v>https://hebrewsyntax.org/bbh2new/</x:v>
      </x:c>
    </x:row>
    <x:row r="494" ht="28" customHeight="1">
      <x:c r="A494" s="21" t="n">
        <x:v>490</x:v>
      </x:c>
      <x:c r="B494" s="21" t="n">
        <x:f>ROUNDUP(A494/20,0)</x:f>
        <x:v>25</x:v>
      </x:c>
      <x:c r="C494" s="21" t="n">
        <x:f>MOD(A494-1,20)+1</x:f>
        <x:v>10</x:v>
      </x:c>
      <x:c r="D494" s="18" t="str">
        <x:v>עָפָר</x:v>
      </x:c>
      <x:c r="E494" s="19" t="str">
        <x:v>ʿāp̄ār</x:v>
      </x:c>
      <x:c r="F494" s="16" t="str">
        <x:v>עפר</x:v>
      </x:c>
      <x:c r="G494" s="20" t="str">
        <x:v>dust, dry earth</x:v>
      </x:c>
      <x:c r="H494" s="20" t="str"/>
      <x:c r="I494" s="21" t="str">
        <x:v>BBH2 課序</x:v>
      </x:c>
      <x:c r="J494" s="21" t="n">
        <x:v>28</x:v>
      </x:c>
      <x:c r="K494" s="22" t="n">
        <x:v>110</x:v>
      </x:c>
      <x:c r="L494" s="21" t="str">
        <x:v>H6083</x:v>
      </x:c>
      <x:c r="M494" s="21" t="str">
        <x:v>noun</x:v>
      </x:c>
      <x:c r="N494" s="21" t="str">
        <x:v>否</x:v>
      </x:c>
      <x:c r="O494" s="21" t="str"/>
      <x:c r="P494" s="21" t="str">
        <x:v>source_and_lexicon_matched</x:v>
      </x:c>
      <x:c r="Q494" s="21" t="str">
        <x:v>rule_generated_exception_review</x:v>
      </x:c>
      <x:c r="R494" s="20" t="str">
        <x:v>https://hebrewsyntax.org/bbh2new/</x:v>
      </x:c>
    </x:row>
    <x:row r="495" ht="28" customHeight="1">
      <x:c r="A495" s="21" t="n">
        <x:v>491</x:v>
      </x:c>
      <x:c r="B495" s="21" t="n">
        <x:f>ROUNDUP(A495/20,0)</x:f>
        <x:v>25</x:v>
      </x:c>
      <x:c r="C495" s="21" t="n">
        <x:f>MOD(A495-1,20)+1</x:f>
        <x:v>11</x:v>
      </x:c>
      <x:c r="D495" s="18" t="str">
        <x:v>פַּ֫עַם</x:v>
      </x:c>
      <x:c r="E495" s="19" t="str">
        <x:v>paʿam</x:v>
      </x:c>
      <x:c r="F495" s="16" t="str">
        <x:v>פעם</x:v>
      </x:c>
      <x:c r="G495" s="20" t="str">
        <x:v>foot, pace, time [F]</x:v>
      </x:c>
      <x:c r="H495" s="20" t="str"/>
      <x:c r="I495" s="21" t="str">
        <x:v>BBH2 課序</x:v>
      </x:c>
      <x:c r="J495" s="21" t="n">
        <x:v>28</x:v>
      </x:c>
      <x:c r="K495" s="22" t="n">
        <x:v>118</x:v>
      </x:c>
      <x:c r="L495" s="21" t="str">
        <x:v>H6471</x:v>
      </x:c>
      <x:c r="M495" s="21" t="str">
        <x:v>noun</x:v>
      </x:c>
      <x:c r="N495" s="21" t="str">
        <x:v>否</x:v>
      </x:c>
      <x:c r="O495" s="21" t="str"/>
      <x:c r="P495" s="21" t="str">
        <x:v>source_and_lexicon_matched</x:v>
      </x:c>
      <x:c r="Q495" s="21" t="str">
        <x:v>rule_generated_exception_review</x:v>
      </x:c>
      <x:c r="R495" s="20" t="str">
        <x:v>https://hebrewsyntax.org/bbh2new/</x:v>
      </x:c>
    </x:row>
    <x:row r="496" ht="28" customHeight="1">
      <x:c r="A496" s="21" t="n">
        <x:v>492</x:v>
      </x:c>
      <x:c r="B496" s="21" t="n">
        <x:f>ROUNDUP(A496/20,0)</x:f>
        <x:v>25</x:v>
      </x:c>
      <x:c r="C496" s="21" t="n">
        <x:f>MOD(A496-1,20)+1</x:f>
        <x:v>12</x:v>
      </x:c>
      <x:c r="D496" s="18" t="str">
        <x:v>לִין</x:v>
      </x:c>
      <x:c r="E496" s="19" t="str">
        <x:v>lîn</x:v>
      </x:c>
      <x:c r="F496" s="16" t="str">
        <x:v>לין</x:v>
      </x:c>
      <x:c r="G496" s="20" t="str">
        <x:v>to remain overnight, spend the night, stay, dwell</x:v>
      </x:c>
      <x:c r="H496" s="20" t="str"/>
      <x:c r="I496" s="21" t="str">
        <x:v>BBH2 課序</x:v>
      </x:c>
      <x:c r="J496" s="21" t="n">
        <x:v>29</x:v>
      </x:c>
      <x:c r="K496" s="22" t="n">
        <x:v>87</x:v>
      </x:c>
      <x:c r="L496" s="21" t="str">
        <x:v>H3885</x:v>
      </x:c>
      <x:c r="M496" s="21" t="str">
        <x:v>verb</x:v>
      </x:c>
      <x:c r="N496" s="21" t="str">
        <x:v>否</x:v>
      </x:c>
      <x:c r="O496" s="21" t="str"/>
      <x:c r="P496" s="21" t="str">
        <x:v>source_and_lexicon_matched</x:v>
      </x:c>
      <x:c r="Q496" s="21" t="str">
        <x:v>rule_generated_exception_review</x:v>
      </x:c>
      <x:c r="R496" s="20" t="str">
        <x:v>https://hebrewsyntax.org/bbh2new/</x:v>
      </x:c>
    </x:row>
    <x:row r="497" ht="28" customHeight="1">
      <x:c r="A497" s="21" t="n">
        <x:v>493</x:v>
      </x:c>
      <x:c r="B497" s="21" t="n">
        <x:f>ROUNDUP(A497/20,0)</x:f>
        <x:v>25</x:v>
      </x:c>
      <x:c r="C497" s="21" t="n">
        <x:f>MOD(A497-1,20)+1</x:f>
        <x:v>13</x:v>
      </x:c>
      <x:c r="D497" s="18" t="str">
        <x:v>מָשַׁח</x:v>
      </x:c>
      <x:c r="E497" s="19" t="str">
        <x:v>māšaḥ</x:v>
      </x:c>
      <x:c r="F497" s="16" t="str">
        <x:v>משח</x:v>
      </x:c>
      <x:c r="G497" s="20" t="str">
        <x:v>to smear, anoint</x:v>
      </x:c>
      <x:c r="H497" s="20" t="str"/>
      <x:c r="I497" s="21" t="str">
        <x:v>BBH2 課序</x:v>
      </x:c>
      <x:c r="J497" s="21" t="n">
        <x:v>29</x:v>
      </x:c>
      <x:c r="K497" s="22" t="n">
        <x:v>69</x:v>
      </x:c>
      <x:c r="L497" s="21" t="str">
        <x:v>H4886</x:v>
      </x:c>
      <x:c r="M497" s="21" t="str">
        <x:v>verb</x:v>
      </x:c>
      <x:c r="N497" s="21" t="str">
        <x:v>否</x:v>
      </x:c>
      <x:c r="O497" s="21" t="str"/>
      <x:c r="P497" s="21" t="str">
        <x:v>source_and_lexicon_matched</x:v>
      </x:c>
      <x:c r="Q497" s="21" t="str">
        <x:v>rule_generated_exception_review</x:v>
      </x:c>
      <x:c r="R497" s="20" t="str">
        <x:v>https://hebrewsyntax.org/bbh2new/</x:v>
      </x:c>
    </x:row>
    <x:row r="498" ht="28" customHeight="1">
      <x:c r="A498" s="21" t="n">
        <x:v>494</x:v>
      </x:c>
      <x:c r="B498" s="21" t="n">
        <x:f>ROUNDUP(A498/20,0)</x:f>
        <x:v>25</x:v>
      </x:c>
      <x:c r="C498" s="21" t="n">
        <x:f>MOD(A498-1,20)+1</x:f>
        <x:v>14</x:v>
      </x:c>
      <x:c r="D498" s="18" t="str">
        <x:v>מָשִׁיחַ</x:v>
      </x:c>
      <x:c r="E498" s="19" t="str">
        <x:v>māšîaḥ</x:v>
      </x:c>
      <x:c r="F498" s="16" t="str">
        <x:v>משיח</x:v>
      </x:c>
      <x:c r="G498" s="20" t="str">
        <x:v>anointed one, Messiah</x:v>
      </x:c>
      <x:c r="H498" s="20" t="str"/>
      <x:c r="I498" s="21" t="str">
        <x:v>BBH2 課序</x:v>
      </x:c>
      <x:c r="J498" s="21" t="n">
        <x:v>29</x:v>
      </x:c>
      <x:c r="K498" s="22" t="n">
        <x:v>39</x:v>
      </x:c>
      <x:c r="L498" s="21" t="str">
        <x:v>H4899</x:v>
      </x:c>
      <x:c r="M498" s="21" t="str">
        <x:v>noun</x:v>
      </x:c>
      <x:c r="N498" s="21" t="str">
        <x:v>是</x:v>
      </x:c>
      <x:c r="O498" s="21" t="str">
        <x:v>神名／稱號</x:v>
      </x:c>
      <x:c r="P498" s="21" t="str">
        <x:v>source_and_lexicon_matched</x:v>
      </x:c>
      <x:c r="Q498" s="21" t="str">
        <x:v>rule_generated_exception_review</x:v>
      </x:c>
      <x:c r="R498" s="20" t="str">
        <x:v>https://hebrewsyntax.org/bbh2new/</x:v>
      </x:c>
    </x:row>
    <x:row r="499" ht="28" customHeight="1">
      <x:c r="A499" s="21" t="n">
        <x:v>495</x:v>
      </x:c>
      <x:c r="B499" s="21" t="n">
        <x:f>ROUNDUP(A499/20,0)</x:f>
        <x:v>25</x:v>
      </x:c>
      <x:c r="C499" s="21" t="n">
        <x:f>MOD(A499-1,20)+1</x:f>
        <x:v>15</x:v>
      </x:c>
      <x:c r="D499" s="18" t="str">
        <x:v>נָצַר</x:v>
      </x:c>
      <x:c r="E499" s="19" t="str">
        <x:v>nāṣar</x:v>
      </x:c>
      <x:c r="F499" s="16" t="str">
        <x:v>נצר</x:v>
      </x:c>
      <x:c r="G499" s="20" t="str">
        <x:v>to keep watch, watch over, guard, protect, preserve</x:v>
      </x:c>
      <x:c r="H499" s="20" t="str"/>
      <x:c r="I499" s="21" t="str">
        <x:v>BBH2 課序</x:v>
      </x:c>
      <x:c r="J499" s="21" t="n">
        <x:v>29</x:v>
      </x:c>
      <x:c r="K499" s="22" t="n">
        <x:v>63</x:v>
      </x:c>
      <x:c r="L499" s="21" t="str">
        <x:v>H5341</x:v>
      </x:c>
      <x:c r="M499" s="21" t="str">
        <x:v>verb</x:v>
      </x:c>
      <x:c r="N499" s="21" t="str">
        <x:v>否</x:v>
      </x:c>
      <x:c r="O499" s="21" t="str"/>
      <x:c r="P499" s="21" t="str">
        <x:v>source_and_lexicon_matched</x:v>
      </x:c>
      <x:c r="Q499" s="21" t="str">
        <x:v>rule_generated_exception_review</x:v>
      </x:c>
      <x:c r="R499" s="20" t="str">
        <x:v>https://hebrewsyntax.org/bbh2new/</x:v>
      </x:c>
    </x:row>
    <x:row r="500" ht="28" customHeight="1">
      <x:c r="A500" s="21" t="n">
        <x:v>496</x:v>
      </x:c>
      <x:c r="B500" s="21" t="n">
        <x:f>ROUNDUP(A500/20,0)</x:f>
        <x:v>25</x:v>
      </x:c>
      <x:c r="C500" s="21" t="n">
        <x:f>MOD(A500-1,20)+1</x:f>
        <x:v>16</x:v>
      </x:c>
      <x:c r="D500" s="18" t="str">
        <x:v>גֵּר</x:v>
      </x:c>
      <x:c r="E500" s="19" t="str">
        <x:v>gēr</x:v>
      </x:c>
      <x:c r="F500" s="16" t="str">
        <x:v>גר</x:v>
      </x:c>
      <x:c r="G500" s="20" t="str">
        <x:v>stranger, sojourner, alien</x:v>
      </x:c>
      <x:c r="H500" s="20" t="str"/>
      <x:c r="I500" s="21" t="str">
        <x:v>BBH2 課序</x:v>
      </x:c>
      <x:c r="J500" s="21" t="n">
        <x:v>29</x:v>
      </x:c>
      <x:c r="K500" s="22" t="n">
        <x:v>92</x:v>
      </x:c>
      <x:c r="L500" s="21" t="str">
        <x:v>H1616</x:v>
      </x:c>
      <x:c r="M500" s="21" t="str">
        <x:v>noun</x:v>
      </x:c>
      <x:c r="N500" s="21" t="str">
        <x:v>否</x:v>
      </x:c>
      <x:c r="O500" s="21" t="str"/>
      <x:c r="P500" s="21" t="str">
        <x:v>source_and_lexicon_matched</x:v>
      </x:c>
      <x:c r="Q500" s="21" t="str">
        <x:v>rule_generated_exception_review</x:v>
      </x:c>
      <x:c r="R500" s="20" t="str">
        <x:v>https://hebrewsyntax.org/bbh2new/</x:v>
      </x:c>
    </x:row>
    <x:row r="501" ht="28" customHeight="1">
      <x:c r="A501" s="21" t="n">
        <x:v>497</x:v>
      </x:c>
      <x:c r="B501" s="21" t="n">
        <x:f>ROUNDUP(A501/20,0)</x:f>
        <x:v>25</x:v>
      </x:c>
      <x:c r="C501" s="21" t="n">
        <x:f>MOD(A501-1,20)+1</x:f>
        <x:v>17</x:v>
      </x:c>
      <x:c r="D501" s="18" t="str">
        <x:v>חַיָּה</x:v>
      </x:c>
      <x:c r="E501" s="19" t="str">
        <x:v>ḥayyâ</x:v>
      </x:c>
      <x:c r="F501" s="16" t="str">
        <x:v>חיה</x:v>
      </x:c>
      <x:c r="G501" s="20" t="str">
        <x:v>animal, beast</x:v>
      </x:c>
      <x:c r="H501" s="20" t="str"/>
      <x:c r="I501" s="21" t="str">
        <x:v>BBH2 課序</x:v>
      </x:c>
      <x:c r="J501" s="21" t="n">
        <x:v>29</x:v>
      </x:c>
      <x:c r="K501" s="22" t="n">
        <x:v>503</x:v>
      </x:c>
      <x:c r="L501" s="21" t="str">
        <x:v>H2416</x:v>
      </x:c>
      <x:c r="M501" s="21" t="str">
        <x:v>adjective</x:v>
      </x:c>
      <x:c r="N501" s="21" t="str">
        <x:v>否</x:v>
      </x:c>
      <x:c r="O501" s="21" t="str"/>
      <x:c r="P501" s="21" t="str">
        <x:v>source_and_lexicon_matched</x:v>
      </x:c>
      <x:c r="Q501" s="21" t="str">
        <x:v>rule_generated_exception_review</x:v>
      </x:c>
      <x:c r="R501" s="20" t="str">
        <x:v>https://hebrewsyntax.org/bbh2new/</x:v>
      </x:c>
    </x:row>
    <x:row r="502" ht="28" customHeight="1">
      <x:c r="A502" s="21" t="n">
        <x:v>498</x:v>
      </x:c>
      <x:c r="B502" s="21" t="n">
        <x:f>ROUNDUP(A502/20,0)</x:f>
        <x:v>25</x:v>
      </x:c>
      <x:c r="C502" s="21" t="n">
        <x:f>MOD(A502-1,20)+1</x:f>
        <x:v>18</x:v>
      </x:c>
      <x:c r="D502" s="18" t="str">
        <x:v>חֵ֫לֶב</x:v>
      </x:c>
      <x:c r="E502" s="19" t="str">
        <x:v>ḥēleḇ</x:v>
      </x:c>
      <x:c r="F502" s="16" t="str">
        <x:v>חלב</x:v>
      </x:c>
      <x:c r="G502" s="20" t="str">
        <x:v>fat; (metaphorically) best, choice part</x:v>
      </x:c>
      <x:c r="H502" s="20" t="str"/>
      <x:c r="I502" s="21" t="str">
        <x:v>BBH2 課序</x:v>
      </x:c>
      <x:c r="J502" s="21" t="n">
        <x:v>29</x:v>
      </x:c>
      <x:c r="K502" s="22" t="n">
        <x:v>92</x:v>
      </x:c>
      <x:c r="L502" s="21" t="str">
        <x:v>H2459</x:v>
      </x:c>
      <x:c r="M502" s="21" t="str">
        <x:v>noun</x:v>
      </x:c>
      <x:c r="N502" s="21" t="str">
        <x:v>否</x:v>
      </x:c>
      <x:c r="O502" s="21" t="str"/>
      <x:c r="P502" s="21" t="str">
        <x:v>source_and_lexicon_matched</x:v>
      </x:c>
      <x:c r="Q502" s="21" t="str">
        <x:v>rule_generated_exception_review</x:v>
      </x:c>
      <x:c r="R502" s="20" t="str">
        <x:v>https://hebrewsyntax.org/bbh2new/</x:v>
      </x:c>
    </x:row>
    <x:row r="503" ht="28" customHeight="1">
      <x:c r="A503" s="21" t="n">
        <x:v>499</x:v>
      </x:c>
      <x:c r="B503" s="21" t="n">
        <x:f>ROUNDUP(A503/20,0)</x:f>
        <x:v>25</x:v>
      </x:c>
      <x:c r="C503" s="21" t="n">
        <x:f>MOD(A503-1,20)+1</x:f>
        <x:v>19</x:v>
      </x:c>
      <x:c r="D503" s="18" t="str">
        <x:v>חֲמוֹר</x:v>
      </x:c>
      <x:c r="E503" s="19" t="str">
        <x:v>ḥămôr</x:v>
      </x:c>
      <x:c r="F503" s="16" t="str">
        <x:v>חמור</x:v>
      </x:c>
      <x:c r="G503" s="20" t="str">
        <x:v>donkey</x:v>
      </x:c>
      <x:c r="H503" s="20" t="str"/>
      <x:c r="I503" s="21" t="str">
        <x:v>BBH2 課序</x:v>
      </x:c>
      <x:c r="J503" s="21" t="n">
        <x:v>29</x:v>
      </x:c>
      <x:c r="K503" s="22" t="n">
        <x:v>96</x:v>
      </x:c>
      <x:c r="L503" s="21" t="str">
        <x:v>H2543</x:v>
      </x:c>
      <x:c r="M503" s="21" t="str">
        <x:v>noun</x:v>
      </x:c>
      <x:c r="N503" s="21" t="str">
        <x:v>否</x:v>
      </x:c>
      <x:c r="O503" s="21" t="str"/>
      <x:c r="P503" s="21" t="str">
        <x:v>source_and_lexicon_matched</x:v>
      </x:c>
      <x:c r="Q503" s="21" t="str">
        <x:v>rule_generated_exception_review</x:v>
      </x:c>
      <x:c r="R503" s="20" t="str">
        <x:v>https://hebrewsyntax.org/bbh2new/</x:v>
      </x:c>
    </x:row>
    <x:row r="504" ht="28" customHeight="1">
      <x:c r="A504" s="21" t="n">
        <x:v>500</x:v>
      </x:c>
      <x:c r="B504" s="21" t="n">
        <x:f>ROUNDUP(A504/20,0)</x:f>
        <x:v>25</x:v>
      </x:c>
      <x:c r="C504" s="21" t="n">
        <x:f>MOD(A504-1,20)+1</x:f>
        <x:v>20</x:v>
      </x:c>
      <x:c r="D504" s="18" t="str">
        <x:v>יֶ֫תֶר</x:v>
      </x:c>
      <x:c r="E504" s="19" t="str">
        <x:v>yeṯer</x:v>
      </x:c>
      <x:c r="F504" s="16" t="str">
        <x:v>יתר</x:v>
      </x:c>
      <x:c r="G504" s="20" t="str">
        <x:v>rest, remainder, excess</x:v>
      </x:c>
      <x:c r="H504" s="20" t="str"/>
      <x:c r="I504" s="21" t="str">
        <x:v>BBH2 課序</x:v>
      </x:c>
      <x:c r="J504" s="21" t="n">
        <x:v>29</x:v>
      </x:c>
      <x:c r="K504" s="22" t="n">
        <x:v>102</x:v>
      </x:c>
      <x:c r="L504" s="21" t="str">
        <x:v>H3499</x:v>
      </x:c>
      <x:c r="M504" s="21" t="str">
        <x:v>noun</x:v>
      </x:c>
      <x:c r="N504" s="21" t="str">
        <x:v>否</x:v>
      </x:c>
      <x:c r="O504" s="21" t="str"/>
      <x:c r="P504" s="21" t="str">
        <x:v>source_and_lexicon_matched</x:v>
      </x:c>
      <x:c r="Q504" s="21" t="str">
        <x:v>rule_generated_exception_review</x:v>
      </x:c>
      <x:c r="R504" s="20" t="str">
        <x:v>https://hebrewsyntax.org/bbh2new/</x:v>
      </x:c>
    </x:row>
    <x:row r="505" ht="28" customHeight="1">
      <x:c r="A505" s="21" t="n">
        <x:v>501</x:v>
      </x:c>
      <x:c r="B505" s="21" t="n">
        <x:f>ROUNDUP(A505/20,0)</x:f>
        <x:v>26</x:v>
      </x:c>
      <x:c r="C505" s="21" t="n">
        <x:f>MOD(A505-1,20)+1</x:f>
        <x:v>1</x:v>
      </x:c>
      <x:c r="D505" s="18" t="str">
        <x:v>עוֹר</x:v>
      </x:c>
      <x:c r="E505" s="19" t="str">
        <x:v>ʿôr</x:v>
      </x:c>
      <x:c r="F505" s="16" t="str">
        <x:v>עור</x:v>
      </x:c>
      <x:c r="G505" s="20" t="str">
        <x:v>skin, hide, leather</x:v>
      </x:c>
      <x:c r="H505" s="20" t="str"/>
      <x:c r="I505" s="21" t="str">
        <x:v>BBH2 課序</x:v>
      </x:c>
      <x:c r="J505" s="21" t="n">
        <x:v>29</x:v>
      </x:c>
      <x:c r="K505" s="22" t="n">
        <x:v>99</x:v>
      </x:c>
      <x:c r="L505" s="21" t="str">
        <x:v>H5785</x:v>
      </x:c>
      <x:c r="M505" s="21" t="str">
        <x:v>noun</x:v>
      </x:c>
      <x:c r="N505" s="21" t="str">
        <x:v>否</x:v>
      </x:c>
      <x:c r="O505" s="21" t="str"/>
      <x:c r="P505" s="21" t="str">
        <x:v>source_and_lexicon_matched</x:v>
      </x:c>
      <x:c r="Q505" s="21" t="str">
        <x:v>rule_generated_exception_review</x:v>
      </x:c>
      <x:c r="R505" s="20" t="str">
        <x:v>https://hebrewsyntax.org/bbh2new/</x:v>
      </x:c>
    </x:row>
    <x:row r="506" ht="28" customHeight="1">
      <x:c r="A506" s="21" t="n">
        <x:v>502</x:v>
      </x:c>
      <x:c r="B506" s="21" t="n">
        <x:f>ROUNDUP(A506/20,0)</x:f>
        <x:v>26</x:v>
      </x:c>
      <x:c r="C506" s="21" t="n">
        <x:f>MOD(A506-1,20)+1</x:f>
        <x:v>2</x:v>
      </x:c>
      <x:c r="D506" s="18" t="str">
        <x:v>עֹז</x:v>
      </x:c>
      <x:c r="E506" s="19" t="str">
        <x:v>ʿōz</x:v>
      </x:c>
      <x:c r="F506" s="16" t="str">
        <x:v>עז</x:v>
      </x:c>
      <x:c r="G506" s="20" t="str">
        <x:v>strength, power, might</x:v>
      </x:c>
      <x:c r="H506" s="20" t="str"/>
      <x:c r="I506" s="21" t="str">
        <x:v>BBH2 課序</x:v>
      </x:c>
      <x:c r="J506" s="21" t="n">
        <x:v>29</x:v>
      </x:c>
      <x:c r="K506" s="22" t="n">
        <x:v>92</x:v>
      </x:c>
      <x:c r="L506" s="21" t="str">
        <x:v>H5797</x:v>
      </x:c>
      <x:c r="M506" s="21" t="str">
        <x:v>noun</x:v>
      </x:c>
      <x:c r="N506" s="21" t="str">
        <x:v>否</x:v>
      </x:c>
      <x:c r="O506" s="21" t="str"/>
      <x:c r="P506" s="21" t="str">
        <x:v>source_and_lexicon_matched</x:v>
      </x:c>
      <x:c r="Q506" s="21" t="str">
        <x:v>rule_generated_exception_review</x:v>
      </x:c>
      <x:c r="R506" s="20" t="str">
        <x:v>https://hebrewsyntax.org/bbh2new/</x:v>
      </x:c>
    </x:row>
    <x:row r="507" ht="28" customHeight="1">
      <x:c r="A507" s="21" t="n">
        <x:v>503</x:v>
      </x:c>
      <x:c r="B507" s="21" t="n">
        <x:f>ROUNDUP(A507/20,0)</x:f>
        <x:v>26</x:v>
      </x:c>
      <x:c r="C507" s="21" t="n">
        <x:f>MOD(A507-1,20)+1</x:f>
        <x:v>3</x:v>
      </x:c>
      <x:c r="D507" s="18" t="str">
        <x:v>פֶּ֫שַׁע</x:v>
      </x:c>
      <x:c r="E507" s="19" t="str">
        <x:v>pešaʿ</x:v>
      </x:c>
      <x:c r="F507" s="16" t="str">
        <x:v>פשע</x:v>
      </x:c>
      <x:c r="G507" s="20" t="str">
        <x:v>transgression, rebellion, crime</x:v>
      </x:c>
      <x:c r="H507" s="20" t="str"/>
      <x:c r="I507" s="21" t="str">
        <x:v>BBH2 課序</x:v>
      </x:c>
      <x:c r="J507" s="21" t="n">
        <x:v>29</x:v>
      </x:c>
      <x:c r="K507" s="22" t="n">
        <x:v>93</x:v>
      </x:c>
      <x:c r="L507" s="21" t="str">
        <x:v>H6588</x:v>
      </x:c>
      <x:c r="M507" s="21" t="str">
        <x:v>noun</x:v>
      </x:c>
      <x:c r="N507" s="21" t="str">
        <x:v>否</x:v>
      </x:c>
      <x:c r="O507" s="21" t="str"/>
      <x:c r="P507" s="21" t="str">
        <x:v>source_and_lexicon_matched</x:v>
      </x:c>
      <x:c r="Q507" s="21" t="str">
        <x:v>rule_generated_exception_review</x:v>
      </x:c>
      <x:c r="R507" s="20" t="str">
        <x:v>https://hebrewsyntax.org/bbh2new/</x:v>
      </x:c>
    </x:row>
    <x:row r="508" ht="28" customHeight="1">
      <x:c r="A508" s="21" t="n">
        <x:v>504</x:v>
      </x:c>
      <x:c r="B508" s="21" t="n">
        <x:f>ROUNDUP(A508/20,0)</x:f>
        <x:v>26</x:v>
      </x:c>
      <x:c r="C508" s="21" t="n">
        <x:f>MOD(A508-1,20)+1</x:f>
        <x:v>4</x:v>
      </x:c>
      <x:c r="D508" s="18" t="str">
        <x:v>קָצֶה</x:v>
      </x:c>
      <x:c r="E508" s="19" t="str">
        <x:v>qāṣê</x:v>
      </x:c>
      <x:c r="F508" s="16" t="str">
        <x:v>קצה</x:v>
      </x:c>
      <x:c r="G508" s="20" t="str">
        <x:v>end, border, outskirts</x:v>
      </x:c>
      <x:c r="H508" s="20" t="str"/>
      <x:c r="I508" s="21" t="str">
        <x:v>BBH2 課序</x:v>
      </x:c>
      <x:c r="J508" s="21" t="n">
        <x:v>29</x:v>
      </x:c>
      <x:c r="K508" s="22" t="n">
        <x:v>97</x:v>
      </x:c>
      <x:c r="L508" s="21" t="str">
        <x:v>H7097</x:v>
      </x:c>
      <x:c r="M508" s="21" t="str">
        <x:v>noun</x:v>
      </x:c>
      <x:c r="N508" s="21" t="str">
        <x:v>否</x:v>
      </x:c>
      <x:c r="O508" s="21" t="str"/>
      <x:c r="P508" s="21" t="str">
        <x:v>source_and_lexicon_matched</x:v>
      </x:c>
      <x:c r="Q508" s="21" t="str">
        <x:v>rule_generated_exception_review</x:v>
      </x:c>
      <x:c r="R508" s="20" t="str">
        <x:v>https://hebrewsyntax.org/bbh2new/</x:v>
      </x:c>
    </x:row>
    <x:row r="509" ht="28" customHeight="1">
      <x:c r="A509" s="21" t="n">
        <x:v>505</x:v>
      </x:c>
      <x:c r="B509" s="21" t="n">
        <x:f>ROUNDUP(A509/20,0)</x:f>
        <x:v>26</x:v>
      </x:c>
      <x:c r="C509" s="21" t="n">
        <x:f>MOD(A509-1,20)+1</x:f>
        <x:v>5</x:v>
      </x:c>
      <x:c r="D509" s="18" t="str">
        <x:v>שִׂמְחָה</x:v>
      </x:c>
      <x:c r="E509" s="19" t="str">
        <x:v>śimḥâ</x:v>
      </x:c>
      <x:c r="F509" s="16" t="str">
        <x:v>שמחה</x:v>
      </x:c>
      <x:c r="G509" s="20" t="str">
        <x:v>joy, gladness</x:v>
      </x:c>
      <x:c r="H509" s="20" t="str"/>
      <x:c r="I509" s="21" t="str">
        <x:v>BBH2 課序</x:v>
      </x:c>
      <x:c r="J509" s="21" t="n">
        <x:v>29</x:v>
      </x:c>
      <x:c r="K509" s="22" t="n">
        <x:v>94</x:v>
      </x:c>
      <x:c r="L509" s="21" t="str">
        <x:v>H8057</x:v>
      </x:c>
      <x:c r="M509" s="21" t="str">
        <x:v>noun</x:v>
      </x:c>
      <x:c r="N509" s="21" t="str">
        <x:v>否</x:v>
      </x:c>
      <x:c r="O509" s="21" t="str"/>
      <x:c r="P509" s="21" t="str">
        <x:v>source_and_lexicon_matched</x:v>
      </x:c>
      <x:c r="Q509" s="21" t="str">
        <x:v>rule_generated_exception_review</x:v>
      </x:c>
      <x:c r="R509" s="20" t="str">
        <x:v>https://hebrewsyntax.org/bbh2new/</x:v>
      </x:c>
    </x:row>
    <x:row r="510" ht="28" customHeight="1">
      <x:c r="A510" s="21" t="n">
        <x:v>506</x:v>
      </x:c>
      <x:c r="B510" s="21" t="n">
        <x:f>ROUNDUP(A510/20,0)</x:f>
        <x:v>26</x:v>
      </x:c>
      <x:c r="C510" s="21" t="n">
        <x:f>MOD(A510-1,20)+1</x:f>
        <x:v>6</x:v>
      </x:c>
      <x:c r="D510" s="18" t="str">
        <x:v>תָּמִים</x:v>
      </x:c>
      <x:c r="E510" s="19" t="str">
        <x:v>tāmîm</x:v>
      </x:c>
      <x:c r="F510" s="16" t="str">
        <x:v>תמים</x:v>
      </x:c>
      <x:c r="G510" s="20" t="str">
        <x:v>blameless, perfect, honest, devout</x:v>
      </x:c>
      <x:c r="H510" s="20" t="str"/>
      <x:c r="I510" s="21" t="str">
        <x:v>BBH2 課序</x:v>
      </x:c>
      <x:c r="J510" s="21" t="n">
        <x:v>29</x:v>
      </x:c>
      <x:c r="K510" s="22" t="n">
        <x:v>91</x:v>
      </x:c>
      <x:c r="L510" s="21" t="str">
        <x:v>H8549</x:v>
      </x:c>
      <x:c r="M510" s="21" t="str">
        <x:v>adjective</x:v>
      </x:c>
      <x:c r="N510" s="21" t="str">
        <x:v>否</x:v>
      </x:c>
      <x:c r="O510" s="21" t="str"/>
      <x:c r="P510" s="21" t="str">
        <x:v>source_and_lexicon_matched</x:v>
      </x:c>
      <x:c r="Q510" s="21" t="str">
        <x:v>rule_generated_exception_review</x:v>
      </x:c>
      <x:c r="R510" s="20" t="str">
        <x:v>https://hebrewsyntax.org/bbh2new/</x:v>
      </x:c>
    </x:row>
    <x:row r="511" ht="28" customHeight="1">
      <x:c r="A511" s="21" t="n">
        <x:v>507</x:v>
      </x:c>
      <x:c r="B511" s="21" t="n">
        <x:f>ROUNDUP(A511/20,0)</x:f>
        <x:v>26</x:v>
      </x:c>
      <x:c r="C511" s="21" t="n">
        <x:f>MOD(A511-1,20)+1</x:f>
        <x:v>7</x:v>
      </x:c>
      <x:c r="D511" s="18" t="str">
        <x:v>חָלַל</x:v>
      </x:c>
      <x:c r="E511" s="19" t="str">
        <x:v>ḥālal</x:v>
      </x:c>
      <x:c r="F511" s="16" t="str">
        <x:v>חלל</x:v>
      </x:c>
      <x:c r="G511" s="20" t="str">
        <x:v>(N) to be defiled, defile oneself; (D) to profane, defile; (H) to let something be profaned, begin</x:v>
      </x:c>
      <x:c r="H511" s="20" t="str"/>
      <x:c r="I511" s="21" t="str">
        <x:v>BBH2 課序</x:v>
      </x:c>
      <x:c r="J511" s="21" t="n">
        <x:v>30</x:v>
      </x:c>
      <x:c r="K511" s="22" t="n">
        <x:v>143</x:v>
      </x:c>
      <x:c r="L511" s="21" t="str">
        <x:v>H2490</x:v>
      </x:c>
      <x:c r="M511" s="21" t="str">
        <x:v>verb</x:v>
      </x:c>
      <x:c r="N511" s="21" t="str">
        <x:v>否</x:v>
      </x:c>
      <x:c r="O511" s="21" t="str"/>
      <x:c r="P511" s="21" t="str">
        <x:v>source_and_lexicon_matched</x:v>
      </x:c>
      <x:c r="Q511" s="21" t="str">
        <x:v>rule_generated_exception_review</x:v>
      </x:c>
      <x:c r="R511" s="20" t="str">
        <x:v>https://hebrewsyntax.org/bbh2new/</x:v>
      </x:c>
    </x:row>
    <x:row r="512" ht="28" customHeight="1">
      <x:c r="A512" s="21" t="n">
        <x:v>508</x:v>
      </x:c>
      <x:c r="B512" s="21" t="n">
        <x:f>ROUNDUP(A512/20,0)</x:f>
        <x:v>26</x:v>
      </x:c>
      <x:c r="C512" s="21" t="n">
        <x:f>MOD(A512-1,20)+1</x:f>
        <x:v>8</x:v>
      </x:c>
      <x:c r="D512" s="18" t="str">
        <x:v>נָגַד</x:v>
      </x:c>
      <x:c r="E512" s="19" t="str">
        <x:v>nāg̅aḏ</x:v>
      </x:c>
      <x:c r="F512" s="16" t="str">
        <x:v>נגד</x:v>
      </x:c>
      <x:c r="G512" s="20" t="str">
        <x:v>(H) to tell, announce, report, declare, inform</x:v>
      </x:c>
      <x:c r="H512" s="20" t="str"/>
      <x:c r="I512" s="21" t="str">
        <x:v>BBH2 課序</x:v>
      </x:c>
      <x:c r="J512" s="21" t="n">
        <x:v>30</x:v>
      </x:c>
      <x:c r="K512" s="22" t="n">
        <x:v>371</x:v>
      </x:c>
      <x:c r="L512" s="21" t="str">
        <x:v>H5046</x:v>
      </x:c>
      <x:c r="M512" s="21" t="str">
        <x:v>verb</x:v>
      </x:c>
      <x:c r="N512" s="21" t="str">
        <x:v>否</x:v>
      </x:c>
      <x:c r="O512" s="21" t="str"/>
      <x:c r="P512" s="21" t="str">
        <x:v>source_and_lexicon_matched</x:v>
      </x:c>
      <x:c r="Q512" s="21" t="str">
        <x:v>rule_generated_exception_review</x:v>
      </x:c>
      <x:c r="R512" s="20" t="str">
        <x:v>https://hebrewsyntax.org/bbh2new/</x:v>
      </x:c>
    </x:row>
    <x:row r="513" ht="28" customHeight="1">
      <x:c r="A513" s="21" t="n">
        <x:v>509</x:v>
      </x:c>
      <x:c r="B513" s="21" t="n">
        <x:f>ROUNDUP(A513/20,0)</x:f>
        <x:v>26</x:v>
      </x:c>
      <x:c r="C513" s="21" t="n">
        <x:f>MOD(A513-1,20)+1</x:f>
        <x:v>9</x:v>
      </x:c>
      <x:c r="D513" s="18" t="str">
        <x:v>שָׁבַע</x:v>
      </x:c>
      <x:c r="E513" s="19" t="str">
        <x:v>šāḇaʿ</x:v>
      </x:c>
      <x:c r="F513" s="16" t="str">
        <x:v>שבע</x:v>
      </x:c>
      <x:c r="G513" s="20" t="str">
        <x:v>(N) to swear, take an oath; (H) to plead with someone</x:v>
      </x:c>
      <x:c r="H513" s="20" t="str"/>
      <x:c r="I513" s="21" t="str">
        <x:v>BBH2 課序</x:v>
      </x:c>
      <x:c r="J513" s="21" t="n">
        <x:v>30</x:v>
      </x:c>
      <x:c r="K513" s="22" t="n">
        <x:v>186</x:v>
      </x:c>
      <x:c r="L513" s="21" t="str">
        <x:v>H7650</x:v>
      </x:c>
      <x:c r="M513" s="21" t="str">
        <x:v>verb</x:v>
      </x:c>
      <x:c r="N513" s="21" t="str">
        <x:v>否</x:v>
      </x:c>
      <x:c r="O513" s="21" t="str"/>
      <x:c r="P513" s="21" t="str">
        <x:v>source_and_lexicon_matched</x:v>
      </x:c>
      <x:c r="Q513" s="21" t="str">
        <x:v>rule_generated_exception_review</x:v>
      </x:c>
      <x:c r="R513" s="20" t="str">
        <x:v>https://hebrewsyntax.org/bbh2new/</x:v>
      </x:c>
    </x:row>
    <x:row r="514" ht="28" customHeight="1">
      <x:c r="A514" s="21" t="n">
        <x:v>510</x:v>
      </x:c>
      <x:c r="B514" s="21" t="n">
        <x:f>ROUNDUP(A514/20,0)</x:f>
        <x:v>26</x:v>
      </x:c>
      <x:c r="C514" s="21" t="n">
        <x:f>MOD(A514-1,20)+1</x:f>
        <x:v>10</x:v>
      </x:c>
      <x:c r="D514" s="18" t="str">
        <x:v>שָׁלַךְ</x:v>
      </x:c>
      <x:c r="E514" s="19" t="str">
        <x:v>šālaḵ</x:v>
      </x:c>
      <x:c r="F514" s="16" t="str">
        <x:v>שלך</x:v>
      </x:c>
      <x:c r="G514" s="20" t="str">
        <x:v>(H) to send, throw (down, into or away), cast</x:v>
      </x:c>
      <x:c r="H514" s="20" t="str"/>
      <x:c r="I514" s="21" t="str">
        <x:v>BBH2 課序</x:v>
      </x:c>
      <x:c r="J514" s="21" t="n">
        <x:v>30</x:v>
      </x:c>
      <x:c r="K514" s="22" t="n">
        <x:v>125</x:v>
      </x:c>
      <x:c r="L514" s="21" t="str">
        <x:v>H7993</x:v>
      </x:c>
      <x:c r="M514" s="21" t="str">
        <x:v>verb</x:v>
      </x:c>
      <x:c r="N514" s="21" t="str">
        <x:v>否</x:v>
      </x:c>
      <x:c r="O514" s="21" t="str"/>
      <x:c r="P514" s="21" t="str">
        <x:v>source_and_lexicon_matched</x:v>
      </x:c>
      <x:c r="Q514" s="21" t="str">
        <x:v>rule_generated_exception_review</x:v>
      </x:c>
      <x:c r="R514" s="20" t="str">
        <x:v>https://hebrewsyntax.org/bbh2new/</x:v>
      </x:c>
    </x:row>
    <x:row r="515" ht="28" customHeight="1">
      <x:c r="A515" s="21" t="n">
        <x:v>511</x:v>
      </x:c>
      <x:c r="B515" s="21" t="n">
        <x:f>ROUNDUP(A515/20,0)</x:f>
        <x:v>26</x:v>
      </x:c>
      <x:c r="C515" s="21" t="n">
        <x:f>MOD(A515-1,20)+1</x:f>
        <x:v>11</x:v>
      </x:c>
      <x:c r="D515" s="18" t="str">
        <x:v>דַּ֫עַת</x:v>
      </x:c>
      <x:c r="E515" s="19" t="str">
        <x:v>daʿaṯ</x:v>
      </x:c>
      <x:c r="F515" s="16" t="str">
        <x:v>דעת</x:v>
      </x:c>
      <x:c r="G515" s="20" t="str">
        <x:v>knowledge, understanding, ability [F]</x:v>
      </x:c>
      <x:c r="H515" s="20" t="str"/>
      <x:c r="I515" s="21" t="str">
        <x:v>BBH2 課序</x:v>
      </x:c>
      <x:c r="J515" s="21" t="n">
        <x:v>30</x:v>
      </x:c>
      <x:c r="K515" s="22" t="n">
        <x:v>93</x:v>
      </x:c>
      <x:c r="L515" s="21" t="str">
        <x:v>H1847</x:v>
      </x:c>
      <x:c r="M515" s="21" t="str">
        <x:v>noun</x:v>
      </x:c>
      <x:c r="N515" s="21" t="str">
        <x:v>否</x:v>
      </x:c>
      <x:c r="O515" s="21" t="str"/>
      <x:c r="P515" s="21" t="str">
        <x:v>source_and_lexicon_matched</x:v>
      </x:c>
      <x:c r="Q515" s="21" t="str">
        <x:v>rule_generated_exception_review</x:v>
      </x:c>
      <x:c r="R515" s="20" t="str">
        <x:v>https://hebrewsyntax.org/bbh2new/</x:v>
      </x:c>
    </x:row>
    <x:row r="516" ht="28" customHeight="1">
      <x:c r="A516" s="21" t="n">
        <x:v>512</x:v>
      </x:c>
      <x:c r="B516" s="21" t="n">
        <x:f>ROUNDUP(A516/20,0)</x:f>
        <x:v>26</x:v>
      </x:c>
      <x:c r="C516" s="21" t="n">
        <x:f>MOD(A516-1,20)+1</x:f>
        <x:v>12</x:v>
      </x:c>
      <x:c r="D516" s="18" t="str">
        <x:v>דֶּ֫לֶת</x:v>
      </x:c>
      <x:c r="E516" s="19" t="str">
        <x:v>deleṯ</x:v>
      </x:c>
      <x:c r="F516" s="16" t="str">
        <x:v>דלת</x:v>
      </x:c>
      <x:c r="G516" s="20" t="str">
        <x:v>door [F]</x:v>
      </x:c>
      <x:c r="H516" s="20" t="str"/>
      <x:c r="I516" s="21" t="str">
        <x:v>BBH2 課序</x:v>
      </x:c>
      <x:c r="J516" s="21" t="n">
        <x:v>30</x:v>
      </x:c>
      <x:c r="K516" s="22" t="n">
        <x:v>89</x:v>
      </x:c>
      <x:c r="L516" s="21" t="str">
        <x:v>H1817</x:v>
      </x:c>
      <x:c r="M516" s="21" t="str">
        <x:v>noun</x:v>
      </x:c>
      <x:c r="N516" s="21" t="str">
        <x:v>否</x:v>
      </x:c>
      <x:c r="O516" s="21" t="str"/>
      <x:c r="P516" s="21" t="str">
        <x:v>source_and_lexicon_matched</x:v>
      </x:c>
      <x:c r="Q516" s="21" t="str">
        <x:v>rule_generated_exception_review</x:v>
      </x:c>
      <x:c r="R516" s="20" t="str">
        <x:v>https://hebrewsyntax.org/bbh2new/</x:v>
      </x:c>
    </x:row>
    <x:row r="517" ht="28" customHeight="1">
      <x:c r="A517" s="21" t="n">
        <x:v>513</x:v>
      </x:c>
      <x:c r="B517" s="21" t="n">
        <x:f>ROUNDUP(A517/20,0)</x:f>
        <x:v>26</x:v>
      </x:c>
      <x:c r="C517" s="21" t="n">
        <x:f>MOD(A517-1,20)+1</x:f>
        <x:v>13</x:v>
      </x:c>
      <x:c r="D517" s="18" t="str">
        <x:v>הָמוֹן</x:v>
      </x:c>
      <x:c r="E517" s="19" t="str">
        <x:v>hāmôn</x:v>
      </x:c>
      <x:c r="F517" s="16" t="str">
        <x:v>המון</x:v>
      </x:c>
      <x:c r="G517" s="20" t="str">
        <x:v>multitude, crowd, sound, roar</x:v>
      </x:c>
      <x:c r="H517" s="20" t="str"/>
      <x:c r="I517" s="21" t="str">
        <x:v>BBH2 課序</x:v>
      </x:c>
      <x:c r="J517" s="21" t="n">
        <x:v>30</x:v>
      </x:c>
      <x:c r="K517" s="22" t="n">
        <x:v>85</x:v>
      </x:c>
      <x:c r="L517" s="21" t="str">
        <x:v>H1995</x:v>
      </x:c>
      <x:c r="M517" s="21" t="str">
        <x:v>noun</x:v>
      </x:c>
      <x:c r="N517" s="21" t="str">
        <x:v>否</x:v>
      </x:c>
      <x:c r="O517" s="21" t="str"/>
      <x:c r="P517" s="21" t="str">
        <x:v>source_and_lexicon_matched</x:v>
      </x:c>
      <x:c r="Q517" s="21" t="str">
        <x:v>rule_generated_exception_review</x:v>
      </x:c>
      <x:c r="R517" s="20" t="str">
        <x:v>https://hebrewsyntax.org/bbh2new/</x:v>
      </x:c>
    </x:row>
    <x:row r="518" ht="28" customHeight="1">
      <x:c r="A518" s="21" t="n">
        <x:v>514</x:v>
      </x:c>
      <x:c r="B518" s="21" t="n">
        <x:f>ROUNDUP(A518/20,0)</x:f>
        <x:v>26</x:v>
      </x:c>
      <x:c r="C518" s="21" t="n">
        <x:f>MOD(A518-1,20)+1</x:f>
        <x:v>14</x:v>
      </x:c>
      <x:c r="D518" s="18" t="str">
        <x:v>זְרוֹעַ</x:v>
      </x:c>
      <x:c r="E518" s="19" t="str">
        <x:v>zərôaʿ</x:v>
      </x:c>
      <x:c r="F518" s="16" t="str">
        <x:v>זרוע</x:v>
      </x:c>
      <x:c r="G518" s="20" t="str">
        <x:v>arm, forearm; (metaphorically) strength, power [F]</x:v>
      </x:c>
      <x:c r="H518" s="20" t="str"/>
      <x:c r="I518" s="21" t="str">
        <x:v>BBH2 課序</x:v>
      </x:c>
      <x:c r="J518" s="21" t="n">
        <x:v>30</x:v>
      </x:c>
      <x:c r="K518" s="22" t="n">
        <x:v>91</x:v>
      </x:c>
      <x:c r="L518" s="21" t="str">
        <x:v>H2220</x:v>
      </x:c>
      <x:c r="M518" s="21" t="str">
        <x:v>noun</x:v>
      </x:c>
      <x:c r="N518" s="21" t="str">
        <x:v>否</x:v>
      </x:c>
      <x:c r="O518" s="21" t="str"/>
      <x:c r="P518" s="21" t="str">
        <x:v>source_and_lexicon_matched</x:v>
      </x:c>
      <x:c r="Q518" s="21" t="str">
        <x:v>rule_generated_exception_review</x:v>
      </x:c>
      <x:c r="R518" s="20" t="str">
        <x:v>https://hebrewsyntax.org/bbh2new/</x:v>
      </x:c>
    </x:row>
    <x:row r="519" ht="28" customHeight="1">
      <x:c r="A519" s="21" t="n">
        <x:v>515</x:v>
      </x:c>
      <x:c r="B519" s="21" t="n">
        <x:f>ROUNDUP(A519/20,0)</x:f>
        <x:v>26</x:v>
      </x:c>
      <x:c r="C519" s="21" t="n">
        <x:f>MOD(A519-1,20)+1</x:f>
        <x:v>15</x:v>
      </x:c>
      <x:c r="D519" s="18" t="str">
        <x:v>כְּרוּב</x:v>
      </x:c>
      <x:c r="E519" s="19" t="str">
        <x:v>kərûḇ</x:v>
      </x:c>
      <x:c r="F519" s="16" t="str">
        <x:v>כרוב</x:v>
      </x:c>
      <x:c r="G519" s="20" t="str">
        <x:v>cherub</x:v>
      </x:c>
      <x:c r="H519" s="20" t="str"/>
      <x:c r="I519" s="21" t="str">
        <x:v>BBH2 課序</x:v>
      </x:c>
      <x:c r="J519" s="21" t="n">
        <x:v>30</x:v>
      </x:c>
      <x:c r="K519" s="22" t="n">
        <x:v>91</x:v>
      </x:c>
      <x:c r="L519" s="21" t="str">
        <x:v>H3742</x:v>
      </x:c>
      <x:c r="M519" s="21" t="str">
        <x:v>noun</x:v>
      </x:c>
      <x:c r="N519" s="21" t="str">
        <x:v>否</x:v>
      </x:c>
      <x:c r="O519" s="21" t="str"/>
      <x:c r="P519" s="21" t="str">
        <x:v>source_and_lexicon_matched</x:v>
      </x:c>
      <x:c r="Q519" s="21" t="str">
        <x:v>rule_generated_exception_review</x:v>
      </x:c>
      <x:c r="R519" s="20" t="str">
        <x:v>https://hebrewsyntax.org/bbh2new/</x:v>
      </x:c>
    </x:row>
    <x:row r="520" ht="28" customHeight="1">
      <x:c r="A520" s="21" t="n">
        <x:v>516</x:v>
      </x:c>
      <x:c r="B520" s="21" t="n">
        <x:f>ROUNDUP(A520/20,0)</x:f>
        <x:v>26</x:v>
      </x:c>
      <x:c r="C520" s="21" t="n">
        <x:f>MOD(A520-1,20)+1</x:f>
        <x:v>16</x:v>
      </x:c>
      <x:c r="D520" s="18" t="str">
        <x:v>כֶּ֫רֶם</x:v>
      </x:c>
      <x:c r="E520" s="19" t="str">
        <x:v>kerem</x:v>
      </x:c>
      <x:c r="F520" s="16" t="str">
        <x:v>כרם</x:v>
      </x:c>
      <x:c r="G520" s="20" t="str">
        <x:v>vineyard</x:v>
      </x:c>
      <x:c r="H520" s="20" t="str"/>
      <x:c r="I520" s="21" t="str">
        <x:v>BBH2 課序</x:v>
      </x:c>
      <x:c r="J520" s="21" t="n">
        <x:v>30</x:v>
      </x:c>
      <x:c r="K520" s="22" t="n">
        <x:v>92</x:v>
      </x:c>
      <x:c r="L520" s="21" t="str">
        <x:v>H3754</x:v>
      </x:c>
      <x:c r="M520" s="21" t="str">
        <x:v>noun</x:v>
      </x:c>
      <x:c r="N520" s="21" t="str">
        <x:v>否</x:v>
      </x:c>
      <x:c r="O520" s="21" t="str"/>
      <x:c r="P520" s="21" t="str">
        <x:v>source_and_lexicon_matched</x:v>
      </x:c>
      <x:c r="Q520" s="21" t="str">
        <x:v>rule_generated_exception_review</x:v>
      </x:c>
      <x:c r="R520" s="20" t="str">
        <x:v>https://hebrewsyntax.org/bbh2new/</x:v>
      </x:c>
    </x:row>
    <x:row r="521" ht="28" customHeight="1">
      <x:c r="A521" s="21" t="n">
        <x:v>517</x:v>
      </x:c>
      <x:c r="B521" s="21" t="n">
        <x:f>ROUNDUP(A521/20,0)</x:f>
        <x:v>26</x:v>
      </x:c>
      <x:c r="C521" s="21" t="n">
        <x:f>MOD(A521-1,20)+1</x:f>
        <x:v>17</x:v>
      </x:c>
      <x:c r="D521" s="18" t="str">
        <x:v>מַלְכּוּת</x:v>
      </x:c>
      <x:c r="E521" s="19" t="str">
        <x:v>malkûṯ</x:v>
      </x:c>
      <x:c r="F521" s="16" t="str">
        <x:v>מלכות</x:v>
      </x:c>
      <x:c r="G521" s="20" t="str">
        <x:v>kingdom, dominion, royal power</x:v>
      </x:c>
      <x:c r="H521" s="20" t="str"/>
      <x:c r="I521" s="21" t="str">
        <x:v>BBH2 課序</x:v>
      </x:c>
      <x:c r="J521" s="21" t="n">
        <x:v>30</x:v>
      </x:c>
      <x:c r="K521" s="22" t="n">
        <x:v>91</x:v>
      </x:c>
      <x:c r="L521" s="21" t="str">
        <x:v>H4438</x:v>
      </x:c>
      <x:c r="M521" s="21" t="str">
        <x:v>noun</x:v>
      </x:c>
      <x:c r="N521" s="21" t="str">
        <x:v>否</x:v>
      </x:c>
      <x:c r="O521" s="21" t="str"/>
      <x:c r="P521" s="21" t="str">
        <x:v>source_and_lexicon_matched</x:v>
      </x:c>
      <x:c r="Q521" s="21" t="str">
        <x:v>rule_generated_exception_review</x:v>
      </x:c>
      <x:c r="R521" s="20" t="str">
        <x:v>https://hebrewsyntax.org/bbh2new/</x:v>
      </x:c>
    </x:row>
    <x:row r="522" ht="28" customHeight="1">
      <x:c r="A522" s="21" t="n">
        <x:v>518</x:v>
      </x:c>
      <x:c r="B522" s="21" t="n">
        <x:f>ROUNDUP(A522/20,0)</x:f>
        <x:v>26</x:v>
      </x:c>
      <x:c r="C522" s="21" t="n">
        <x:f>MOD(A522-1,20)+1</x:f>
        <x:v>18</x:v>
      </x:c>
      <x:c r="D522" s="18" t="str">
        <x:v>עֵצָה</x:v>
      </x:c>
      <x:c r="E522" s="19" t="str">
        <x:v>ʿēṣâ</x:v>
      </x:c>
      <x:c r="F522" s="16" t="str">
        <x:v>עצה</x:v>
      </x:c>
      <x:c r="G522" s="20" t="str">
        <x:v>counsel, plan, advice</x:v>
      </x:c>
      <x:c r="H522" s="20" t="str"/>
      <x:c r="I522" s="21" t="str">
        <x:v>BBH2 課序</x:v>
      </x:c>
      <x:c r="J522" s="21" t="n">
        <x:v>30</x:v>
      </x:c>
      <x:c r="K522" s="22" t="n">
        <x:v>90</x:v>
      </x:c>
      <x:c r="L522" s="21" t="str">
        <x:v>H6098</x:v>
      </x:c>
      <x:c r="M522" s="21" t="str">
        <x:v>noun</x:v>
      </x:c>
      <x:c r="N522" s="21" t="str">
        <x:v>否</x:v>
      </x:c>
      <x:c r="O522" s="21" t="str"/>
      <x:c r="P522" s="21" t="str">
        <x:v>source_and_lexicon_matched</x:v>
      </x:c>
      <x:c r="Q522" s="21" t="str">
        <x:v>rule_generated_exception_review</x:v>
      </x:c>
      <x:c r="R522" s="20" t="str">
        <x:v>https://hebrewsyntax.org/bbh2new/</x:v>
      </x:c>
    </x:row>
    <x:row r="523" ht="28" customHeight="1">
      <x:c r="A523" s="21" t="n">
        <x:v>519</x:v>
      </x:c>
      <x:c r="B523" s="21" t="n">
        <x:f>ROUNDUP(A523/20,0)</x:f>
        <x:v>26</x:v>
      </x:c>
      <x:c r="C523" s="21" t="n">
        <x:f>MOD(A523-1,20)+1</x:f>
        <x:v>19</x:v>
      </x:c>
      <x:c r="D523" s="18" t="str">
        <x:v>חָלָל</x:v>
      </x:c>
      <x:c r="E523" s="19" t="str">
        <x:v>ḥālāl</x:v>
      </x:c>
      <x:c r="F523" s="16" t="str">
        <x:v>חלל</x:v>
      </x:c>
      <x:c r="G523" s="20" t="str">
        <x:v>pierced, slain, defiled</x:v>
      </x:c>
      <x:c r="H523" s="20" t="str"/>
      <x:c r="I523" s="21" t="str">
        <x:v>BBH2 課序</x:v>
      </x:c>
      <x:c r="J523" s="21" t="n">
        <x:v>30</x:v>
      </x:c>
      <x:c r="K523" s="22" t="n">
        <x:v>94</x:v>
      </x:c>
      <x:c r="L523" s="21" t="str">
        <x:v>H2491</x:v>
      </x:c>
      <x:c r="M523" s="21" t="str">
        <x:v>adjective</x:v>
      </x:c>
      <x:c r="N523" s="21" t="str">
        <x:v>否</x:v>
      </x:c>
      <x:c r="O523" s="21" t="str"/>
      <x:c r="P523" s="21" t="str">
        <x:v>source_and_lexicon_matched</x:v>
      </x:c>
      <x:c r="Q523" s="21" t="str">
        <x:v>rule_generated_exception_review</x:v>
      </x:c>
      <x:c r="R523" s="20" t="str">
        <x:v>https://hebrewsyntax.org/bbh2new/</x:v>
      </x:c>
    </x:row>
    <x:row r="524" ht="28" customHeight="1">
      <x:c r="A524" s="21" t="n">
        <x:v>520</x:v>
      </x:c>
      <x:c r="B524" s="21" t="n">
        <x:f>ROUNDUP(A524/20,0)</x:f>
        <x:v>26</x:v>
      </x:c>
      <x:c r="C524" s="21" t="n">
        <x:f>MOD(A524-1,20)+1</x:f>
        <x:v>20</x:v>
      </x:c>
      <x:c r="D524" s="18" t="str">
        <x:v>טָמֵא</x:v>
      </x:c>
      <x:c r="E524" s="19" t="str">
        <x:v>ṭāmēʾ</x:v>
      </x:c>
      <x:c r="F524" s="16" t="str">
        <x:v>טמא</x:v>
      </x:c>
      <x:c r="G524" s="20" t="str">
        <x:v>unclean</x:v>
      </x:c>
      <x:c r="H524" s="20" t="str"/>
      <x:c r="I524" s="21" t="str">
        <x:v>BBH2 課序</x:v>
      </x:c>
      <x:c r="J524" s="21" t="n">
        <x:v>30</x:v>
      </x:c>
      <x:c r="K524" s="22" t="n">
        <x:v>88</x:v>
      </x:c>
      <x:c r="L524" s="21" t="str">
        <x:v>H2931</x:v>
      </x:c>
      <x:c r="M524" s="21" t="str">
        <x:v>adjective</x:v>
      </x:c>
      <x:c r="N524" s="21" t="str">
        <x:v>否</x:v>
      </x:c>
      <x:c r="O524" s="21" t="str"/>
      <x:c r="P524" s="21" t="str">
        <x:v>source_and_lexicon_matched</x:v>
      </x:c>
      <x:c r="Q524" s="21" t="str">
        <x:v>rule_generated_exception_review</x:v>
      </x:c>
      <x:c r="R524" s="20" t="str">
        <x:v>https://hebrewsyntax.org/bbh2new/</x:v>
      </x:c>
    </x:row>
    <x:row r="525" ht="28" customHeight="1">
      <x:c r="A525" s="21" t="n">
        <x:v>521</x:v>
      </x:c>
      <x:c r="B525" s="21" t="n">
        <x:f>ROUNDUP(A525/20,0)</x:f>
        <x:v>27</x:v>
      </x:c>
      <x:c r="C525" s="21" t="n">
        <x:f>MOD(A525-1,20)+1</x:f>
        <x:v>1</x:v>
      </x:c>
      <x:c r="D525" s="18" t="str">
        <x:v>אָוֶן</x:v>
      </x:c>
      <x:c r="E525" s="19" t="str">
        <x:v>ʾāwen</x:v>
      </x:c>
      <x:c r="F525" s="16" t="str">
        <x:v>און</x:v>
      </x:c>
      <x:c r="G525" s="20" t="str">
        <x:v>iniquity, wickedness, evildoer</x:v>
      </x:c>
      <x:c r="H525" s="20" t="str"/>
      <x:c r="I525" s="21" t="str">
        <x:v>BBH2 課序</x:v>
      </x:c>
      <x:c r="J525" s="21" t="n">
        <x:v>31</x:v>
      </x:c>
      <x:c r="K525" s="22" t="n">
        <x:v>79</x:v>
      </x:c>
      <x:c r="L525" s="21" t="str">
        <x:v>H205</x:v>
      </x:c>
      <x:c r="M525" s="21" t="str">
        <x:v>noun</x:v>
      </x:c>
      <x:c r="N525" s="21" t="str">
        <x:v>否</x:v>
      </x:c>
      <x:c r="O525" s="21" t="str"/>
      <x:c r="P525" s="21" t="str">
        <x:v>source_and_lexicon_matched</x:v>
      </x:c>
      <x:c r="Q525" s="21" t="str">
        <x:v>rule_generated_exception_review</x:v>
      </x:c>
      <x:c r="R525" s="20" t="str">
        <x:v>https://hebrewsyntax.org/bbh2new/</x:v>
      </x:c>
    </x:row>
    <x:row r="526" ht="28" customHeight="1">
      <x:c r="A526" s="21" t="n">
        <x:v>522</x:v>
      </x:c>
      <x:c r="B526" s="21" t="n">
        <x:f>ROUNDUP(A526/20,0)</x:f>
        <x:v>27</x:v>
      </x:c>
      <x:c r="C526" s="21" t="n">
        <x:f>MOD(A526-1,20)+1</x:f>
        <x:v>2</x:v>
      </x:c>
      <x:c r="D526" s="18" t="str">
        <x:v>אוֹצָר</x:v>
      </x:c>
      <x:c r="E526" s="19" t="str">
        <x:v>ʾôṣār</x:v>
      </x:c>
      <x:c r="F526" s="16" t="str">
        <x:v>אוצר</x:v>
      </x:c>
      <x:c r="G526" s="20" t="str">
        <x:v>treasure, treasury, storehouse</x:v>
      </x:c>
      <x:c r="H526" s="20" t="str"/>
      <x:c r="I526" s="21" t="str">
        <x:v>BBH2 課序</x:v>
      </x:c>
      <x:c r="J526" s="21" t="n">
        <x:v>31</x:v>
      </x:c>
      <x:c r="K526" s="22" t="n">
        <x:v>79</x:v>
      </x:c>
      <x:c r="L526" s="21" t="str">
        <x:v>H214</x:v>
      </x:c>
      <x:c r="M526" s="21" t="str">
        <x:v>noun</x:v>
      </x:c>
      <x:c r="N526" s="21" t="str">
        <x:v>否</x:v>
      </x:c>
      <x:c r="O526" s="21" t="str"/>
      <x:c r="P526" s="21" t="str">
        <x:v>source_and_lexicon_matched</x:v>
      </x:c>
      <x:c r="Q526" s="21" t="str">
        <x:v>rule_generated_exception_review</x:v>
      </x:c>
      <x:c r="R526" s="20" t="str">
        <x:v>https://hebrewsyntax.org/bbh2new/</x:v>
      </x:c>
    </x:row>
    <x:row r="527" ht="28" customHeight="1">
      <x:c r="A527" s="21" t="n">
        <x:v>523</x:v>
      </x:c>
      <x:c r="B527" s="21" t="n">
        <x:f>ROUNDUP(A527/20,0)</x:f>
        <x:v>27</x:v>
      </x:c>
      <x:c r="C527" s="21" t="n">
        <x:f>MOD(A527-1,20)+1</x:f>
        <x:v>3</x:v>
      </x:c>
      <x:c r="D527" s="18" t="str">
        <x:v>אוֹת</x:v>
      </x:c>
      <x:c r="E527" s="19" t="str">
        <x:v>ʾôṯ</x:v>
      </x:c>
      <x:c r="F527" s="16" t="str">
        <x:v>אות</x:v>
      </x:c>
      <x:c r="G527" s="20" t="str">
        <x:v>sign, mark, pledge [M]</x:v>
      </x:c>
      <x:c r="H527" s="20" t="str"/>
      <x:c r="I527" s="21" t="str">
        <x:v>BBH2 課序</x:v>
      </x:c>
      <x:c r="J527" s="21" t="n">
        <x:v>31</x:v>
      </x:c>
      <x:c r="K527" s="22" t="n">
        <x:v>79</x:v>
      </x:c>
      <x:c r="L527" s="21" t="str">
        <x:v>H226</x:v>
      </x:c>
      <x:c r="M527" s="21" t="str">
        <x:v>noun</x:v>
      </x:c>
      <x:c r="N527" s="21" t="str">
        <x:v>否</x:v>
      </x:c>
      <x:c r="O527" s="21" t="str"/>
      <x:c r="P527" s="21" t="str">
        <x:v>source_and_lexicon_matched</x:v>
      </x:c>
      <x:c r="Q527" s="21" t="str">
        <x:v>rule_generated_exception_review</x:v>
      </x:c>
      <x:c r="R527" s="20" t="str">
        <x:v>https://hebrewsyntax.org/bbh2new/</x:v>
      </x:c>
    </x:row>
    <x:row r="528" ht="28" customHeight="1">
      <x:c r="A528" s="21" t="n">
        <x:v>524</x:v>
      </x:c>
      <x:c r="B528" s="21" t="n">
        <x:f>ROUNDUP(A528/20,0)</x:f>
        <x:v>27</x:v>
      </x:c>
      <x:c r="C528" s="21" t="n">
        <x:f>MOD(A528-1,20)+1</x:f>
        <x:v>4</x:v>
      </x:c>
      <x:c r="D528" s="18" t="str">
        <x:v>גּוֹרָל</x:v>
      </x:c>
      <x:c r="E528" s="19" t="str">
        <x:v>gôrāl</x:v>
      </x:c>
      <x:c r="F528" s="16" t="str">
        <x:v>גורל</x:v>
      </x:c>
      <x:c r="G528" s="20" t="str">
        <x:v>lot, portion, allotment</x:v>
      </x:c>
      <x:c r="H528" s="20" t="str"/>
      <x:c r="I528" s="21" t="str">
        <x:v>BBH2 課序</x:v>
      </x:c>
      <x:c r="J528" s="21" t="n">
        <x:v>31</x:v>
      </x:c>
      <x:c r="K528" s="22" t="n">
        <x:v>77</x:v>
      </x:c>
      <x:c r="L528" s="21" t="str">
        <x:v>H1486</x:v>
      </x:c>
      <x:c r="M528" s="21" t="str">
        <x:v>noun</x:v>
      </x:c>
      <x:c r="N528" s="21" t="str">
        <x:v>否</x:v>
      </x:c>
      <x:c r="O528" s="21" t="str"/>
      <x:c r="P528" s="21" t="str">
        <x:v>source_and_lexicon_matched</x:v>
      </x:c>
      <x:c r="Q528" s="21" t="str">
        <x:v>rule_generated_exception_review</x:v>
      </x:c>
      <x:c r="R528" s="20" t="str">
        <x:v>https://hebrewsyntax.org/bbh2new/</x:v>
      </x:c>
    </x:row>
    <x:row r="529" ht="28" customHeight="1">
      <x:c r="A529" s="21" t="n">
        <x:v>525</x:v>
      </x:c>
      <x:c r="B529" s="21" t="n">
        <x:f>ROUNDUP(A529/20,0)</x:f>
        <x:v>27</x:v>
      </x:c>
      <x:c r="C529" s="21" t="n">
        <x:f>MOD(A529-1,20)+1</x:f>
        <x:v>5</x:v>
      </x:c>
      <x:c r="D529" s="18" t="str">
        <x:v>יְשׁוּעָה</x:v>
      </x:c>
      <x:c r="E529" s="19" t="str">
        <x:v>yəšûʿâ</x:v>
      </x:c>
      <x:c r="F529" s="16" t="str">
        <x:v>ישועה</x:v>
      </x:c>
      <x:c r="G529" s="20" t="str">
        <x:v>salvation, help, deliverance</x:v>
      </x:c>
      <x:c r="H529" s="20" t="str"/>
      <x:c r="I529" s="21" t="str">
        <x:v>BBH2 課序</x:v>
      </x:c>
      <x:c r="J529" s="21" t="n">
        <x:v>31</x:v>
      </x:c>
      <x:c r="K529" s="22" t="n">
        <x:v>77</x:v>
      </x:c>
      <x:c r="L529" s="21" t="str">
        <x:v>H3444</x:v>
      </x:c>
      <x:c r="M529" s="21" t="str">
        <x:v>noun</x:v>
      </x:c>
      <x:c r="N529" s="21" t="str">
        <x:v>否</x:v>
      </x:c>
      <x:c r="O529" s="21" t="str"/>
      <x:c r="P529" s="21" t="str">
        <x:v>source_and_lexicon_matched</x:v>
      </x:c>
      <x:c r="Q529" s="21" t="str">
        <x:v>rule_generated_exception_review</x:v>
      </x:c>
      <x:c r="R529" s="20" t="str">
        <x:v>https://hebrewsyntax.org/bbh2new/</x:v>
      </x:c>
    </x:row>
    <x:row r="530" ht="28" customHeight="1">
      <x:c r="A530" s="21" t="n">
        <x:v>526</x:v>
      </x:c>
      <x:c r="B530" s="21" t="n">
        <x:f>ROUNDUP(A530/20,0)</x:f>
        <x:v>27</x:v>
      </x:c>
      <x:c r="C530" s="21" t="n">
        <x:f>MOD(A530-1,20)+1</x:f>
        <x:v>6</x:v>
      </x:c>
      <x:c r="D530" s="18" t="str">
        <x:v>מִקְנֶה</x:v>
      </x:c>
      <x:c r="E530" s="19" t="str">
        <x:v>miqnê</x:v>
      </x:c>
      <x:c r="F530" s="16" t="str">
        <x:v>מקנה</x:v>
      </x:c>
      <x:c r="G530" s="20" t="str">
        <x:v>cattle, livestock, property</x:v>
      </x:c>
      <x:c r="H530" s="20" t="str"/>
      <x:c r="I530" s="21" t="str">
        <x:v>BBH2 課序</x:v>
      </x:c>
      <x:c r="J530" s="21" t="n">
        <x:v>31</x:v>
      </x:c>
      <x:c r="K530" s="22" t="n">
        <x:v>76</x:v>
      </x:c>
      <x:c r="L530" s="21" t="str">
        <x:v>H4735</x:v>
      </x:c>
      <x:c r="M530" s="21" t="str">
        <x:v>noun</x:v>
      </x:c>
      <x:c r="N530" s="21" t="str">
        <x:v>否</x:v>
      </x:c>
      <x:c r="O530" s="21" t="str"/>
      <x:c r="P530" s="21" t="str">
        <x:v>source_and_lexicon_matched</x:v>
      </x:c>
      <x:c r="Q530" s="21" t="str">
        <x:v>rule_generated_exception_review</x:v>
      </x:c>
      <x:c r="R530" s="20" t="str">
        <x:v>https://hebrewsyntax.org/bbh2new/</x:v>
      </x:c>
    </x:row>
    <x:row r="531" ht="28" customHeight="1">
      <x:c r="A531" s="21" t="n">
        <x:v>527</x:v>
      </x:c>
      <x:c r="B531" s="21" t="n">
        <x:f>ROUNDUP(A531/20,0)</x:f>
        <x:v>27</x:v>
      </x:c>
      <x:c r="C531" s="21" t="n">
        <x:f>MOD(A531-1,20)+1</x:f>
        <x:v>7</x:v>
      </x:c>
      <x:c r="D531" s="18" t="str">
        <x:v>מִשְׁמֶ֫רֶת</x:v>
      </x:c>
      <x:c r="E531" s="19" t="str">
        <x:v>mišmereṯ</x:v>
      </x:c>
      <x:c r="F531" s="16" t="str">
        <x:v>משמרת</x:v>
      </x:c>
      <x:c r="G531" s="20" t="str">
        <x:v>watch, guard, responsibility [F]</x:v>
      </x:c>
      <x:c r="H531" s="20" t="str"/>
      <x:c r="I531" s="21" t="str">
        <x:v>BBH2 課序</x:v>
      </x:c>
      <x:c r="J531" s="21" t="n">
        <x:v>31</x:v>
      </x:c>
      <x:c r="K531" s="22" t="n">
        <x:v>78</x:v>
      </x:c>
      <x:c r="L531" s="21" t="str">
        <x:v>H4931</x:v>
      </x:c>
      <x:c r="M531" s="21" t="str">
        <x:v>noun</x:v>
      </x:c>
      <x:c r="N531" s="21" t="str">
        <x:v>否</x:v>
      </x:c>
      <x:c r="O531" s="21" t="str"/>
      <x:c r="P531" s="21" t="str">
        <x:v>source_and_lexicon_matched</x:v>
      </x:c>
      <x:c r="Q531" s="21" t="str">
        <x:v>rule_generated_exception_review</x:v>
      </x:c>
      <x:c r="R531" s="20" t="str">
        <x:v>https://hebrewsyntax.org/bbh2new/</x:v>
      </x:c>
    </x:row>
    <x:row r="532" ht="28" customHeight="1">
      <x:c r="A532" s="21" t="n">
        <x:v>528</x:v>
      </x:c>
      <x:c r="B532" s="21" t="n">
        <x:f>ROUNDUP(A532/20,0)</x:f>
        <x:v>27</x:v>
      </x:c>
      <x:c r="C532" s="21" t="n">
        <x:f>MOD(A532-1,20)+1</x:f>
        <x:v>8</x:v>
      </x:c>
      <x:c r="D532" s="18" t="str">
        <x:v>נֶ֫גַע</x:v>
      </x:c>
      <x:c r="E532" s="19" t="str">
        <x:v>neg̅aʿ</x:v>
      </x:c>
      <x:c r="F532" s="16" t="str">
        <x:v>נגע</x:v>
      </x:c>
      <x:c r="G532" s="20" t="str">
        <x:v>mark, plague, affliction</x:v>
      </x:c>
      <x:c r="H532" s="20" t="str"/>
      <x:c r="I532" s="21" t="str">
        <x:v>BBH2 課序</x:v>
      </x:c>
      <x:c r="J532" s="21" t="n">
        <x:v>31</x:v>
      </x:c>
      <x:c r="K532" s="22" t="n">
        <x:v>78</x:v>
      </x:c>
      <x:c r="L532" s="21" t="str">
        <x:v>H5061</x:v>
      </x:c>
      <x:c r="M532" s="21" t="str">
        <x:v>noun</x:v>
      </x:c>
      <x:c r="N532" s="21" t="str">
        <x:v>否</x:v>
      </x:c>
      <x:c r="O532" s="21" t="str"/>
      <x:c r="P532" s="21" t="str">
        <x:v>source_and_lexicon_matched</x:v>
      </x:c>
      <x:c r="Q532" s="21" t="str">
        <x:v>rule_generated_exception_review</x:v>
      </x:c>
      <x:c r="R532" s="20" t="str">
        <x:v>https://hebrewsyntax.org/bbh2new/</x:v>
      </x:c>
    </x:row>
    <x:row r="533" ht="28" customHeight="1">
      <x:c r="A533" s="21" t="n">
        <x:v>529</x:v>
      </x:c>
      <x:c r="B533" s="21" t="n">
        <x:f>ROUNDUP(A533/20,0)</x:f>
        <x:v>27</x:v>
      </x:c>
      <x:c r="C533" s="21" t="n">
        <x:f>MOD(A533-1,20)+1</x:f>
        <x:v>9</x:v>
      </x:c>
      <x:c r="D533" s="18" t="str">
        <x:v>צַר</x:v>
      </x:c>
      <x:c r="E533" s="19" t="str">
        <x:v>ṣar</x:v>
      </x:c>
      <x:c r="F533" s="16" t="str">
        <x:v>צר</x:v>
      </x:c>
      <x:c r="G533" s="20" t="str">
        <x:v>adversary, enemy</x:v>
      </x:c>
      <x:c r="H533" s="20" t="str"/>
      <x:c r="I533" s="21" t="str">
        <x:v>BBH2 課序</x:v>
      </x:c>
      <x:c r="J533" s="21" t="n">
        <x:v>31</x:v>
      </x:c>
      <x:c r="K533" s="22" t="n">
        <x:v>110</x:v>
      </x:c>
      <x:c r="L533" s="21" t="str">
        <x:v>H6862</x:v>
      </x:c>
      <x:c r="M533" s="21" t="str">
        <x:v>noun</x:v>
      </x:c>
      <x:c r="N533" s="21" t="str">
        <x:v>否</x:v>
      </x:c>
      <x:c r="O533" s="21" t="str"/>
      <x:c r="P533" s="21" t="str">
        <x:v>source_and_lexicon_matched</x:v>
      </x:c>
      <x:c r="Q533" s="21" t="str">
        <x:v>rule_generated_exception_review</x:v>
      </x:c>
      <x:c r="R533" s="20" t="str">
        <x:v>https://hebrewsyntax.org/bbh2new/</x:v>
      </x:c>
    </x:row>
    <x:row r="534" ht="28" customHeight="1">
      <x:c r="A534" s="21" t="n">
        <x:v>530</x:v>
      </x:c>
      <x:c r="B534" s="21" t="n">
        <x:f>ROUNDUP(A534/20,0)</x:f>
        <x:v>27</x:v>
      </x:c>
      <x:c r="C534" s="21" t="n">
        <x:f>MOD(A534-1,20)+1</x:f>
        <x:v>10</x:v>
      </x:c>
      <x:c r="D534" s="18" t="str">
        <x:v>קֶ֫דֶם</x:v>
      </x:c>
      <x:c r="E534" s="19" t="str">
        <x:v>qeḏem</x:v>
      </x:c>
      <x:c r="F534" s="16" t="str">
        <x:v>קדם</x:v>
      </x:c>
      <x:c r="G534" s="20" t="str">
        <x:v>east, ancient times</x:v>
      </x:c>
      <x:c r="H534" s="20" t="str"/>
      <x:c r="I534" s="21" t="str">
        <x:v>BBH2 課序</x:v>
      </x:c>
      <x:c r="J534" s="21" t="n">
        <x:v>31</x:v>
      </x:c>
      <x:c r="K534" s="22" t="n">
        <x:v>87</x:v>
      </x:c>
      <x:c r="L534" s="21" t="str">
        <x:v>H6924</x:v>
      </x:c>
      <x:c r="M534" s="21" t="str">
        <x:v>noun</x:v>
      </x:c>
      <x:c r="N534" s="21" t="str">
        <x:v>否</x:v>
      </x:c>
      <x:c r="O534" s="21" t="str"/>
      <x:c r="P534" s="21" t="str">
        <x:v>source_and_lexicon_matched</x:v>
      </x:c>
      <x:c r="Q534" s="21" t="str">
        <x:v>rule_generated_exception_review</x:v>
      </x:c>
      <x:c r="R534" s="20" t="str">
        <x:v>https://hebrewsyntax.org/bbh2new/</x:v>
      </x:c>
    </x:row>
    <x:row r="535" ht="28" customHeight="1">
      <x:c r="A535" s="21" t="n">
        <x:v>531</x:v>
      </x:c>
      <x:c r="B535" s="21" t="n">
        <x:f>ROUNDUP(A535/20,0)</x:f>
        <x:v>27</x:v>
      </x:c>
      <x:c r="C535" s="21" t="n">
        <x:f>MOD(A535-1,20)+1</x:f>
        <x:v>11</x:v>
      </x:c>
      <x:c r="D535" s="18" t="str">
        <x:v>קָרְבָּן</x:v>
      </x:c>
      <x:c r="E535" s="19" t="str">
        <x:v>qorbān</x:v>
      </x:c>
      <x:c r="F535" s="16" t="str">
        <x:v>קרבן</x:v>
      </x:c>
      <x:c r="G535" s="20" t="str">
        <x:v>gift, offering</x:v>
      </x:c>
      <x:c r="H535" s="20" t="str"/>
      <x:c r="I535" s="21" t="str">
        <x:v>BBH2 課序</x:v>
      </x:c>
      <x:c r="J535" s="21" t="n">
        <x:v>31</x:v>
      </x:c>
      <x:c r="K535" s="22" t="n">
        <x:v>82</x:v>
      </x:c>
      <x:c r="L535" s="21" t="str">
        <x:v>H7133</x:v>
      </x:c>
      <x:c r="M535" s="21" t="str">
        <x:v>noun</x:v>
      </x:c>
      <x:c r="N535" s="21" t="str">
        <x:v>否</x:v>
      </x:c>
      <x:c r="O535" s="21" t="str"/>
      <x:c r="P535" s="21" t="str">
        <x:v>source_and_lexicon_matched</x:v>
      </x:c>
      <x:c r="Q535" s="21" t="str">
        <x:v>rule_generated_exception_review</x:v>
      </x:c>
      <x:c r="R535" s="20" t="str">
        <x:v>https://hebrewsyntax.org/bbh2new/</x:v>
      </x:c>
    </x:row>
    <x:row r="536" ht="28" customHeight="1">
      <x:c r="A536" s="21" t="n">
        <x:v>532</x:v>
      </x:c>
      <x:c r="B536" s="21" t="n">
        <x:f>ROUNDUP(A536/20,0)</x:f>
        <x:v>27</x:v>
      </x:c>
      <x:c r="C536" s="21" t="n">
        <x:f>MOD(A536-1,20)+1</x:f>
        <x:v>12</x:v>
      </x:c>
      <x:c r="D536" s="18" t="str">
        <x:v>אֶ֫רֶז</x:v>
      </x:c>
      <x:c r="E536" s="19" t="str">
        <x:v>ʾerez</x:v>
      </x:c>
      <x:c r="F536" s="16" t="str">
        <x:v>ארז</x:v>
      </x:c>
      <x:c r="G536" s="20" t="str">
        <x:v>cedar</x:v>
      </x:c>
      <x:c r="H536" s="20" t="str"/>
      <x:c r="I536" s="21" t="str">
        <x:v>BBH2 課序</x:v>
      </x:c>
      <x:c r="J536" s="21" t="n">
        <x:v>32</x:v>
      </x:c>
      <x:c r="K536" s="22" t="n">
        <x:v>73</x:v>
      </x:c>
      <x:c r="L536" s="21" t="str">
        <x:v>H730</x:v>
      </x:c>
      <x:c r="M536" s="21" t="str">
        <x:v>noun</x:v>
      </x:c>
      <x:c r="N536" s="21" t="str">
        <x:v>否</x:v>
      </x:c>
      <x:c r="O536" s="21" t="str"/>
      <x:c r="P536" s="21" t="str">
        <x:v>source_and_lexicon_matched</x:v>
      </x:c>
      <x:c r="Q536" s="21" t="str">
        <x:v>rule_generated_exception_review</x:v>
      </x:c>
      <x:c r="R536" s="20" t="str">
        <x:v>https://hebrewsyntax.org/bbh2new/</x:v>
      </x:c>
    </x:row>
    <x:row r="537" ht="28" customHeight="1">
      <x:c r="A537" s="21" t="n">
        <x:v>533</x:v>
      </x:c>
      <x:c r="B537" s="21" t="n">
        <x:f>ROUNDUP(A537/20,0)</x:f>
        <x:v>27</x:v>
      </x:c>
      <x:c r="C537" s="21" t="n">
        <x:f>MOD(A537-1,20)+1</x:f>
        <x:v>13</x:v>
      </x:c>
      <x:c r="D537" s="18" t="str">
        <x:v>צוּר</x:v>
      </x:c>
      <x:c r="E537" s="19" t="str">
        <x:v>ṣûr</x:v>
      </x:c>
      <x:c r="F537" s="16" t="str">
        <x:v>צור</x:v>
      </x:c>
      <x:c r="G537" s="20" t="str">
        <x:v>rock, boulder</x:v>
      </x:c>
      <x:c r="H537" s="20" t="str"/>
      <x:c r="I537" s="21" t="str">
        <x:v>BBH2 課序</x:v>
      </x:c>
      <x:c r="J537" s="21" t="n">
        <x:v>32</x:v>
      </x:c>
      <x:c r="K537" s="22" t="n">
        <x:v>78</x:v>
      </x:c>
      <x:c r="L537" s="21" t="str">
        <x:v>H6697</x:v>
      </x:c>
      <x:c r="M537" s="21" t="str">
        <x:v>noun</x:v>
      </x:c>
      <x:c r="N537" s="21" t="str">
        <x:v>否</x:v>
      </x:c>
      <x:c r="O537" s="21" t="str"/>
      <x:c r="P537" s="21" t="str">
        <x:v>source_and_lexicon_matched</x:v>
      </x:c>
      <x:c r="Q537" s="21" t="str">
        <x:v>rule_generated_exception_review</x:v>
      </x:c>
      <x:c r="R537" s="20" t="str">
        <x:v>https://hebrewsyntax.org/bbh2new/</x:v>
      </x:c>
    </x:row>
    <x:row r="538" ht="28" customHeight="1">
      <x:c r="A538" s="21" t="n">
        <x:v>534</x:v>
      </x:c>
      <x:c r="B538" s="21" t="n">
        <x:f>ROUNDUP(A538/20,0)</x:f>
        <x:v>27</x:v>
      </x:c>
      <x:c r="C538" s="21" t="n">
        <x:f>MOD(A538-1,20)+1</x:f>
        <x:v>14</x:v>
      </x:c>
      <x:c r="D538" s="18" t="str">
        <x:v>קֶ֫רֶן</x:v>
      </x:c>
      <x:c r="E538" s="19" t="str">
        <x:v>qeren</x:v>
      </x:c>
      <x:c r="F538" s="16" t="str">
        <x:v>קרן</x:v>
      </x:c>
      <x:c r="G538" s="20" t="str">
        <x:v>horn [F]</x:v>
      </x:c>
      <x:c r="H538" s="20" t="str"/>
      <x:c r="I538" s="21" t="str">
        <x:v>BBH2 課序</x:v>
      </x:c>
      <x:c r="J538" s="21" t="n">
        <x:v>32</x:v>
      </x:c>
      <x:c r="K538" s="22" t="n">
        <x:v>76</x:v>
      </x:c>
      <x:c r="L538" s="21" t="str">
        <x:v>H7161</x:v>
      </x:c>
      <x:c r="M538" s="21" t="str">
        <x:v>noun</x:v>
      </x:c>
      <x:c r="N538" s="21" t="str">
        <x:v>否</x:v>
      </x:c>
      <x:c r="O538" s="21" t="str"/>
      <x:c r="P538" s="21" t="str">
        <x:v>source_and_lexicon_matched</x:v>
      </x:c>
      <x:c r="Q538" s="21" t="str">
        <x:v>rule_generated_exception_review</x:v>
      </x:c>
      <x:c r="R538" s="20" t="str">
        <x:v>https://hebrewsyntax.org/bbh2new/</x:v>
      </x:c>
    </x:row>
    <x:row r="539" ht="28" customHeight="1">
      <x:c r="A539" s="21" t="n">
        <x:v>535</x:v>
      </x:c>
      <x:c r="B539" s="21" t="n">
        <x:f>ROUNDUP(A539/20,0)</x:f>
        <x:v>27</x:v>
      </x:c>
      <x:c r="C539" s="21" t="n">
        <x:f>MOD(A539-1,20)+1</x:f>
        <x:v>15</x:v>
      </x:c>
      <x:c r="D539" s="18" t="str">
        <x:v>קֶ֫שֶׁת</x:v>
      </x:c>
      <x:c r="E539" s="19" t="str">
        <x:v>qešeṯ</x:v>
      </x:c>
      <x:c r="F539" s="16" t="str">
        <x:v>קשת</x:v>
      </x:c>
      <x:c r="G539" s="20" t="str">
        <x:v>bow, weapon [F]</x:v>
      </x:c>
      <x:c r="H539" s="20" t="str"/>
      <x:c r="I539" s="21" t="str">
        <x:v>BBH2 課序</x:v>
      </x:c>
      <x:c r="J539" s="21" t="n">
        <x:v>32</x:v>
      </x:c>
      <x:c r="K539" s="22" t="n">
        <x:v>76</x:v>
      </x:c>
      <x:c r="L539" s="21" t="str">
        <x:v>H7198</x:v>
      </x:c>
      <x:c r="M539" s="21" t="str">
        <x:v>noun</x:v>
      </x:c>
      <x:c r="N539" s="21" t="str">
        <x:v>否</x:v>
      </x:c>
      <x:c r="O539" s="21" t="str"/>
      <x:c r="P539" s="21" t="str">
        <x:v>source_and_lexicon_matched</x:v>
      </x:c>
      <x:c r="Q539" s="21" t="str">
        <x:v>rule_generated_exception_review</x:v>
      </x:c>
      <x:c r="R539" s="20" t="str">
        <x:v>https://hebrewsyntax.org/bbh2new/</x:v>
      </x:c>
    </x:row>
    <x:row r="540" ht="28" customHeight="1">
      <x:c r="A540" s="21" t="n">
        <x:v>536</x:v>
      </x:c>
      <x:c r="B540" s="21" t="n">
        <x:f>ROUNDUP(A540/20,0)</x:f>
        <x:v>27</x:v>
      </x:c>
      <x:c r="C540" s="21" t="n">
        <x:f>MOD(A540-1,20)+1</x:f>
        <x:v>16</x:v>
      </x:c>
      <x:c r="D540" s="18" t="str">
        <x:v>בֶּ֫טֶן</x:v>
      </x:c>
      <x:c r="E540" s="19" t="str">
        <x:v>beṭen</x:v>
      </x:c>
      <x:c r="F540" s="16" t="str">
        <x:v>בטן</x:v>
      </x:c>
      <x:c r="G540" s="20" t="str">
        <x:v>belly, stomach, womb [F]</x:v>
      </x:c>
      <x:c r="H540" s="20" t="str"/>
      <x:c r="I540" s="21" t="str">
        <x:v>BBH2 課序</x:v>
      </x:c>
      <x:c r="J540" s="21" t="n">
        <x:v>33</x:v>
      </x:c>
      <x:c r="K540" s="22" t="n">
        <x:v>72</x:v>
      </x:c>
      <x:c r="L540" s="21" t="str">
        <x:v>H990</x:v>
      </x:c>
      <x:c r="M540" s="21" t="str">
        <x:v>noun</x:v>
      </x:c>
      <x:c r="N540" s="21" t="str">
        <x:v>否</x:v>
      </x:c>
      <x:c r="O540" s="21" t="str"/>
      <x:c r="P540" s="21" t="str">
        <x:v>source_and_lexicon_matched</x:v>
      </x:c>
      <x:c r="Q540" s="21" t="str">
        <x:v>rule_generated_exception_review</x:v>
      </x:c>
      <x:c r="R540" s="20" t="str">
        <x:v>https://hebrewsyntax.org/bbh2new/</x:v>
      </x:c>
    </x:row>
    <x:row r="541" ht="28" customHeight="1">
      <x:c r="A541" s="21" t="n">
        <x:v>537</x:v>
      </x:c>
      <x:c r="B541" s="21" t="n">
        <x:f>ROUNDUP(A541/20,0)</x:f>
        <x:v>27</x:v>
      </x:c>
      <x:c r="C541" s="21" t="n">
        <x:f>MOD(A541-1,20)+1</x:f>
        <x:v>17</x:v>
      </x:c>
      <x:c r="D541" s="18" t="str">
        <x:v>הֶ֫בֶל</x:v>
      </x:c>
      <x:c r="E541" s="19" t="str">
        <x:v>heḇel</x:v>
      </x:c>
      <x:c r="F541" s="16" t="str">
        <x:v>הבל</x:v>
      </x:c>
      <x:c r="G541" s="20" t="str">
        <x:v>vanity, futility, breath</x:v>
      </x:c>
      <x:c r="H541" s="20" t="str"/>
      <x:c r="I541" s="21" t="str">
        <x:v>BBH2 課序</x:v>
      </x:c>
      <x:c r="J541" s="21" t="n">
        <x:v>33</x:v>
      </x:c>
      <x:c r="K541" s="22" t="n">
        <x:v>73</x:v>
      </x:c>
      <x:c r="L541" s="21" t="str">
        <x:v>H1892</x:v>
      </x:c>
      <x:c r="M541" s="21" t="str">
        <x:v>noun</x:v>
      </x:c>
      <x:c r="N541" s="21" t="str">
        <x:v>否</x:v>
      </x:c>
      <x:c r="O541" s="21" t="str"/>
      <x:c r="P541" s="21" t="str">
        <x:v>source_and_lexicon_matched</x:v>
      </x:c>
      <x:c r="Q541" s="21" t="str">
        <x:v>rule_generated_exception_review</x:v>
      </x:c>
      <x:c r="R541" s="20" t="str">
        <x:v>https://hebrewsyntax.org/bbh2new/</x:v>
      </x:c>
    </x:row>
    <x:row r="542" ht="28" customHeight="1">
      <x:c r="A542" s="21" t="n">
        <x:v>538</x:v>
      </x:c>
      <x:c r="B542" s="21" t="n">
        <x:f>ROUNDUP(A542/20,0)</x:f>
        <x:v>27</x:v>
      </x:c>
      <x:c r="C542" s="21" t="n">
        <x:f>MOD(A542-1,20)+1</x:f>
        <x:v>18</x:v>
      </x:c>
      <x:c r="D542" s="18" t="str">
        <x:v>חֶרְפָּה</x:v>
      </x:c>
      <x:c r="E542" s="19" t="str">
        <x:v>ḥerpâ</x:v>
      </x:c>
      <x:c r="F542" s="16" t="str">
        <x:v>חרפה</x:v>
      </x:c>
      <x:c r="G542" s="20" t="str">
        <x:v>reproach, disgrace, shame</x:v>
      </x:c>
      <x:c r="H542" s="20" t="str"/>
      <x:c r="I542" s="21" t="str">
        <x:v>BBH2 課序</x:v>
      </x:c>
      <x:c r="J542" s="21" t="n">
        <x:v>33</x:v>
      </x:c>
      <x:c r="K542" s="22" t="n">
        <x:v>73</x:v>
      </x:c>
      <x:c r="L542" s="21" t="str">
        <x:v>H2781</x:v>
      </x:c>
      <x:c r="M542" s="21" t="str">
        <x:v>noun</x:v>
      </x:c>
      <x:c r="N542" s="21" t="str">
        <x:v>否</x:v>
      </x:c>
      <x:c r="O542" s="21" t="str"/>
      <x:c r="P542" s="21" t="str">
        <x:v>source_and_lexicon_matched</x:v>
      </x:c>
      <x:c r="Q542" s="21" t="str">
        <x:v>rule_generated_exception_review</x:v>
      </x:c>
      <x:c r="R542" s="20" t="str">
        <x:v>https://hebrewsyntax.org/bbh2new/</x:v>
      </x:c>
    </x:row>
    <x:row r="543" ht="28" customHeight="1">
      <x:c r="A543" s="21" t="n">
        <x:v>539</x:v>
      </x:c>
      <x:c r="B543" s="21" t="n">
        <x:f>ROUNDUP(A543/20,0)</x:f>
        <x:v>27</x:v>
      </x:c>
      <x:c r="C543" s="21" t="n">
        <x:f>MOD(A543-1,20)+1</x:f>
        <x:v>19</x:v>
      </x:c>
      <x:c r="D543" s="18" t="str">
        <x:v>מִזְרָח</x:v>
      </x:c>
      <x:c r="E543" s="19" t="str">
        <x:v>mizrāḥ</x:v>
      </x:c>
      <x:c r="F543" s="16" t="str">
        <x:v>מזרח</x:v>
      </x:c>
      <x:c r="G543" s="20" t="str">
        <x:v>east, sunrise</x:v>
      </x:c>
      <x:c r="H543" s="20" t="str"/>
      <x:c r="I543" s="21" t="str">
        <x:v>BBH2 課序</x:v>
      </x:c>
      <x:c r="J543" s="21" t="n">
        <x:v>33</x:v>
      </x:c>
      <x:c r="K543" s="22" t="n">
        <x:v>74</x:v>
      </x:c>
      <x:c r="L543" s="21" t="str">
        <x:v>H4217</x:v>
      </x:c>
      <x:c r="M543" s="21" t="str">
        <x:v>noun</x:v>
      </x:c>
      <x:c r="N543" s="21" t="str">
        <x:v>否</x:v>
      </x:c>
      <x:c r="O543" s="21" t="str"/>
      <x:c r="P543" s="21" t="str">
        <x:v>source_and_lexicon_matched</x:v>
      </x:c>
      <x:c r="Q543" s="21" t="str">
        <x:v>rule_generated_exception_review</x:v>
      </x:c>
      <x:c r="R543" s="20" t="str">
        <x:v>https://hebrewsyntax.org/bbh2new/</x:v>
      </x:c>
    </x:row>
    <x:row r="544" ht="28" customHeight="1">
      <x:c r="A544" s="21" t="n">
        <x:v>540</x:v>
      </x:c>
      <x:c r="B544" s="21" t="n">
        <x:f>ROUNDUP(A544/20,0)</x:f>
        <x:v>27</x:v>
      </x:c>
      <x:c r="C544" s="21" t="n">
        <x:f>MOD(A544-1,20)+1</x:f>
        <x:v>20</x:v>
      </x:c>
      <x:c r="D544" s="18" t="str">
        <x:v>מִקְדָּשׁ</x:v>
      </x:c>
      <x:c r="E544" s="19" t="str">
        <x:v>miqdāš</x:v>
      </x:c>
      <x:c r="F544" s="16" t="str">
        <x:v>מקדש</x:v>
      </x:c>
      <x:c r="G544" s="20" t="str">
        <x:v>sanctuary</x:v>
      </x:c>
      <x:c r="H544" s="20" t="str"/>
      <x:c r="I544" s="21" t="str">
        <x:v>BBH2 課序</x:v>
      </x:c>
      <x:c r="J544" s="21" t="n">
        <x:v>34</x:v>
      </x:c>
      <x:c r="K544" s="22" t="n">
        <x:v>74</x:v>
      </x:c>
      <x:c r="L544" s="21" t="str">
        <x:v>H4720</x:v>
      </x:c>
      <x:c r="M544" s="21" t="str">
        <x:v>noun</x:v>
      </x:c>
      <x:c r="N544" s="21" t="str">
        <x:v>否</x:v>
      </x:c>
      <x:c r="O544" s="21" t="str"/>
      <x:c r="P544" s="21" t="str">
        <x:v>source_and_lexicon_matched</x:v>
      </x:c>
      <x:c r="Q544" s="21" t="str">
        <x:v>rule_generated_exception_review</x:v>
      </x:c>
      <x:c r="R544" s="20" t="str">
        <x:v>https://hebrewsyntax.org/bbh2new/</x:v>
      </x:c>
    </x:row>
    <x:row r="545" ht="28" customHeight="1">
      <x:c r="A545" s="21" t="n">
        <x:v>541</x:v>
      </x:c>
      <x:c r="B545" s="21" t="n">
        <x:f>ROUNDUP(A545/20,0)</x:f>
        <x:v>28</x:v>
      </x:c>
      <x:c r="C545" s="21" t="n">
        <x:f>MOD(A545-1,20)+1</x:f>
        <x:v>1</x:v>
      </x:c>
      <x:c r="D545" s="18" t="str">
        <x:v>עוֹף</x:v>
      </x:c>
      <x:c r="E545" s="19" t="str">
        <x:v>ʿôp̄</x:v>
      </x:c>
      <x:c r="F545" s="16" t="str">
        <x:v>עוף</x:v>
      </x:c>
      <x:c r="G545" s="20" t="str">
        <x:v>flying creatures, birds, insects</x:v>
      </x:c>
      <x:c r="H545" s="20" t="str"/>
      <x:c r="I545" s="21" t="str">
        <x:v>BBH2 課序</x:v>
      </x:c>
      <x:c r="J545" s="21" t="n">
        <x:v>34</x:v>
      </x:c>
      <x:c r="K545" s="22" t="n">
        <x:v>71</x:v>
      </x:c>
      <x:c r="L545" s="21" t="str">
        <x:v>H5775</x:v>
      </x:c>
      <x:c r="M545" s="21" t="str">
        <x:v>noun</x:v>
      </x:c>
      <x:c r="N545" s="21" t="str">
        <x:v>否</x:v>
      </x:c>
      <x:c r="O545" s="21" t="str"/>
      <x:c r="P545" s="21" t="str">
        <x:v>source_and_lexicon_matched</x:v>
      </x:c>
      <x:c r="Q545" s="21" t="str">
        <x:v>rule_generated_exception_review</x:v>
      </x:c>
      <x:c r="R545" s="20" t="str">
        <x:v>https://hebrewsyntax.org/bbh2new/</x:v>
      </x:c>
    </x:row>
    <x:row r="546" ht="28" customHeight="1">
      <x:c r="A546" s="21" t="n">
        <x:v>542</x:v>
      </x:c>
      <x:c r="B546" s="21" t="n">
        <x:f>ROUNDUP(A546/20,0)</x:f>
        <x:v>28</x:v>
      </x:c>
      <x:c r="C546" s="21" t="n">
        <x:f>MOD(A546-1,20)+1</x:f>
        <x:v>2</x:v>
      </x:c>
      <x:c r="D546" s="18" t="str">
        <x:v>עוּף</x:v>
      </x:c>
      <x:c r="E546" s="19" t="str">
        <x:v>ʿûp̄</x:v>
      </x:c>
      <x:c r="F546" s="16" t="str">
        <x:v>עוף</x:v>
      </x:c>
      <x:c r="G546" s="20" t="str">
        <x:v>to fly</x:v>
      </x:c>
      <x:c r="H546" s="20" t="str"/>
      <x:c r="I546" s="21" t="str">
        <x:v>BBH2 課序</x:v>
      </x:c>
      <x:c r="J546" s="21" t="n">
        <x:v>34</x:v>
      </x:c>
      <x:c r="K546" s="22" t="n">
        <x:v>32</x:v>
      </x:c>
      <x:c r="L546" s="21" t="str">
        <x:v>H5774</x:v>
      </x:c>
      <x:c r="M546" s="21" t="str">
        <x:v>verb</x:v>
      </x:c>
      <x:c r="N546" s="21" t="str">
        <x:v>否</x:v>
      </x:c>
      <x:c r="O546" s="21" t="str"/>
      <x:c r="P546" s="21" t="str">
        <x:v>source_and_lexicon_matched</x:v>
      </x:c>
      <x:c r="Q546" s="21" t="str">
        <x:v>rule_generated_exception_review</x:v>
      </x:c>
      <x:c r="R546" s="20" t="str">
        <x:v>https://hebrewsyntax.org/bbh2new/</x:v>
      </x:c>
    </x:row>
    <x:row r="547" ht="28" customHeight="1">
      <x:c r="A547" s="21" t="n">
        <x:v>543</x:v>
      </x:c>
      <x:c r="B547" s="21" t="n">
        <x:f>ROUNDUP(A547/20,0)</x:f>
        <x:v>28</x:v>
      </x:c>
      <x:c r="C547" s="21" t="n">
        <x:f>MOD(A547-1,20)+1</x:f>
        <x:v>3</x:v>
      </x:c>
      <x:c r="D547" s="18" t="str">
        <x:v>עֵז</x:v>
      </x:c>
      <x:c r="E547" s="19" t="str">
        <x:v>ʿēz</x:v>
      </x:c>
      <x:c r="F547" s="16" t="str">
        <x:v>עז</x:v>
      </x:c>
      <x:c r="G547" s="20" t="str">
        <x:v>goat, goat’s hair</x:v>
      </x:c>
      <x:c r="H547" s="20" t="str"/>
      <x:c r="I547" s="21" t="str">
        <x:v>BBH2 課序</x:v>
      </x:c>
      <x:c r="J547" s="21" t="n">
        <x:v>34</x:v>
      </x:c>
      <x:c r="K547" s="22" t="n">
        <x:v>74</x:v>
      </x:c>
      <x:c r="L547" s="21" t="str">
        <x:v>H5795</x:v>
      </x:c>
      <x:c r="M547" s="21" t="str">
        <x:v>noun</x:v>
      </x:c>
      <x:c r="N547" s="21" t="str">
        <x:v>否</x:v>
      </x:c>
      <x:c r="O547" s="21" t="str"/>
      <x:c r="P547" s="21" t="str">
        <x:v>source_and_lexicon_matched</x:v>
      </x:c>
      <x:c r="Q547" s="21" t="str">
        <x:v>rule_generated_exception_review</x:v>
      </x:c>
      <x:c r="R547" s="20" t="str">
        <x:v>https://hebrewsyntax.org/bbh2new/</x:v>
      </x:c>
    </x:row>
    <x:row r="548" ht="28" customHeight="1">
      <x:c r="A548" s="21" t="n">
        <x:v>544</x:v>
      </x:c>
      <x:c r="B548" s="21" t="n">
        <x:f>ROUNDUP(A548/20,0)</x:f>
        <x:v>28</x:v>
      </x:c>
      <x:c r="C548" s="21" t="n">
        <x:f>MOD(A548-1,20)+1</x:f>
        <x:v>4</x:v>
      </x:c>
      <x:c r="D548" s="18" t="str">
        <x:v>פָּלַל</x:v>
      </x:c>
      <x:c r="E548" s="19" t="str">
        <x:v>pālal</x:v>
      </x:c>
      <x:c r="F548" s="16" t="str">
        <x:v>פלל</x:v>
      </x:c>
      <x:c r="G548" s="20" t="str">
        <x:v>(Hithpael) to pray, make intercession</x:v>
      </x:c>
      <x:c r="H548" s="20" t="str"/>
      <x:c r="I548" s="21" t="str">
        <x:v>BBH2 課序</x:v>
      </x:c>
      <x:c r="J548" s="21" t="n">
        <x:v>34</x:v>
      </x:c>
      <x:c r="K548" s="22" t="n">
        <x:v>84</x:v>
      </x:c>
      <x:c r="L548" s="21" t="str">
        <x:v>H6419</x:v>
      </x:c>
      <x:c r="M548" s="21" t="str">
        <x:v>verb</x:v>
      </x:c>
      <x:c r="N548" s="21" t="str">
        <x:v>否</x:v>
      </x:c>
      <x:c r="O548" s="21" t="str"/>
      <x:c r="P548" s="21" t="str">
        <x:v>source_and_lexicon_matched</x:v>
      </x:c>
      <x:c r="Q548" s="21" t="str">
        <x:v>rule_generated_exception_review</x:v>
      </x:c>
      <x:c r="R548" s="20" t="str">
        <x:v>https://hebrewsyntax.org/bbh2new/</x:v>
      </x:c>
    </x:row>
    <x:row r="549" ht="28" customHeight="1">
      <x:c r="A549" s="21" t="n">
        <x:v>545</x:v>
      </x:c>
      <x:c r="B549" s="21" t="n">
        <x:f>ROUNDUP(A549/20,0)</x:f>
        <x:v>28</x:v>
      </x:c>
      <x:c r="C549" s="21" t="n">
        <x:f>MOD(A549-1,20)+1</x:f>
        <x:v>5</x:v>
      </x:c>
      <x:c r="D549" s="18" t="str">
        <x:v>קִיר</x:v>
      </x:c>
      <x:c r="E549" s="19" t="str">
        <x:v>qîr</x:v>
      </x:c>
      <x:c r="F549" s="16" t="str">
        <x:v>קיר</x:v>
      </x:c>
      <x:c r="G549" s="20" t="str">
        <x:v>wall</x:v>
      </x:c>
      <x:c r="H549" s="20" t="str"/>
      <x:c r="I549" s="21" t="str">
        <x:v>BBH2 課序</x:v>
      </x:c>
      <x:c r="J549" s="21" t="n">
        <x:v>34</x:v>
      </x:c>
      <x:c r="K549" s="22" t="n">
        <x:v>74</x:v>
      </x:c>
      <x:c r="L549" s="21" t="str">
        <x:v>H7023</x:v>
      </x:c>
      <x:c r="M549" s="21" t="str">
        <x:v>noun</x:v>
      </x:c>
      <x:c r="N549" s="21" t="str">
        <x:v>否</x:v>
      </x:c>
      <x:c r="O549" s="21" t="str"/>
      <x:c r="P549" s="21" t="str">
        <x:v>source_and_lexicon_matched</x:v>
      </x:c>
      <x:c r="Q549" s="21" t="str">
        <x:v>rule_generated_exception_review</x:v>
      </x:c>
      <x:c r="R549" s="20" t="str">
        <x:v>https://hebrewsyntax.org/bbh2new/</x:v>
      </x:c>
    </x:row>
    <x:row r="550" ht="28" customHeight="1">
      <x:c r="A550" s="21" t="n">
        <x:v>546</x:v>
      </x:c>
      <x:c r="B550" s="21" t="n">
        <x:f>ROUNDUP(A550/20,0)</x:f>
        <x:v>28</x:v>
      </x:c>
      <x:c r="C550" s="21" t="n">
        <x:f>MOD(A550-1,20)+1</x:f>
        <x:v>6</x:v>
      </x:c>
      <x:c r="D550" s="18" t="str">
        <x:v>שׁוֹפָר</x:v>
      </x:c>
      <x:c r="E550" s="19" t="str">
        <x:v>šôp̄ār</x:v>
      </x:c>
      <x:c r="F550" s="16" t="str">
        <x:v>שופר</x:v>
      </x:c>
      <x:c r="G550" s="20" t="str">
        <x:v>trumpet, ram’s horn</x:v>
      </x:c>
      <x:c r="H550" s="20" t="str"/>
      <x:c r="I550" s="21" t="str">
        <x:v>BBH2 課序</x:v>
      </x:c>
      <x:c r="J550" s="21" t="n">
        <x:v>34</x:v>
      </x:c>
      <x:c r="K550" s="22" t="n">
        <x:v>72</x:v>
      </x:c>
      <x:c r="L550" s="21" t="str">
        <x:v>H7782</x:v>
      </x:c>
      <x:c r="M550" s="21" t="str">
        <x:v>noun</x:v>
      </x:c>
      <x:c r="N550" s="21" t="str">
        <x:v>否</x:v>
      </x:c>
      <x:c r="O550" s="21" t="str"/>
      <x:c r="P550" s="21" t="str">
        <x:v>source_and_lexicon_matched</x:v>
      </x:c>
      <x:c r="Q550" s="21" t="str">
        <x:v>rule_generated_exception_review</x:v>
      </x:c>
      <x:c r="R550" s="20" t="str">
        <x:v>https://hebrewsyntax.org/bbh2new/</x:v>
      </x:c>
    </x:row>
    <x:row r="551" ht="28" customHeight="1">
      <x:c r="A551" s="21" t="n">
        <x:v>547</x:v>
      </x:c>
      <x:c r="B551" s="21" t="n">
        <x:f>ROUNDUP(A551/20,0)</x:f>
        <x:v>28</x:v>
      </x:c>
      <x:c r="C551" s="21" t="n">
        <x:f>MOD(A551-1,20)+1</x:f>
        <x:v>7</x:v>
      </x:c>
      <x:c r="D551" s="18" t="str">
        <x:v>בַּרְזֶל</x:v>
      </x:c>
      <x:c r="E551" s="19" t="str">
        <x:v>barzel</x:v>
      </x:c>
      <x:c r="F551" s="16" t="str">
        <x:v>ברזל</x:v>
      </x:c>
      <x:c r="G551" s="20" t="str">
        <x:v>iron</x:v>
      </x:c>
      <x:c r="H551" s="20" t="str"/>
      <x:c r="I551" s="21" t="str">
        <x:v>BBH2 課序</x:v>
      </x:c>
      <x:c r="J551" s="21" t="n">
        <x:v>35</x:v>
      </x:c>
      <x:c r="K551" s="22" t="n">
        <x:v>76</x:v>
      </x:c>
      <x:c r="L551" s="21" t="str">
        <x:v>H1270</x:v>
      </x:c>
      <x:c r="M551" s="21" t="str">
        <x:v>noun</x:v>
      </x:c>
      <x:c r="N551" s="21" t="str">
        <x:v>否</x:v>
      </x:c>
      <x:c r="O551" s="21" t="str"/>
      <x:c r="P551" s="21" t="str">
        <x:v>source_and_lexicon_matched</x:v>
      </x:c>
      <x:c r="Q551" s="21" t="str">
        <x:v>rule_generated_exception_review</x:v>
      </x:c>
      <x:c r="R551" s="20" t="str">
        <x:v>https://hebrewsyntax.org/bbh2new/</x:v>
      </x:c>
    </x:row>
    <x:row r="552" ht="28" customHeight="1">
      <x:c r="A552" s="21" t="n">
        <x:v>548</x:v>
      </x:c>
      <x:c r="B552" s="21" t="n">
        <x:f>ROUNDUP(A552/20,0)</x:f>
        <x:v>28</x:v>
      </x:c>
      <x:c r="C552" s="21" t="n">
        <x:f>MOD(A552-1,20)+1</x:f>
        <x:v>8</x:v>
      </x:c>
      <x:c r="D552" s="18" t="str">
        <x:v>עֵד</x:v>
      </x:c>
      <x:c r="E552" s="19" t="str">
        <x:v>ʿēḏ</x:v>
      </x:c>
      <x:c r="F552" s="16" t="str">
        <x:v>עד</x:v>
      </x:c>
      <x:c r="G552" s="20" t="str">
        <x:v>witness</x:v>
      </x:c>
      <x:c r="H552" s="20" t="str"/>
      <x:c r="I552" s="21" t="str">
        <x:v>BBH2 課序</x:v>
      </x:c>
      <x:c r="J552" s="21" t="n">
        <x:v>35</x:v>
      </x:c>
      <x:c r="K552" s="22" t="n">
        <x:v>70</x:v>
      </x:c>
      <x:c r="L552" s="21" t="str">
        <x:v>H5707</x:v>
      </x:c>
      <x:c r="M552" s="21" t="str">
        <x:v>noun</x:v>
      </x:c>
      <x:c r="N552" s="21" t="str">
        <x:v>否</x:v>
      </x:c>
      <x:c r="O552" s="21" t="str"/>
      <x:c r="P552" s="21" t="str">
        <x:v>source_and_lexicon_matched</x:v>
      </x:c>
      <x:c r="Q552" s="21" t="str">
        <x:v>rule_generated_exception_review</x:v>
      </x:c>
      <x:c r="R552" s="20" t="str">
        <x:v>https://hebrewsyntax.org/bbh2new/</x:v>
      </x:c>
    </x:row>
    <x:row r="553" ht="28" customHeight="1">
      <x:c r="A553" s="21" t="n">
        <x:v>549</x:v>
      </x:c>
      <x:c r="B553" s="21" t="n">
        <x:f>ROUNDUP(A553/20,0)</x:f>
        <x:v>28</x:v>
      </x:c>
      <x:c r="C553" s="21" t="n">
        <x:f>MOD(A553-1,20)+1</x:f>
        <x:v>9</x:v>
      </x:c>
      <x:c r="D553" s="18" t="str">
        <x:v>צָרָה</x:v>
      </x:c>
      <x:c r="E553" s="19" t="str">
        <x:v>ṣārâ</x:v>
      </x:c>
      <x:c r="F553" s="16" t="str">
        <x:v>צרה</x:v>
      </x:c>
      <x:c r="G553" s="20" t="str">
        <x:v>distress, anxiety, trouble</x:v>
      </x:c>
      <x:c r="H553" s="20" t="str"/>
      <x:c r="I553" s="21" t="str">
        <x:v>BBH2 課序</x:v>
      </x:c>
      <x:c r="J553" s="21" t="n">
        <x:v>35</x:v>
      </x:c>
      <x:c r="K553" s="22" t="n">
        <x:v>73</x:v>
      </x:c>
      <x:c r="L553" s="21" t="str">
        <x:v>H6869</x:v>
      </x:c>
      <x:c r="M553" s="21" t="str">
        <x:v>noun</x:v>
      </x:c>
      <x:c r="N553" s="21" t="str">
        <x:v>否</x:v>
      </x:c>
      <x:c r="O553" s="21" t="str"/>
      <x:c r="P553" s="21" t="str">
        <x:v>source_and_lexicon_matched</x:v>
      </x:c>
      <x:c r="Q553" s="21" t="str">
        <x:v>rule_generated_exception_review</x:v>
      </x:c>
      <x:c r="R553" s="20" t="str">
        <x:v>https://hebrewsyntax.org/bbh2new/</x:v>
      </x:c>
    </x:row>
    <x:row r="554" ht="28" customHeight="1">
      <x:c r="A554" s="21" t="n">
        <x:v>550</x:v>
      </x:c>
      <x:c r="B554" s="21" t="n">
        <x:f>ROUNDUP(A554/20,0)</x:f>
        <x:v>28</x:v>
      </x:c>
      <x:c r="C554" s="21" t="n">
        <x:f>MOD(A554-1,20)+1</x:f>
        <x:v>10</x:v>
      </x:c>
      <x:c r="D554" s="18" t="str">
        <x:v>שׁוֹר</x:v>
      </x:c>
      <x:c r="E554" s="19" t="str">
        <x:v>šôr</x:v>
      </x:c>
      <x:c r="F554" s="16" t="str">
        <x:v>שור</x:v>
      </x:c>
      <x:c r="G554" s="20" t="str">
        <x:v>ox, bull, cow</x:v>
      </x:c>
      <x:c r="H554" s="20" t="str"/>
      <x:c r="I554" s="21" t="str">
        <x:v>BBH2 課序</x:v>
      </x:c>
      <x:c r="J554" s="21" t="n">
        <x:v>35</x:v>
      </x:c>
      <x:c r="K554" s="22" t="n">
        <x:v>79</x:v>
      </x:c>
      <x:c r="L554" s="21" t="str">
        <x:v>H7794</x:v>
      </x:c>
      <x:c r="M554" s="21" t="str">
        <x:v>noun</x:v>
      </x:c>
      <x:c r="N554" s="21" t="str">
        <x:v>否</x:v>
      </x:c>
      <x:c r="O554" s="21" t="str"/>
      <x:c r="P554" s="21" t="str">
        <x:v>source_and_lexicon_matched</x:v>
      </x:c>
      <x:c r="Q554" s="21" t="str">
        <x:v>rule_generated_exception_review</x:v>
      </x:c>
      <x:c r="R554" s="20" t="str">
        <x:v>https://hebrewsyntax.org/bbh2new/</x:v>
      </x:c>
    </x:row>
    <x:row r="555" ht="28" customHeight="1">
      <x:c r="A555" s="21" t="n">
        <x:v>551</x:v>
      </x:c>
      <x:c r="B555" s="21" t="n">
        <x:f>ROUNDUP(A555/20,0)</x:f>
        <x:v>28</x:v>
      </x:c>
      <x:c r="C555" s="21" t="n">
        <x:f>MOD(A555-1,20)+1</x:f>
        <x:v>11</x:v>
      </x:c>
      <x:c r="D555" s="18" t="str">
        <x:v>שֻׁלְחָן</x:v>
      </x:c>
      <x:c r="E555" s="19" t="str">
        <x:v>šulḥān</x:v>
      </x:c>
      <x:c r="F555" s="16" t="str">
        <x:v>שלחן</x:v>
      </x:c>
      <x:c r="G555" s="20" t="str">
        <x:v>table</x:v>
      </x:c>
      <x:c r="H555" s="20" t="str"/>
      <x:c r="I555" s="21" t="str">
        <x:v>BBH2 課序</x:v>
      </x:c>
      <x:c r="J555" s="21" t="n">
        <x:v>35</x:v>
      </x:c>
      <x:c r="K555" s="22" t="n">
        <x:v>71</x:v>
      </x:c>
      <x:c r="L555" s="21" t="str">
        <x:v>H7979</x:v>
      </x:c>
      <x:c r="M555" s="21" t="str">
        <x:v>noun</x:v>
      </x:c>
      <x:c r="N555" s="21" t="str">
        <x:v>否</x:v>
      </x:c>
      <x:c r="O555" s="21" t="str"/>
      <x:c r="P555" s="21" t="str">
        <x:v>source_and_lexicon_matched</x:v>
      </x:c>
      <x:c r="Q555" s="21" t="str">
        <x:v>rule_generated_exception_review</x:v>
      </x:c>
      <x:c r="R555" s="20" t="str">
        <x:v>https://hebrewsyntax.org/bbh2new/</x:v>
      </x:c>
    </x:row>
    <x:row r="556" ht="28" customHeight="1">
      <x:c r="A556" s="21" t="n">
        <x:v>552</x:v>
      </x:c>
      <x:c r="B556" s="21" t="n">
        <x:f>ROUNDUP(A556/20,0)</x:f>
        <x:v>28</x:v>
      </x:c>
      <x:c r="C556" s="21" t="n">
        <x:f>MOD(A556-1,20)+1</x:f>
        <x:v>12</x:v>
      </x:c>
      <x:c r="D556" s="18" t="str">
        <x:v>תְּפִלָּה</x:v>
      </x:c>
      <x:c r="E556" s="19" t="str">
        <x:v>təp̄illâ</x:v>
      </x:c>
      <x:c r="F556" s="16" t="str">
        <x:v>תפלה</x:v>
      </x:c>
      <x:c r="G556" s="20" t="str">
        <x:v>prayer</x:v>
      </x:c>
      <x:c r="H556" s="20" t="str"/>
      <x:c r="I556" s="21" t="str">
        <x:v>BBH2 課序</x:v>
      </x:c>
      <x:c r="J556" s="21" t="n">
        <x:v>35</x:v>
      </x:c>
      <x:c r="K556" s="22" t="n">
        <x:v>77</x:v>
      </x:c>
      <x:c r="L556" s="21" t="str">
        <x:v>H8605</x:v>
      </x:c>
      <x:c r="M556" s="21" t="str">
        <x:v>noun</x:v>
      </x:c>
      <x:c r="N556" s="21" t="str">
        <x:v>否</x:v>
      </x:c>
      <x:c r="O556" s="21" t="str"/>
      <x:c r="P556" s="21" t="str">
        <x:v>source_and_lexicon_matched</x:v>
      </x:c>
      <x:c r="Q556" s="21" t="str">
        <x:v>rule_generated_exception_review</x:v>
      </x:c>
      <x:c r="R556" s="20" t="str">
        <x:v>https://hebrewsyntax.org/bbh2new/</x:v>
      </x:c>
    </x:row>
    <x:row r="557" ht="28" customHeight="1">
      <x:c r="A557" s="21" t="n">
        <x:v>553</x:v>
      </x:c>
      <x:c r="B557" s="21" t="n">
        <x:f>ROUNDUP(A557/20,0)</x:f>
        <x:v>28</x:v>
      </x:c>
      <x:c r="C557" s="21" t="n">
        <x:f>MOD(A557-1,20)+1</x:f>
        <x:v>13</x:v>
      </x:c>
      <x:c r="D557" s="18" t="str">
        <x:v>דָּוִד</x:v>
      </x:c>
      <x:c r="E557" s="19" t="str">
        <x:v>dāwiḏ</x:v>
      </x:c>
      <x:c r="F557" s="16" t="str">
        <x:v>דוד</x:v>
      </x:c>
      <x:c r="G557" s="20" t="str">
        <x:v>David, the youngest son of Jesse</x:v>
      </x:c>
      <x:c r="H557" s="20" t="str"/>
      <x:c r="I557" s="21" t="str">
        <x:v>自編延伸</x:v>
      </x:c>
      <x:c r="J557" s="21"/>
      <x:c r="K557" s="22" t="n">
        <x:v>1075</x:v>
      </x:c>
      <x:c r="L557" s="21" t="str">
        <x:v>H1732</x:v>
      </x:c>
      <x:c r="M557" s="21" t="str">
        <x:v>proper_name</x:v>
      </x:c>
      <x:c r="N557" s="21" t="str">
        <x:v>是</x:v>
      </x:c>
      <x:c r="O557" s="21" t="str">
        <x:v>人名</x:v>
      </x:c>
      <x:c r="P557" s="21" t="str">
        <x:v>lemma_frequency_verified</x:v>
      </x:c>
      <x:c r="Q557" s="21" t="str">
        <x:v>rule_generated_exception_review</x:v>
      </x:c>
      <x:c r="R557" s="20" t="str">
        <x:v>https://github.com/openscriptures/morphhb</x:v>
      </x:c>
    </x:row>
    <x:row r="558" ht="28" customHeight="1">
      <x:c r="A558" s="21" t="n">
        <x:v>554</x:v>
      </x:c>
      <x:c r="B558" s="21" t="n">
        <x:f>ROUNDUP(A558/20,0)</x:f>
        <x:v>28</x:v>
      </x:c>
      <x:c r="C558" s="21" t="n">
        <x:f>MOD(A558-1,20)+1</x:f>
        <x:v>14</x:v>
      </x:c>
      <x:c r="D558" s="18" t="str">
        <x:v>יָלַךְ</x:v>
      </x:c>
      <x:c r="E558" s="19" t="str">
        <x:v>yālaḵ</x:v>
      </x:c>
      <x:c r="F558" s="16" t="str">
        <x:v>ילך</x:v>
      </x:c>
      <x:c r="G558" s="20" t="str">
        <x:v>to walk (literally or figuratively); causatively, to carry (in various senses)</x:v>
      </x:c>
      <x:c r="H558" s="20" t="str"/>
      <x:c r="I558" s="21" t="str">
        <x:v>自編延伸</x:v>
      </x:c>
      <x:c r="J558" s="21"/>
      <x:c r="K558" s="22" t="n">
        <x:v>1044</x:v>
      </x:c>
      <x:c r="L558" s="21" t="str">
        <x:v>H3212</x:v>
      </x:c>
      <x:c r="M558" s="21" t="str">
        <x:v>verb</x:v>
      </x:c>
      <x:c r="N558" s="21" t="str">
        <x:v>否</x:v>
      </x:c>
      <x:c r="O558" s="21" t="str"/>
      <x:c r="P558" s="21" t="str">
        <x:v>lemma_frequency_verified</x:v>
      </x:c>
      <x:c r="Q558" s="21" t="str">
        <x:v>rule_generated_exception_review</x:v>
      </x:c>
      <x:c r="R558" s="20" t="str">
        <x:v>https://github.com/openscriptures/morphhb</x:v>
      </x:c>
    </x:row>
    <x:row r="559" ht="28" customHeight="1">
      <x:c r="A559" s="21" t="n">
        <x:v>555</x:v>
      </x:c>
      <x:c r="B559" s="21" t="n">
        <x:f>ROUNDUP(A559/20,0)</x:f>
        <x:v>28</x:v>
      </x:c>
      <x:c r="C559" s="21" t="n">
        <x:f>MOD(A559-1,20)+1</x:f>
        <x:v>15</x:v>
      </x:c>
      <x:c r="D559" s="18" t="str">
        <x:v>יְהוּדָה</x:v>
      </x:c>
      <x:c r="E559" s="19" t="str">
        <x:v>yəhûḏâ</x:v>
      </x:c>
      <x:c r="F559" s="16" t="str">
        <x:v>יהודה</x:v>
      </x:c>
      <x:c r="G559" s="20" t="str">
        <x:v>Jehudah (or Judah), the name of five Israelites; also of the tribe descended from the first, and of its territory</x:v>
      </x:c>
      <x:c r="H559" s="20" t="str"/>
      <x:c r="I559" s="21" t="str">
        <x:v>自編延伸</x:v>
      </x:c>
      <x:c r="J559" s="21"/>
      <x:c r="K559" s="22" t="n">
        <x:v>819</x:v>
      </x:c>
      <x:c r="L559" s="21" t="str">
        <x:v>H3063</x:v>
      </x:c>
      <x:c r="M559" s="21" t="str">
        <x:v>proper_name</x:v>
      </x:c>
      <x:c r="N559" s="21" t="str">
        <x:v>是</x:v>
      </x:c>
      <x:c r="O559" s="21" t="str">
        <x:v>人名、地名、民族／國族</x:v>
      </x:c>
      <x:c r="P559" s="21" t="str">
        <x:v>lemma_frequency_verified</x:v>
      </x:c>
      <x:c r="Q559" s="21" t="str">
        <x:v>rule_generated_exception_review</x:v>
      </x:c>
      <x:c r="R559" s="20" t="str">
        <x:v>https://github.com/openscriptures/morphhb</x:v>
      </x:c>
    </x:row>
    <x:row r="560" ht="28" customHeight="1">
      <x:c r="A560" s="21" t="n">
        <x:v>556</x:v>
      </x:c>
      <x:c r="B560" s="21" t="n">
        <x:f>ROUNDUP(A560/20,0)</x:f>
        <x:v>28</x:v>
      </x:c>
      <x:c r="C560" s="21" t="n">
        <x:f>MOD(A560-1,20)+1</x:f>
        <x:v>16</x:v>
      </x:c>
      <x:c r="D560" s="18" t="str">
        <x:v>שְׁנַיִם</x:v>
      </x:c>
      <x:c r="E560" s="19" t="str">
        <x:v>šənayim</x:v>
      </x:c>
      <x:c r="F560" s="16" t="str">
        <x:v>שנים</x:v>
      </x:c>
      <x:c r="G560" s="20" t="str">
        <x:v>two; also (as ordinal) twofold</x:v>
      </x:c>
      <x:c r="H560" s="20" t="str"/>
      <x:c r="I560" s="21" t="str">
        <x:v>自編延伸</x:v>
      </x:c>
      <x:c r="J560" s="21"/>
      <x:c r="K560" s="22" t="n">
        <x:v>769</x:v>
      </x:c>
      <x:c r="L560" s="21" t="str">
        <x:v>H8147</x:v>
      </x:c>
      <x:c r="M560" s="21" t="str">
        <x:v>adjective</x:v>
      </x:c>
      <x:c r="N560" s="21" t="str">
        <x:v>否</x:v>
      </x:c>
      <x:c r="O560" s="21" t="str"/>
      <x:c r="P560" s="21" t="str">
        <x:v>lemma_frequency_verified</x:v>
      </x:c>
      <x:c r="Q560" s="21" t="str">
        <x:v>rule_generated_exception_review</x:v>
      </x:c>
      <x:c r="R560" s="20" t="str">
        <x:v>https://github.com/openscriptures/morphhb</x:v>
      </x:c>
    </x:row>
    <x:row r="561" ht="28" customHeight="1">
      <x:c r="A561" s="21" t="n">
        <x:v>557</x:v>
      </x:c>
      <x:c r="B561" s="21" t="n">
        <x:f>ROUNDUP(A561/20,0)</x:f>
        <x:v>28</x:v>
      </x:c>
      <x:c r="C561" s="21" t="n">
        <x:f>MOD(A561-1,20)+1</x:f>
        <x:v>17</x:v>
      </x:c>
      <x:c r="D561" s="18" t="str">
        <x:v>מֵאָה</x:v>
      </x:c>
      <x:c r="E561" s="19" t="str">
        <x:v>mēʾâ</x:v>
      </x:c>
      <x:c r="F561" s="16" t="str">
        <x:v>מאה</x:v>
      </x:c>
      <x:c r="G561" s="20" t="str">
        <x:v>a hundred; also as a multiplicative and a fraction</x:v>
      </x:c>
      <x:c r="H561" s="20" t="str"/>
      <x:c r="I561" s="21" t="str">
        <x:v>自編延伸</x:v>
      </x:c>
      <x:c r="J561" s="21"/>
      <x:c r="K561" s="22" t="n">
        <x:v>583</x:v>
      </x:c>
      <x:c r="L561" s="21" t="str">
        <x:v>H3967</x:v>
      </x:c>
      <x:c r="M561" s="21" t="str">
        <x:v>adjective</x:v>
      </x:c>
      <x:c r="N561" s="21" t="str">
        <x:v>否</x:v>
      </x:c>
      <x:c r="O561" s="21" t="str"/>
      <x:c r="P561" s="21" t="str">
        <x:v>lemma_frequency_verified</x:v>
      </x:c>
      <x:c r="Q561" s="21" t="str">
        <x:v>rule_generated_exception_review</x:v>
      </x:c>
      <x:c r="R561" s="20" t="str">
        <x:v>https://github.com/openscriptures/morphhb</x:v>
      </x:c>
    </x:row>
    <x:row r="562" ht="28" customHeight="1">
      <x:c r="A562" s="21" t="n">
        <x:v>558</x:v>
      </x:c>
      <x:c r="B562" s="21" t="n">
        <x:f>ROUNDUP(A562/20,0)</x:f>
        <x:v>28</x:v>
      </x:c>
      <x:c r="C562" s="21" t="n">
        <x:f>MOD(A562-1,20)+1</x:f>
        <x:v>18</x:v>
      </x:c>
      <x:c r="D562" s="18" t="str">
        <x:v>שָׁלוֹשׁ</x:v>
      </x:c>
      <x:c r="E562" s="19" t="str">
        <x:v>šālôš</x:v>
      </x:c>
      <x:c r="F562" s="16" t="str">
        <x:v>שלוש</x:v>
      </x:c>
      <x:c r="G562" s="20" t="str">
        <x:v>three; occasionally (ordinal) third, or (multiple) thrice</x:v>
      </x:c>
      <x:c r="H562" s="20" t="str"/>
      <x:c r="I562" s="21" t="str">
        <x:v>自編延伸</x:v>
      </x:c>
      <x:c r="J562" s="21"/>
      <x:c r="K562" s="22" t="n">
        <x:v>431</x:v>
      </x:c>
      <x:c r="L562" s="21" t="str">
        <x:v>H7969</x:v>
      </x:c>
      <x:c r="M562" s="21" t="str">
        <x:v>adjective</x:v>
      </x:c>
      <x:c r="N562" s="21" t="str">
        <x:v>否</x:v>
      </x:c>
      <x:c r="O562" s="21" t="str"/>
      <x:c r="P562" s="21" t="str">
        <x:v>lemma_frequency_verified</x:v>
      </x:c>
      <x:c r="Q562" s="21" t="str">
        <x:v>rule_generated_exception_review</x:v>
      </x:c>
      <x:c r="R562" s="20" t="str">
        <x:v>https://github.com/openscriptures/morphhb</x:v>
      </x:c>
    </x:row>
    <x:row r="563" ht="28" customHeight="1">
      <x:c r="A563" s="21" t="n">
        <x:v>559</x:v>
      </x:c>
      <x:c r="B563" s="21" t="n">
        <x:f>ROUNDUP(A563/20,0)</x:f>
        <x:v>28</x:v>
      </x:c>
      <x:c r="C563" s="21" t="n">
        <x:f>MOD(A563-1,20)+1</x:f>
        <x:v>19</x:v>
      </x:c>
      <x:c r="D563" s="18" t="str">
        <x:v>שָׁאוּל</x:v>
      </x:c>
      <x:c r="E563" s="19" t="str">
        <x:v>šāʾûl</x:v>
      </x:c>
      <x:c r="F563" s="16" t="str">
        <x:v>שאול</x:v>
      </x:c>
      <x:c r="G563" s="20" t="str">
        <x:v>Shaul, the name of an Edomite and two Israelites</x:v>
      </x:c>
      <x:c r="H563" s="20" t="str"/>
      <x:c r="I563" s="21" t="str">
        <x:v>自編延伸</x:v>
      </x:c>
      <x:c r="J563" s="21"/>
      <x:c r="K563" s="22" t="n">
        <x:v>406</x:v>
      </x:c>
      <x:c r="L563" s="21" t="str">
        <x:v>H7586</x:v>
      </x:c>
      <x:c r="M563" s="21" t="str">
        <x:v>proper_name</x:v>
      </x:c>
      <x:c r="N563" s="21" t="str">
        <x:v>是</x:v>
      </x:c>
      <x:c r="O563" s="21" t="str">
        <x:v>人名</x:v>
      </x:c>
      <x:c r="P563" s="21" t="str">
        <x:v>lemma_frequency_verified</x:v>
      </x:c>
      <x:c r="Q563" s="21" t="str">
        <x:v>rule_generated_exception_review</x:v>
      </x:c>
      <x:c r="R563" s="20" t="str">
        <x:v>https://github.com/openscriptures/morphhb</x:v>
      </x:c>
    </x:row>
    <x:row r="564" ht="28" customHeight="1">
      <x:c r="A564" s="21" t="n">
        <x:v>560</x:v>
      </x:c>
      <x:c r="B564" s="21" t="n">
        <x:f>ROUNDUP(A564/20,0)</x:f>
        <x:v>28</x:v>
      </x:c>
      <x:c r="C564" s="21" t="n">
        <x:f>MOD(A564-1,20)+1</x:f>
        <x:v>20</x:v>
      </x:c>
      <x:c r="D564" s="18" t="str">
        <x:v>שֶׁבַע</x:v>
      </x:c>
      <x:c r="E564" s="19" t="str">
        <x:v>šeḇaʿ</x:v>
      </x:c>
      <x:c r="F564" s="16" t="str">
        <x:v>שבע</x:v>
      </x:c>
      <x:c r="G564" s="20" t="str">
        <x:v>seven (as the sacred full one); also (adverbially) seven times; by implication, a week; by extension, an indefinite number</x:v>
      </x:c>
      <x:c r="H564" s="20" t="str"/>
      <x:c r="I564" s="21" t="str">
        <x:v>自編延伸</x:v>
      </x:c>
      <x:c r="J564" s="21"/>
      <x:c r="K564" s="22" t="n">
        <x:v>394</x:v>
      </x:c>
      <x:c r="L564" s="21" t="str">
        <x:v>H7651</x:v>
      </x:c>
      <x:c r="M564" s="21" t="str">
        <x:v>adjective</x:v>
      </x:c>
      <x:c r="N564" s="21" t="str">
        <x:v>否</x:v>
      </x:c>
      <x:c r="O564" s="21" t="str"/>
      <x:c r="P564" s="21" t="str">
        <x:v>lemma_frequency_verified</x:v>
      </x:c>
      <x:c r="Q564" s="21" t="str">
        <x:v>rule_generated_exception_review</x:v>
      </x:c>
      <x:c r="R564" s="20" t="str">
        <x:v>https://github.com/openscriptures/morphhb</x:v>
      </x:c>
    </x:row>
    <x:row r="565" ht="28" customHeight="1">
      <x:c r="A565" s="21" t="n">
        <x:v>561</x:v>
      </x:c>
      <x:c r="B565" s="21" t="n">
        <x:f>ROUNDUP(A565/20,0)</x:f>
        <x:v>29</x:v>
      </x:c>
      <x:c r="C565" s="21" t="n">
        <x:f>MOD(A565-1,20)+1</x:f>
        <x:v>1</x:v>
      </x:c>
      <x:c r="D565" s="18" t="str">
        <x:v>יַעֲקֹב</x:v>
      </x:c>
      <x:c r="E565" s="19" t="str">
        <x:v>yaʿăqōḇ</x:v>
      </x:c>
      <x:c r="F565" s="16" t="str">
        <x:v>יעקב</x:v>
      </x:c>
      <x:c r="G565" s="20" t="str">
        <x:v>Jaakob, the Israelitish patriarch</x:v>
      </x:c>
      <x:c r="H565" s="20" t="str"/>
      <x:c r="I565" s="21" t="str">
        <x:v>自編延伸</x:v>
      </x:c>
      <x:c r="J565" s="21"/>
      <x:c r="K565" s="22" t="n">
        <x:v>349</x:v>
      </x:c>
      <x:c r="L565" s="21" t="str">
        <x:v>H3290</x:v>
      </x:c>
      <x:c r="M565" s="21" t="str">
        <x:v>proper_name</x:v>
      </x:c>
      <x:c r="N565" s="21" t="str">
        <x:v>是</x:v>
      </x:c>
      <x:c r="O565" s="21" t="str">
        <x:v>人名</x:v>
      </x:c>
      <x:c r="P565" s="21" t="str">
        <x:v>lemma_frequency_verified</x:v>
      </x:c>
      <x:c r="Q565" s="21" t="str">
        <x:v>rule_generated_exception_review</x:v>
      </x:c>
      <x:c r="R565" s="20" t="str">
        <x:v>https://github.com/openscriptures/morphhb</x:v>
      </x:c>
    </x:row>
    <x:row r="566" ht="28" customHeight="1">
      <x:c r="A566" s="21" t="n">
        <x:v>562</x:v>
      </x:c>
      <x:c r="B566" s="21" t="n">
        <x:f>ROUNDUP(A566/20,0)</x:f>
        <x:v>29</x:v>
      </x:c>
      <x:c r="C566" s="21" t="n">
        <x:f>MOD(A566-1,20)+1</x:f>
        <x:v>2</x:v>
      </x:c>
      <x:c r="D566" s="18" t="str">
        <x:v>אַהֲרוֹן</x:v>
      </x:c>
      <x:c r="E566" s="19" t="str">
        <x:v>ʾahărôn</x:v>
      </x:c>
      <x:c r="F566" s="16" t="str">
        <x:v>אהרון</x:v>
      </x:c>
      <x:c r="G566" s="20" t="str">
        <x:v>Aharon, the brother of Moses</x:v>
      </x:c>
      <x:c r="H566" s="20" t="str"/>
      <x:c r="I566" s="21" t="str">
        <x:v>自編延伸</x:v>
      </x:c>
      <x:c r="J566" s="21"/>
      <x:c r="K566" s="22" t="n">
        <x:v>347</x:v>
      </x:c>
      <x:c r="L566" s="21" t="str">
        <x:v>H175</x:v>
      </x:c>
      <x:c r="M566" s="21" t="str">
        <x:v>proper_name</x:v>
      </x:c>
      <x:c r="N566" s="21" t="str">
        <x:v>是</x:v>
      </x:c>
      <x:c r="O566" s="21" t="str">
        <x:v>人名</x:v>
      </x:c>
      <x:c r="P566" s="21" t="str">
        <x:v>lemma_frequency_verified</x:v>
      </x:c>
      <x:c r="Q566" s="21" t="str">
        <x:v>rule_generated_exception_review</x:v>
      </x:c>
      <x:c r="R566" s="20" t="str">
        <x:v>https://github.com/openscriptures/morphhb</x:v>
      </x:c>
    </x:row>
    <x:row r="567" ht="28" customHeight="1">
      <x:c r="A567" s="21" t="n">
        <x:v>563</x:v>
      </x:c>
      <x:c r="B567" s="21" t="n">
        <x:f>ROUNDUP(A567/20,0)</x:f>
        <x:v>29</x:v>
      </x:c>
      <x:c r="C567" s="21" t="n">
        <x:f>MOD(A567-1,20)+1</x:f>
        <x:v>3</x:v>
      </x:c>
      <x:c r="D567" s="18" t="str">
        <x:v>חָמֵשׁ</x:v>
      </x:c>
      <x:c r="E567" s="19" t="str">
        <x:v>ḥāmēš</x:v>
      </x:c>
      <x:c r="F567" s="16" t="str">
        <x:v>חמש</x:v>
      </x:c>
      <x:c r="G567" s="20" t="str">
        <x:v>five</x:v>
      </x:c>
      <x:c r="H567" s="20" t="str"/>
      <x:c r="I567" s="21" t="str">
        <x:v>自編延伸</x:v>
      </x:c>
      <x:c r="J567" s="21"/>
      <x:c r="K567" s="22" t="n">
        <x:v>345</x:v>
      </x:c>
      <x:c r="L567" s="21" t="str">
        <x:v>H2568</x:v>
      </x:c>
      <x:c r="M567" s="21" t="str">
        <x:v>adjective</x:v>
      </x:c>
      <x:c r="N567" s="21" t="str">
        <x:v>否</x:v>
      </x:c>
      <x:c r="O567" s="21" t="str"/>
      <x:c r="P567" s="21" t="str">
        <x:v>lemma_frequency_verified</x:v>
      </x:c>
      <x:c r="Q567" s="21" t="str">
        <x:v>rule_generated_exception_review</x:v>
      </x:c>
      <x:c r="R567" s="20" t="str">
        <x:v>https://github.com/openscriptures/morphhb</x:v>
      </x:c>
    </x:row>
    <x:row r="568" ht="28" customHeight="1">
      <x:c r="A568" s="21" t="n">
        <x:v>564</x:v>
      </x:c>
      <x:c r="B568" s="21" t="n">
        <x:f>ROUNDUP(A568/20,0)</x:f>
        <x:v>29</x:v>
      </x:c>
      <x:c r="C568" s="21" t="n">
        <x:f>MOD(A568-1,20)+1</x:f>
        <x:v>4</x:v>
      </x:c>
      <x:c r="D568" s="18" t="str">
        <x:v>עָשָׂר</x:v>
      </x:c>
      <x:c r="E568" s="19" t="str">
        <x:v>ʿāśār</x:v>
      </x:c>
      <x:c r="F568" s="16" t="str">
        <x:v>עשר</x:v>
      </x:c>
      <x:c r="G568" s="20" t="str">
        <x:v>ten (only in combination), i.e. -teen; also (ordinal) -teenth</x:v>
      </x:c>
      <x:c r="H568" s="20" t="str"/>
      <x:c r="I568" s="21" t="str">
        <x:v>自編延伸</x:v>
      </x:c>
      <x:c r="J568" s="21"/>
      <x:c r="K568" s="22" t="n">
        <x:v>338</x:v>
      </x:c>
      <x:c r="L568" s="21" t="str">
        <x:v>H6240</x:v>
      </x:c>
      <x:c r="M568" s="21" t="str">
        <x:v>adjective</x:v>
      </x:c>
      <x:c r="N568" s="21" t="str">
        <x:v>否</x:v>
      </x:c>
      <x:c r="O568" s="21" t="str"/>
      <x:c r="P568" s="21" t="str">
        <x:v>lemma_frequency_verified</x:v>
      </x:c>
      <x:c r="Q568" s="21" t="str">
        <x:v>rule_generated_exception_review</x:v>
      </x:c>
      <x:c r="R568" s="20" t="str">
        <x:v>https://github.com/openscriptures/morphhb</x:v>
      </x:c>
    </x:row>
    <x:row r="569" ht="28" customHeight="1">
      <x:c r="A569" s="21" t="n">
        <x:v>565</x:v>
      </x:c>
      <x:c r="B569" s="21" t="n">
        <x:f>ROUNDUP(A569/20,0)</x:f>
        <x:v>29</x:v>
      </x:c>
      <x:c r="C569" s="21" t="n">
        <x:f>MOD(A569-1,20)+1</x:f>
        <x:v>5</x:v>
      </x:c>
      <x:c r="D569" s="18" t="str">
        <x:v>אַרְבַּע</x:v>
      </x:c>
      <x:c r="E569" s="19" t="str">
        <x:v>ʾarbaʿ</x:v>
      </x:c>
      <x:c r="F569" s="16" t="str">
        <x:v>ארבע</x:v>
      </x:c>
      <x:c r="G569" s="20" t="str">
        <x:v>four</x:v>
      </x:c>
      <x:c r="H569" s="20" t="str"/>
      <x:c r="I569" s="21" t="str">
        <x:v>自編延伸</x:v>
      </x:c>
      <x:c r="J569" s="21"/>
      <x:c r="K569" s="22" t="n">
        <x:v>320</x:v>
      </x:c>
      <x:c r="L569" s="21" t="str">
        <x:v>H702</x:v>
      </x:c>
      <x:c r="M569" s="21" t="str">
        <x:v>adjective</x:v>
      </x:c>
      <x:c r="N569" s="21" t="str">
        <x:v>否</x:v>
      </x:c>
      <x:c r="O569" s="21" t="str"/>
      <x:c r="P569" s="21" t="str">
        <x:v>lemma_frequency_verified</x:v>
      </x:c>
      <x:c r="Q569" s="21" t="str">
        <x:v>rule_generated_exception_review</x:v>
      </x:c>
      <x:c r="R569" s="20" t="str">
        <x:v>https://github.com/openscriptures/morphhb</x:v>
      </x:c>
    </x:row>
    <x:row r="570" ht="28" customHeight="1">
      <x:c r="A570" s="21" t="n">
        <x:v>566</x:v>
      </x:c>
      <x:c r="B570" s="21" t="n">
        <x:f>ROUNDUP(A570/20,0)</x:f>
        <x:v>29</x:v>
      </x:c>
      <x:c r="C570" s="21" t="n">
        <x:f>MOD(A570-1,20)+1</x:f>
        <x:v>6</x:v>
      </x:c>
      <x:c r="D570" s="18" t="str">
        <x:v>עֶשְׂרִים</x:v>
      </x:c>
      <x:c r="E570" s="19" t="str">
        <x:v>ʿeśrîm</x:v>
      </x:c>
      <x:c r="F570" s="16" t="str">
        <x:v>עשרים</x:v>
      </x:c>
      <x:c r="G570" s="20" t="str">
        <x:v>twenty; also (ordinal) twentieth</x:v>
      </x:c>
      <x:c r="H570" s="20" t="str"/>
      <x:c r="I570" s="21" t="str">
        <x:v>自編延伸</x:v>
      </x:c>
      <x:c r="J570" s="21"/>
      <x:c r="K570" s="22" t="n">
        <x:v>315</x:v>
      </x:c>
      <x:c r="L570" s="21" t="str">
        <x:v>H6242</x:v>
      </x:c>
      <x:c r="M570" s="21" t="str">
        <x:v>adjective</x:v>
      </x:c>
      <x:c r="N570" s="21" t="str">
        <x:v>否</x:v>
      </x:c>
      <x:c r="O570" s="21" t="str"/>
      <x:c r="P570" s="21" t="str">
        <x:v>lemma_frequency_verified</x:v>
      </x:c>
      <x:c r="Q570" s="21" t="str">
        <x:v>rule_generated_exception_review</x:v>
      </x:c>
      <x:c r="R570" s="20" t="str">
        <x:v>https://github.com/openscriptures/morphhb</x:v>
      </x:c>
    </x:row>
    <x:row r="571" ht="28" customHeight="1">
      <x:c r="A571" s="21" t="n">
        <x:v>567</x:v>
      </x:c>
      <x:c r="B571" s="21" t="n">
        <x:f>ROUNDUP(A571/20,0)</x:f>
        <x:v>29</x:v>
      </x:c>
      <x:c r="C571" s="21" t="n">
        <x:f>MOD(A571-1,20)+1</x:f>
        <x:v>7</x:v>
      </x:c>
      <x:c r="D571" s="18" t="str">
        <x:v>יְהֹוִה</x:v>
      </x:c>
      <x:c r="E571" s="19" t="str">
        <x:v>yhwh</x:v>
      </x:c>
      <x:c r="F571" s="16" t="str">
        <x:v>יהוה</x:v>
      </x:c>
      <x:c r="G571" s="20" t="str">
        <x:v>{YHWH}</x:v>
      </x:c>
      <x:c r="H571" s="20" t="str"/>
      <x:c r="I571" s="21" t="str">
        <x:v>自編延伸</x:v>
      </x:c>
      <x:c r="J571" s="21"/>
      <x:c r="K571" s="22" t="n">
        <x:v>306</x:v>
      </x:c>
      <x:c r="L571" s="21" t="str">
        <x:v>H3069</x:v>
      </x:c>
      <x:c r="M571" s="21" t="str">
        <x:v>proper_name</x:v>
      </x:c>
      <x:c r="N571" s="21" t="str">
        <x:v>是</x:v>
      </x:c>
      <x:c r="O571" s="21" t="str">
        <x:v>神名／稱號</x:v>
      </x:c>
      <x:c r="P571" s="21" t="str">
        <x:v>lemma_frequency_verified</x:v>
      </x:c>
      <x:c r="Q571" s="21" t="str">
        <x:v>rule_generated_exception_review</x:v>
      </x:c>
      <x:c r="R571" s="20" t="str">
        <x:v>https://github.com/openscriptures/morphhb</x:v>
      </x:c>
    </x:row>
    <x:row r="572" ht="28" customHeight="1">
      <x:c r="A572" s="21" t="n">
        <x:v>568</x:v>
      </x:c>
      <x:c r="B572" s="21" t="n">
        <x:f>ROUNDUP(A572/20,0)</x:f>
        <x:v>29</x:v>
      </x:c>
      <x:c r="C572" s="21" t="n">
        <x:f>MOD(A572-1,20)+1</x:f>
        <x:v>8</x:v>
      </x:c>
      <x:c r="D572" s="18" t="str">
        <x:v>שְׁלֹמֹה</x:v>
      </x:c>
      <x:c r="E572" s="19" t="str">
        <x:v>šəlōmô</x:v>
      </x:c>
      <x:c r="F572" s="16" t="str">
        <x:v>שלמה</x:v>
      </x:c>
      <x:c r="G572" s="20" t="str">
        <x:v>Shelomah, David's successor</x:v>
      </x:c>
      <x:c r="H572" s="20" t="str"/>
      <x:c r="I572" s="21" t="str">
        <x:v>自編延伸</x:v>
      </x:c>
      <x:c r="J572" s="21"/>
      <x:c r="K572" s="22" t="n">
        <x:v>293</x:v>
      </x:c>
      <x:c r="L572" s="21" t="str">
        <x:v>H8010</x:v>
      </x:c>
      <x:c r="M572" s="21" t="str">
        <x:v>proper_name</x:v>
      </x:c>
      <x:c r="N572" s="21" t="str">
        <x:v>是</x:v>
      </x:c>
      <x:c r="O572" s="21" t="str">
        <x:v>人名</x:v>
      </x:c>
      <x:c r="P572" s="21" t="str">
        <x:v>lemma_frequency_verified</x:v>
      </x:c>
      <x:c r="Q572" s="21" t="str">
        <x:v>rule_generated_exception_review</x:v>
      </x:c>
      <x:c r="R572" s="20" t="str">
        <x:v>https://github.com/openscriptures/morphhb</x:v>
      </x:c>
    </x:row>
    <x:row r="573" ht="28" customHeight="1">
      <x:c r="A573" s="21" t="n">
        <x:v>569</x:v>
      </x:c>
      <x:c r="B573" s="21" t="n">
        <x:f>ROUNDUP(A573/20,0)</x:f>
        <x:v>29</x:v>
      </x:c>
      <x:c r="C573" s="21" t="n">
        <x:f>MOD(A573-1,20)+1</x:f>
        <x:v>9</x:v>
      </x:c>
      <x:c r="D573" s="18" t="str">
        <x:v>פְּלִשְׁתִּי</x:v>
      </x:c>
      <x:c r="E573" s="19" t="str">
        <x:v>pəlištî</x:v>
      </x:c>
      <x:c r="F573" s="16" t="str">
        <x:v>פלשתי</x:v>
      </x:c>
      <x:c r="G573" s="20" t="str">
        <x:v>a Pelishtite or inhabitant of Pelesheth</x:v>
      </x:c>
      <x:c r="H573" s="20" t="str"/>
      <x:c r="I573" s="21" t="str">
        <x:v>自編延伸</x:v>
      </x:c>
      <x:c r="J573" s="21"/>
      <x:c r="K573" s="22" t="n">
        <x:v>290</x:v>
      </x:c>
      <x:c r="L573" s="21" t="str">
        <x:v>H6430</x:v>
      </x:c>
      <x:c r="M573" s="21" t="str">
        <x:v>noun</x:v>
      </x:c>
      <x:c r="N573" s="21" t="str">
        <x:v>是</x:v>
      </x:c>
      <x:c r="O573" s="21" t="str">
        <x:v>民族／國族</x:v>
      </x:c>
      <x:c r="P573" s="21" t="str">
        <x:v>lemma_frequency_verified</x:v>
      </x:c>
      <x:c r="Q573" s="21" t="str">
        <x:v>rule_generated_exception_review</x:v>
      </x:c>
      <x:c r="R573" s="20" t="str">
        <x:v>https://github.com/openscriptures/morphhb</x:v>
      </x:c>
    </x:row>
    <x:row r="574" ht="28" customHeight="1">
      <x:c r="A574" s="21" t="n">
        <x:v>570</x:v>
      </x:c>
      <x:c r="B574" s="21" t="n">
        <x:f>ROUNDUP(A574/20,0)</x:f>
        <x:v>29</x:v>
      </x:c>
      <x:c r="C574" s="21" t="n">
        <x:f>MOD(A574-1,20)+1</x:f>
        <x:v>10</x:v>
      </x:c>
      <x:c r="D574" s="18" t="str">
        <x:v>לֵוִיִּי</x:v>
      </x:c>
      <x:c r="E574" s="19" t="str">
        <x:v>lēwiyyî</x:v>
      </x:c>
      <x:c r="F574" s="16" t="str">
        <x:v>לויי</x:v>
      </x:c>
      <x:c r="G574" s="20" t="str">
        <x:v>a Levite or descendant of Levi</x:v>
      </x:c>
      <x:c r="H574" s="20" t="str"/>
      <x:c r="I574" s="21" t="str">
        <x:v>自編延伸</x:v>
      </x:c>
      <x:c r="J574" s="21"/>
      <x:c r="K574" s="22" t="n">
        <x:v>286</x:v>
      </x:c>
      <x:c r="L574" s="21" t="str">
        <x:v>H3881</x:v>
      </x:c>
      <x:c r="M574" s="21" t="str">
        <x:v>noun</x:v>
      </x:c>
      <x:c r="N574" s="21" t="str">
        <x:v>是</x:v>
      </x:c>
      <x:c r="O574" s="21" t="str">
        <x:v>民族／國族</x:v>
      </x:c>
      <x:c r="P574" s="21" t="str">
        <x:v>lemma_frequency_verified</x:v>
      </x:c>
      <x:c r="Q574" s="21" t="str">
        <x:v>rule_generated_exception_review</x:v>
      </x:c>
      <x:c r="R574" s="20" t="str">
        <x:v>https://github.com/openscriptures/morphhb</x:v>
      </x:c>
    </x:row>
    <x:row r="575" ht="28" customHeight="1">
      <x:c r="A575" s="21" t="n">
        <x:v>571</x:v>
      </x:c>
      <x:c r="B575" s="21" t="n">
        <x:f>ROUNDUP(A575/20,0)</x:f>
        <x:v>29</x:v>
      </x:c>
      <x:c r="C575" s="21" t="n">
        <x:f>MOD(A575-1,20)+1</x:f>
        <x:v>11</x:v>
      </x:c>
      <x:c r="D575" s="18" t="str">
        <x:v>בָּבֶל</x:v>
      </x:c>
      <x:c r="E575" s="19" t="str">
        <x:v>bāḇel</x:v>
      </x:c>
      <x:c r="F575" s="16" t="str">
        <x:v>בבל</x:v>
      </x:c>
      <x:c r="G575" s="20" t="str">
        <x:v>Babel (i.e. Babylon), including Babylonia and the Babylonian empire</x:v>
      </x:c>
      <x:c r="H575" s="20" t="str"/>
      <x:c r="I575" s="21" t="str">
        <x:v>自編延伸</x:v>
      </x:c>
      <x:c r="J575" s="21"/>
      <x:c r="K575" s="22" t="n">
        <x:v>262</x:v>
      </x:c>
      <x:c r="L575" s="21" t="str">
        <x:v>H894</x:v>
      </x:c>
      <x:c r="M575" s="21" t="str">
        <x:v>proper_name</x:v>
      </x:c>
      <x:c r="N575" s="21" t="str">
        <x:v>是</x:v>
      </x:c>
      <x:c r="O575" s="21" t="str">
        <x:v>地名</x:v>
      </x:c>
      <x:c r="P575" s="21" t="str">
        <x:v>lemma_frequency_verified</x:v>
      </x:c>
      <x:c r="Q575" s="21" t="str">
        <x:v>rule_generated_exception_review</x:v>
      </x:c>
      <x:c r="R575" s="20" t="str">
        <x:v>https://github.com/openscriptures/morphhb</x:v>
      </x:c>
    </x:row>
    <x:row r="576" ht="28" customHeight="1">
      <x:c r="A576" s="21" t="n">
        <x:v>572</x:v>
      </x:c>
      <x:c r="B576" s="21" t="n">
        <x:f>ROUNDUP(A576/20,0)</x:f>
        <x:v>29</x:v>
      </x:c>
      <x:c r="C576" s="21" t="n">
        <x:f>MOD(A576-1,20)+1</x:f>
        <x:v>12</x:v>
      </x:c>
      <x:c r="D576" s="18" t="str">
        <x:v>יְהוֹשׁוּעַ</x:v>
      </x:c>
      <x:c r="E576" s="19" t="str">
        <x:v>yəhôšûaʿ</x:v>
      </x:c>
      <x:c r="F576" s="16" t="str">
        <x:v>יהושוע</x:v>
      </x:c>
      <x:c r="G576" s="20" t="str">
        <x:v>Jehoshua (i.e. Joshua), the Jewish leader</x:v>
      </x:c>
      <x:c r="H576" s="20" t="str"/>
      <x:c r="I576" s="21" t="str">
        <x:v>自編延伸</x:v>
      </x:c>
      <x:c r="J576" s="21"/>
      <x:c r="K576" s="22" t="n">
        <x:v>218</x:v>
      </x:c>
      <x:c r="L576" s="21" t="str">
        <x:v>H3091</x:v>
      </x:c>
      <x:c r="M576" s="21" t="str">
        <x:v>proper_name</x:v>
      </x:c>
      <x:c r="N576" s="21" t="str">
        <x:v>是</x:v>
      </x:c>
      <x:c r="O576" s="21" t="str">
        <x:v>人名</x:v>
      </x:c>
      <x:c r="P576" s="21" t="str">
        <x:v>lemma_frequency_verified</x:v>
      </x:c>
      <x:c r="Q576" s="21" t="str">
        <x:v>rule_generated_exception_review</x:v>
      </x:c>
      <x:c r="R576" s="20" t="str">
        <x:v>https://github.com/openscriptures/morphhb</x:v>
      </x:c>
    </x:row>
    <x:row r="577" ht="28" customHeight="1">
      <x:c r="A577" s="21" t="n">
        <x:v>573</x:v>
      </x:c>
      <x:c r="B577" s="21" t="n">
        <x:f>ROUNDUP(A577/20,0)</x:f>
        <x:v>29</x:v>
      </x:c>
      <x:c r="C577" s="21" t="n">
        <x:f>MOD(A577-1,20)+1</x:f>
        <x:v>13</x:v>
      </x:c>
      <x:c r="D577" s="18" t="str">
        <x:v>שֵׁשׁ</x:v>
      </x:c>
      <x:c r="E577" s="19" t="str">
        <x:v>šēš</x:v>
      </x:c>
      <x:c r="F577" s="16" t="str">
        <x:v>שש</x:v>
      </x:c>
      <x:c r="G577" s="20" t="str">
        <x:v>six (as an overplus  beyond five or the fingers of the hand); as ord. sixth</x:v>
      </x:c>
      <x:c r="H577" s="20" t="str"/>
      <x:c r="I577" s="21" t="str">
        <x:v>自編延伸</x:v>
      </x:c>
      <x:c r="J577" s="21"/>
      <x:c r="K577" s="22" t="n">
        <x:v>215</x:v>
      </x:c>
      <x:c r="L577" s="21" t="str">
        <x:v>H8337</x:v>
      </x:c>
      <x:c r="M577" s="21" t="str">
        <x:v>adjective</x:v>
      </x:c>
      <x:c r="N577" s="21" t="str">
        <x:v>否</x:v>
      </x:c>
      <x:c r="O577" s="21" t="str"/>
      <x:c r="P577" s="21" t="str">
        <x:v>lemma_frequency_verified</x:v>
      </x:c>
      <x:c r="Q577" s="21" t="str">
        <x:v>rule_generated_exception_review</x:v>
      </x:c>
      <x:c r="R577" s="20" t="str">
        <x:v>https://github.com/openscriptures/morphhb</x:v>
      </x:c>
    </x:row>
    <x:row r="578" ht="28" customHeight="1">
      <x:c r="A578" s="21" t="n">
        <x:v>574</x:v>
      </x:c>
      <x:c r="B578" s="21" t="n">
        <x:f>ROUNDUP(A578/20,0)</x:f>
        <x:v>29</x:v>
      </x:c>
      <x:c r="C578" s="21" t="n">
        <x:f>MOD(A578-1,20)+1</x:f>
        <x:v>14</x:v>
      </x:c>
      <x:c r="D578" s="18" t="str">
        <x:v>יוֹסֵף</x:v>
      </x:c>
      <x:c r="E578" s="19" t="str">
        <x:v>yôsēp̄</x:v>
      </x:c>
      <x:c r="F578" s="16" t="str">
        <x:v>יוסף</x:v>
      </x:c>
      <x:c r="G578" s="20" t="str">
        <x:v>Joseph, the name of seven Israelites</x:v>
      </x:c>
      <x:c r="H578" s="20" t="str"/>
      <x:c r="I578" s="21" t="str">
        <x:v>自編延伸</x:v>
      </x:c>
      <x:c r="J578" s="21"/>
      <x:c r="K578" s="22" t="n">
        <x:v>213</x:v>
      </x:c>
      <x:c r="L578" s="21" t="str">
        <x:v>H3130</x:v>
      </x:c>
      <x:c r="M578" s="21" t="str">
        <x:v>proper_name</x:v>
      </x:c>
      <x:c r="N578" s="21" t="str">
        <x:v>是</x:v>
      </x:c>
      <x:c r="O578" s="21" t="str">
        <x:v>人名</x:v>
      </x:c>
      <x:c r="P578" s="21" t="str">
        <x:v>lemma_frequency_verified</x:v>
      </x:c>
      <x:c r="Q578" s="21" t="str">
        <x:v>rule_generated_exception_review</x:v>
      </x:c>
      <x:c r="R578" s="20" t="str">
        <x:v>https://github.com/openscriptures/morphhb</x:v>
      </x:c>
    </x:row>
    <x:row r="579" ht="28" customHeight="1">
      <x:c r="A579" s="21" t="n">
        <x:v>575</x:v>
      </x:c>
      <x:c r="B579" s="21" t="n">
        <x:f>ROUNDUP(A579/20,0)</x:f>
        <x:v>29</x:v>
      </x:c>
      <x:c r="C579" s="21" t="n">
        <x:f>MOD(A579-1,20)+1</x:f>
        <x:v>15</x:v>
      </x:c>
      <x:c r="D579" s="18" t="str">
        <x:v>יַרְדֵּן</x:v>
      </x:c>
      <x:c r="E579" s="19" t="str">
        <x:v>yardēn</x:v>
      </x:c>
      <x:c r="F579" s="16" t="str">
        <x:v>ירדן</x:v>
      </x:c>
      <x:c r="G579" s="20" t="str">
        <x:v>Jarden, the principal river of Palestine</x:v>
      </x:c>
      <x:c r="H579" s="20" t="str"/>
      <x:c r="I579" s="21" t="str">
        <x:v>自編延伸</x:v>
      </x:c>
      <x:c r="J579" s="21"/>
      <x:c r="K579" s="22" t="n">
        <x:v>183</x:v>
      </x:c>
      <x:c r="L579" s="21" t="str">
        <x:v>H3383</x:v>
      </x:c>
      <x:c r="M579" s="21" t="str">
        <x:v>proper_name</x:v>
      </x:c>
      <x:c r="N579" s="21" t="str">
        <x:v>是</x:v>
      </x:c>
      <x:c r="O579" s="21" t="str">
        <x:v>地名</x:v>
      </x:c>
      <x:c r="P579" s="21" t="str">
        <x:v>lemma_frequency_verified</x:v>
      </x:c>
      <x:c r="Q579" s="21" t="str">
        <x:v>rule_generated_exception_review</x:v>
      </x:c>
      <x:c r="R579" s="20" t="str">
        <x:v>https://github.com/openscriptures/morphhb</x:v>
      </x:c>
    </x:row>
    <x:row r="580" ht="28" customHeight="1">
      <x:c r="A580" s="21" t="n">
        <x:v>576</x:v>
      </x:c>
      <x:c r="B580" s="21" t="n">
        <x:f>ROUNDUP(A580/20,0)</x:f>
        <x:v>29</x:v>
      </x:c>
      <x:c r="C580" s="21" t="n">
        <x:f>MOD(A580-1,20)+1</x:f>
        <x:v>16</x:v>
      </x:c>
      <x:c r="D580" s="18" t="str">
        <x:v>רִאשׁוֹן</x:v>
      </x:c>
      <x:c r="E580" s="19" t="str">
        <x:v>riʾšôn</x:v>
      </x:c>
      <x:c r="F580" s="16" t="str">
        <x:v>ראשון</x:v>
      </x:c>
      <x:c r="G580" s="20" t="str">
        <x:v>first, in place, time or rank (as adjective or noun)</x:v>
      </x:c>
      <x:c r="H580" s="20" t="str"/>
      <x:c r="I580" s="21" t="str">
        <x:v>自編延伸</x:v>
      </x:c>
      <x:c r="J580" s="21"/>
      <x:c r="K580" s="22" t="n">
        <x:v>182</x:v>
      </x:c>
      <x:c r="L580" s="21" t="str">
        <x:v>H7223</x:v>
      </x:c>
      <x:c r="M580" s="21" t="str">
        <x:v>adjective</x:v>
      </x:c>
      <x:c r="N580" s="21" t="str">
        <x:v>否</x:v>
      </x:c>
      <x:c r="O580" s="21" t="str"/>
      <x:c r="P580" s="21" t="str">
        <x:v>lemma_frequency_verified</x:v>
      </x:c>
      <x:c r="Q580" s="21" t="str">
        <x:v>rule_generated_exception_review</x:v>
      </x:c>
      <x:c r="R580" s="20" t="str">
        <x:v>https://github.com/openscriptures/morphhb</x:v>
      </x:c>
    </x:row>
    <x:row r="581" ht="28" customHeight="1">
      <x:c r="A581" s="21" t="n">
        <x:v>577</x:v>
      </x:c>
      <x:c r="B581" s="21" t="n">
        <x:f>ROUNDUP(A581/20,0)</x:f>
        <x:v>29</x:v>
      </x:c>
      <x:c r="C581" s="21" t="n">
        <x:f>MOD(A581-1,20)+1</x:f>
        <x:v>17</x:v>
      </x:c>
      <x:c r="D581" s="18" t="str">
        <x:v>מוֹאָב</x:v>
      </x:c>
      <x:c r="E581" s="19" t="str">
        <x:v>môʾāḇ</x:v>
      </x:c>
      <x:c r="F581" s="16" t="str">
        <x:v>מואב</x:v>
      </x:c>
      <x:c r="G581" s="20" t="str">
        <x:v>Moab, an incestuous son of Lot; also his territory and descendants</x:v>
      </x:c>
      <x:c r="H581" s="20" t="str"/>
      <x:c r="I581" s="21" t="str">
        <x:v>自編延伸</x:v>
      </x:c>
      <x:c r="J581" s="21"/>
      <x:c r="K581" s="22" t="n">
        <x:v>181</x:v>
      </x:c>
      <x:c r="L581" s="21" t="str">
        <x:v>H4124</x:v>
      </x:c>
      <x:c r="M581" s="21" t="str">
        <x:v>proper_name</x:v>
      </x:c>
      <x:c r="N581" s="21" t="str">
        <x:v>是</x:v>
      </x:c>
      <x:c r="O581" s="21" t="str">
        <x:v>人名、地名、民族／國族</x:v>
      </x:c>
      <x:c r="P581" s="21" t="str">
        <x:v>lemma_frequency_verified</x:v>
      </x:c>
      <x:c r="Q581" s="21" t="str">
        <x:v>rule_generated_exception_review</x:v>
      </x:c>
      <x:c r="R581" s="20" t="str">
        <x:v>https://github.com/openscriptures/morphhb</x:v>
      </x:c>
    </x:row>
    <x:row r="582" ht="28" customHeight="1">
      <x:c r="A582" s="21" t="n">
        <x:v>578</x:v>
      </x:c>
      <x:c r="B582" s="21" t="n">
        <x:f>ROUNDUP(A582/20,0)</x:f>
        <x:v>29</x:v>
      </x:c>
      <x:c r="C582" s="21" t="n">
        <x:f>MOD(A582-1,20)+1</x:f>
        <x:v>18</x:v>
      </x:c>
      <x:c r="D582" s="18" t="str">
        <x:v>אֶפְרַיִם</x:v>
      </x:c>
      <x:c r="E582" s="19" t="str">
        <x:v>ʾep̄rayim</x:v>
      </x:c>
      <x:c r="F582" s="16" t="str">
        <x:v>אפרים</x:v>
      </x:c>
      <x:c r="G582" s="20" t="str">
        <x:v>Ephrajim, a son of Joseph; also the tribe descended from him, and its territory</x:v>
      </x:c>
      <x:c r="H582" s="20" t="str"/>
      <x:c r="I582" s="21" t="str">
        <x:v>自編延伸</x:v>
      </x:c>
      <x:c r="J582" s="21"/>
      <x:c r="K582" s="22" t="n">
        <x:v>180</x:v>
      </x:c>
      <x:c r="L582" s="21" t="str">
        <x:v>H669</x:v>
      </x:c>
      <x:c r="M582" s="21" t="str">
        <x:v>proper_name</x:v>
      </x:c>
      <x:c r="N582" s="21" t="str">
        <x:v>是</x:v>
      </x:c>
      <x:c r="O582" s="21" t="str">
        <x:v>地名、民族／國族、人名</x:v>
      </x:c>
      <x:c r="P582" s="21" t="str">
        <x:v>lemma_frequency_verified</x:v>
      </x:c>
      <x:c r="Q582" s="21" t="str">
        <x:v>rule_generated_exception_review</x:v>
      </x:c>
      <x:c r="R582" s="20" t="str">
        <x:v>https://github.com/openscriptures/morphhb</x:v>
      </x:c>
    </x:row>
    <x:row r="583" ht="28" customHeight="1">
      <x:c r="A583" s="21" t="n">
        <x:v>579</x:v>
      </x:c>
      <x:c r="B583" s="21" t="n">
        <x:f>ROUNDUP(A583/20,0)</x:f>
        <x:v>29</x:v>
      </x:c>
      <x:c r="C583" s="21" t="n">
        <x:f>MOD(A583-1,20)+1</x:f>
        <x:v>19</x:v>
      </x:c>
      <x:c r="D583" s="18" t="str">
        <x:v>אַבְרָהָם</x:v>
      </x:c>
      <x:c r="E583" s="19" t="str">
        <x:v>ʾaḇrāhām</x:v>
      </x:c>
      <x:c r="F583" s="16" t="str">
        <x:v>אברהם</x:v>
      </x:c>
      <x:c r="G583" s="20" t="str">
        <x:v>Abraham, the later name of Abram</x:v>
      </x:c>
      <x:c r="H583" s="20" t="str"/>
      <x:c r="I583" s="21" t="str">
        <x:v>自編延伸</x:v>
      </x:c>
      <x:c r="J583" s="21"/>
      <x:c r="K583" s="22" t="n">
        <x:v>175</x:v>
      </x:c>
      <x:c r="L583" s="21" t="str">
        <x:v>H85</x:v>
      </x:c>
      <x:c r="M583" s="21" t="str">
        <x:v>proper_name</x:v>
      </x:c>
      <x:c r="N583" s="21" t="str">
        <x:v>是</x:v>
      </x:c>
      <x:c r="O583" s="21" t="str">
        <x:v>人名</x:v>
      </x:c>
      <x:c r="P583" s="21" t="str">
        <x:v>lemma_frequency_verified</x:v>
      </x:c>
      <x:c r="Q583" s="21" t="str">
        <x:v>rule_generated_exception_review</x:v>
      </x:c>
      <x:c r="R583" s="20" t="str">
        <x:v>https://github.com/openscriptures/morphhb</x:v>
      </x:c>
    </x:row>
    <x:row r="584" ht="28" customHeight="1">
      <x:c r="A584" s="21" t="n">
        <x:v>580</x:v>
      </x:c>
      <x:c r="B584" s="21" t="n">
        <x:f>ROUNDUP(A584/20,0)</x:f>
        <x:v>29</x:v>
      </x:c>
      <x:c r="C584" s="21" t="n">
        <x:f>MOD(A584-1,20)+1</x:f>
        <x:v>20</x:v>
      </x:c>
      <x:c r="D584" s="18" t="str">
        <x:v>שְׁלוֹשִׁים</x:v>
      </x:c>
      <x:c r="E584" s="19" t="str">
        <x:v>šəlôšîm</x:v>
      </x:c>
      <x:c r="F584" s="16" t="str">
        <x:v>שלושים</x:v>
      </x:c>
      <x:c r="G584" s="20" t="str">
        <x:v>thirty; or (ordinal) thirtieth</x:v>
      </x:c>
      <x:c r="H584" s="20" t="str"/>
      <x:c r="I584" s="21" t="str">
        <x:v>自編延伸</x:v>
      </x:c>
      <x:c r="J584" s="21"/>
      <x:c r="K584" s="22" t="n">
        <x:v>175</x:v>
      </x:c>
      <x:c r="L584" s="21" t="str">
        <x:v>H7970</x:v>
      </x:c>
      <x:c r="M584" s="21" t="str">
        <x:v>adjective</x:v>
      </x:c>
      <x:c r="N584" s="21" t="str">
        <x:v>否</x:v>
      </x:c>
      <x:c r="O584" s="21" t="str"/>
      <x:c r="P584" s="21" t="str">
        <x:v>lemma_frequency_verified</x:v>
      </x:c>
      <x:c r="Q584" s="21" t="str">
        <x:v>rule_generated_exception_review</x:v>
      </x:c>
      <x:c r="R584" s="20" t="str">
        <x:v>https://github.com/openscriptures/morphhb</x:v>
      </x:c>
    </x:row>
    <x:row r="585" ht="28" customHeight="1">
      <x:c r="A585" s="21" t="n">
        <x:v>581</x:v>
      </x:c>
      <x:c r="B585" s="21" t="n">
        <x:f>ROUNDUP(A585/20,0)</x:f>
        <x:v>30</x:v>
      </x:c>
      <x:c r="C585" s="21" t="n">
        <x:f>MOD(A585-1,20)+1</x:f>
        <x:v>1</x:v>
      </x:c>
      <x:c r="D585" s="18" t="str">
        <x:v>שָׁחָה</x:v>
      </x:c>
      <x:c r="E585" s="19" t="str">
        <x:v>šāḥâ</x:v>
      </x:c>
      <x:c r="F585" s="16" t="str">
        <x:v>שחה</x:v>
      </x:c>
      <x:c r="G585" s="20" t="str">
        <x:v>to depress, i.e. prostrate (especially reflexive, in homage to royalty or God)</x:v>
      </x:c>
      <x:c r="H585" s="20" t="str"/>
      <x:c r="I585" s="21" t="str">
        <x:v>自編延伸</x:v>
      </x:c>
      <x:c r="J585" s="21"/>
      <x:c r="K585" s="22" t="n">
        <x:v>175</x:v>
      </x:c>
      <x:c r="L585" s="21" t="str">
        <x:v>H7812</x:v>
      </x:c>
      <x:c r="M585" s="21" t="str">
        <x:v>verb</x:v>
      </x:c>
      <x:c r="N585" s="21" t="str">
        <x:v>否</x:v>
      </x:c>
      <x:c r="O585" s="21" t="str"/>
      <x:c r="P585" s="21" t="str">
        <x:v>lemma_frequency_verified</x:v>
      </x:c>
      <x:c r="Q585" s="21" t="str">
        <x:v>rule_generated_exception_review</x:v>
      </x:c>
      <x:c r="R585" s="20" t="str">
        <x:v>https://github.com/openscriptures/morphhb</x:v>
      </x:c>
    </x:row>
    <x:row r="586" ht="28" customHeight="1">
      <x:c r="A586" s="21" t="n">
        <x:v>582</x:v>
      </x:c>
      <x:c r="B586" s="21" t="n">
        <x:f>ROUNDUP(A586/20,0)</x:f>
        <x:v>30</x:v>
      </x:c>
      <x:c r="C586" s="21" t="n">
        <x:f>MOD(A586-1,20)+1</x:f>
        <x:v>2</x:v>
      </x:c>
      <x:c r="D586" s="18" t="str">
        <x:v>בִּנְיָמִין</x:v>
      </x:c>
      <x:c r="E586" s="19" t="str">
        <x:v>binyāmîn</x:v>
      </x:c>
      <x:c r="F586" s="16" t="str">
        <x:v>בנימין</x:v>
      </x:c>
      <x:c r="G586" s="20" t="str">
        <x:v>Binjamin, youngest son of Jacob; also the tribe descended from him, and its territory</x:v>
      </x:c>
      <x:c r="H586" s="20" t="str"/>
      <x:c r="I586" s="21" t="str">
        <x:v>自編延伸</x:v>
      </x:c>
      <x:c r="J586" s="21"/>
      <x:c r="K586" s="22" t="n">
        <x:v>167</x:v>
      </x:c>
      <x:c r="L586" s="21" t="str">
        <x:v>H1144</x:v>
      </x:c>
      <x:c r="M586" s="21" t="str">
        <x:v>proper_name</x:v>
      </x:c>
      <x:c r="N586" s="21" t="str">
        <x:v>是</x:v>
      </x:c>
      <x:c r="O586" s="21" t="str">
        <x:v>地名、民族／國族、人名</x:v>
      </x:c>
      <x:c r="P586" s="21" t="str">
        <x:v>lemma_frequency_verified</x:v>
      </x:c>
      <x:c r="Q586" s="21" t="str">
        <x:v>rule_generated_exception_review</x:v>
      </x:c>
      <x:c r="R586" s="20" t="str">
        <x:v>https://github.com/openscriptures/morphhb</x:v>
      </x:c>
    </x:row>
    <x:row r="587" ht="28" customHeight="1">
      <x:c r="A587" s="21" t="n">
        <x:v>583</x:v>
      </x:c>
      <x:c r="B587" s="21" t="n">
        <x:f>ROUNDUP(A587/20,0)</x:f>
        <x:v>30</x:v>
      </x:c>
      <x:c r="C587" s="21" t="n">
        <x:f>MOD(A587-1,20)+1</x:f>
        <x:v>3</x:v>
      </x:c>
      <x:c r="D587" s="18" t="str">
        <x:v>חֲמִשִּׁים</x:v>
      </x:c>
      <x:c r="E587" s="19" t="str">
        <x:v>ḥămiššîm</x:v>
      </x:c>
      <x:c r="F587" s="16" t="str">
        <x:v>חמשים</x:v>
      </x:c>
      <x:c r="G587" s="20" t="str">
        <x:v>fifty</x:v>
      </x:c>
      <x:c r="H587" s="20" t="str"/>
      <x:c r="I587" s="21" t="str">
        <x:v>自編延伸</x:v>
      </x:c>
      <x:c r="J587" s="21"/>
      <x:c r="K587" s="22" t="n">
        <x:v>163</x:v>
      </x:c>
      <x:c r="L587" s="21" t="str">
        <x:v>H2572</x:v>
      </x:c>
      <x:c r="M587" s="21" t="str">
        <x:v>adjective</x:v>
      </x:c>
      <x:c r="N587" s="21" t="str">
        <x:v>否</x:v>
      </x:c>
      <x:c r="O587" s="21" t="str"/>
      <x:c r="P587" s="21" t="str">
        <x:v>lemma_frequency_verified</x:v>
      </x:c>
      <x:c r="Q587" s="21" t="str">
        <x:v>rule_generated_exception_review</x:v>
      </x:c>
      <x:c r="R587" s="20" t="str">
        <x:v>https://github.com/openscriptures/morphhb</x:v>
      </x:c>
    </x:row>
    <x:row r="588" ht="28" customHeight="1">
      <x:c r="A588" s="21" t="n">
        <x:v>584</x:v>
      </x:c>
      <x:c r="B588" s="21" t="n">
        <x:f>ROUNDUP(A588/20,0)</x:f>
        <x:v>30</x:v>
      </x:c>
      <x:c r="C588" s="21" t="n">
        <x:f>MOD(A588-1,20)+1</x:f>
        <x:v>4</x:v>
      </x:c>
      <x:c r="D588" s="18" t="str">
        <x:v>שֵׁנִי</x:v>
      </x:c>
      <x:c r="E588" s="19" t="str">
        <x:v>šēnî</x:v>
      </x:c>
      <x:c r="F588" s="16" t="str">
        <x:v>שני</x:v>
      </x:c>
      <x:c r="G588" s="20" t="str">
        <x:v>properly, double, i.e. second; also adverbially, again</x:v>
      </x:c>
      <x:c r="H588" s="20" t="str"/>
      <x:c r="I588" s="21" t="str">
        <x:v>自編延伸</x:v>
      </x:c>
      <x:c r="J588" s="21"/>
      <x:c r="K588" s="22" t="n">
        <x:v>157</x:v>
      </x:c>
      <x:c r="L588" s="21" t="str">
        <x:v>H8145</x:v>
      </x:c>
      <x:c r="M588" s="21" t="str">
        <x:v>adjective</x:v>
      </x:c>
      <x:c r="N588" s="21" t="str">
        <x:v>否</x:v>
      </x:c>
      <x:c r="O588" s="21" t="str"/>
      <x:c r="P588" s="21" t="str">
        <x:v>lemma_frequency_verified</x:v>
      </x:c>
      <x:c r="Q588" s="21" t="str">
        <x:v>rule_generated_exception_review</x:v>
      </x:c>
      <x:c r="R588" s="20" t="str">
        <x:v>https://github.com/openscriptures/morphhb</x:v>
      </x:c>
    </x:row>
    <x:row r="589" ht="28" customHeight="1">
      <x:c r="A589" s="21" t="n">
        <x:v>585</x:v>
      </x:c>
      <x:c r="B589" s="21" t="n">
        <x:f>ROUNDUP(A589/20,0)</x:f>
        <x:v>30</x:v>
      </x:c>
      <x:c r="C589" s="21" t="n">
        <x:f>MOD(A589-1,20)+1</x:f>
        <x:v>5</x:v>
      </x:c>
      <x:c r="D589" s="18" t="str">
        <x:v>צִיּוֹן</x:v>
      </x:c>
      <x:c r="E589" s="19" t="str">
        <x:v>ṣîôn</x:v>
      </x:c>
      <x:c r="F589" s="16" t="str">
        <x:v>ציון</x:v>
      </x:c>
      <x:c r="G589" s="20" t="str">
        <x:v>Tsijon (as a permanent capital), a mountain of Jerusalem</x:v>
      </x:c>
      <x:c r="H589" s="20" t="str"/>
      <x:c r="I589" s="21" t="str">
        <x:v>自編延伸</x:v>
      </x:c>
      <x:c r="J589" s="21"/>
      <x:c r="K589" s="22" t="n">
        <x:v>153</x:v>
      </x:c>
      <x:c r="L589" s="21" t="str">
        <x:v>H6726</x:v>
      </x:c>
      <x:c r="M589" s="21" t="str">
        <x:v>proper_name</x:v>
      </x:c>
      <x:c r="N589" s="21" t="str">
        <x:v>是</x:v>
      </x:c>
      <x:c r="O589" s="21" t="str">
        <x:v>地名</x:v>
      </x:c>
      <x:c r="P589" s="21" t="str">
        <x:v>lemma_frequency_verified</x:v>
      </x:c>
      <x:c r="Q589" s="21" t="str">
        <x:v>rule_generated_exception_review</x:v>
      </x:c>
      <x:c r="R589" s="20" t="str">
        <x:v>https://github.com/openscriptures/morphhb</x:v>
      </x:c>
    </x:row>
    <x:row r="590" ht="28" customHeight="1">
      <x:c r="A590" s="21" t="n">
        <x:v>586</x:v>
      </x:c>
      <x:c r="B590" s="21" t="n">
        <x:f>ROUNDUP(A590/20,0)</x:f>
        <x:v>30</x:v>
      </x:c>
      <x:c r="C590" s="21" t="n">
        <x:f>MOD(A590-1,20)+1</x:f>
        <x:v>6</x:v>
      </x:c>
      <x:c r="D590" s="18" t="str">
        <x:v>אַשּׁוּר</x:v>
      </x:c>
      <x:c r="E590" s="19" t="str">
        <x:v>ʾaššûr</x:v>
      </x:c>
      <x:c r="F590" s="16" t="str">
        <x:v>אשור</x:v>
      </x:c>
      <x:c r="G590" s="20" t="str">
        <x:v>Ashshur, the second son of Shem; also his descendants and the country occupied by them (i.e. Assyria), its region and its empire</x:v>
      </x:c>
      <x:c r="H590" s="20" t="str"/>
      <x:c r="I590" s="21" t="str">
        <x:v>自編延伸</x:v>
      </x:c>
      <x:c r="J590" s="21"/>
      <x:c r="K590" s="22" t="n">
        <x:v>151</x:v>
      </x:c>
      <x:c r="L590" s="21" t="str">
        <x:v>H804</x:v>
      </x:c>
      <x:c r="M590" s="21" t="str">
        <x:v>proper_name</x:v>
      </x:c>
      <x:c r="N590" s="21" t="str">
        <x:v>是</x:v>
      </x:c>
      <x:c r="O590" s="21" t="str">
        <x:v>人名、地名、民族／國族</x:v>
      </x:c>
      <x:c r="P590" s="21" t="str">
        <x:v>lemma_frequency_verified</x:v>
      </x:c>
      <x:c r="Q590" s="21" t="str">
        <x:v>rule_generated_exception_review</x:v>
      </x:c>
      <x:c r="R590" s="20" t="str">
        <x:v>https://github.com/openscriptures/morphhb</x:v>
      </x:c>
    </x:row>
    <x:row r="591" ht="28" customHeight="1">
      <x:c r="A591" s="21" t="n">
        <x:v>587</x:v>
      </x:c>
      <x:c r="B591" s="21" t="n">
        <x:f>ROUNDUP(A591/20,0)</x:f>
        <x:v>30</x:v>
      </x:c>
      <x:c r="C591" s="21" t="n">
        <x:f>MOD(A591-1,20)+1</x:f>
        <x:v>7</x:v>
      </x:c>
      <x:c r="D591" s="18" t="str">
        <x:v>יִרְמְיָה</x:v>
      </x:c>
      <x:c r="E591" s="19" t="str">
        <x:v>yirməyâ</x:v>
      </x:c>
      <x:c r="F591" s="16" t="str">
        <x:v>ירמיה</x:v>
      </x:c>
      <x:c r="G591" s="20" t="str">
        <x:v>Jirmejah, the name of eight or nine Israelites</x:v>
      </x:c>
      <x:c r="H591" s="20" t="str"/>
      <x:c r="I591" s="21" t="str">
        <x:v>自編延伸</x:v>
      </x:c>
      <x:c r="J591" s="21"/>
      <x:c r="K591" s="22" t="n">
        <x:v>147</x:v>
      </x:c>
      <x:c r="L591" s="21" t="str">
        <x:v>H3414</x:v>
      </x:c>
      <x:c r="M591" s="21" t="str">
        <x:v>proper_name</x:v>
      </x:c>
      <x:c r="N591" s="21" t="str">
        <x:v>是</x:v>
      </x:c>
      <x:c r="O591" s="21" t="str">
        <x:v>人名</x:v>
      </x:c>
      <x:c r="P591" s="21" t="str">
        <x:v>lemma_frequency_verified</x:v>
      </x:c>
      <x:c r="Q591" s="21" t="str">
        <x:v>rule_generated_exception_review</x:v>
      </x:c>
      <x:c r="R591" s="20" t="str">
        <x:v>https://github.com/openscriptures/morphhb</x:v>
      </x:c>
    </x:row>
    <x:row r="592" ht="28" customHeight="1">
      <x:c r="A592" s="21" t="n">
        <x:v>588</x:v>
      </x:c>
      <x:c r="B592" s="21" t="n">
        <x:f>ROUNDUP(A592/20,0)</x:f>
        <x:v>30</x:v>
      </x:c>
      <x:c r="C592" s="21" t="n">
        <x:f>MOD(A592-1,20)+1</x:f>
        <x:v>8</x:v>
      </x:c>
      <x:c r="D592" s="18" t="str">
        <x:v>מְנַשֶּׁה</x:v>
      </x:c>
      <x:c r="E592" s="19" t="str">
        <x:v>mənaššê</x:v>
      </x:c>
      <x:c r="F592" s="16" t="str">
        <x:v>מנשה</x:v>
      </x:c>
      <x:c r="G592" s="20" t="str">
        <x:v>Menashsheh, a grandson of Jacob, also the tribe descended from him, and its territory</x:v>
      </x:c>
      <x:c r="H592" s="20" t="str"/>
      <x:c r="I592" s="21" t="str">
        <x:v>自編延伸</x:v>
      </x:c>
      <x:c r="J592" s="21"/>
      <x:c r="K592" s="22" t="n">
        <x:v>146</x:v>
      </x:c>
      <x:c r="L592" s="21" t="str">
        <x:v>H4519</x:v>
      </x:c>
      <x:c r="M592" s="21" t="str">
        <x:v>proper_name</x:v>
      </x:c>
      <x:c r="N592" s="21" t="str">
        <x:v>是</x:v>
      </x:c>
      <x:c r="O592" s="21" t="str">
        <x:v>人名、地名、民族／國族</x:v>
      </x:c>
      <x:c r="P592" s="21" t="str">
        <x:v>lemma_frequency_verified</x:v>
      </x:c>
      <x:c r="Q592" s="21" t="str">
        <x:v>rule_generated_exception_review</x:v>
      </x:c>
      <x:c r="R592" s="20" t="str">
        <x:v>https://github.com/openscriptures/morphhb</x:v>
      </x:c>
    </x:row>
    <x:row r="593" ht="28" customHeight="1">
      <x:c r="A593" s="21" t="n">
        <x:v>589</x:v>
      </x:c>
      <x:c r="B593" s="21" t="n">
        <x:f>ROUNDUP(A593/20,0)</x:f>
        <x:v>30</x:v>
      </x:c>
      <x:c r="C593" s="21" t="n">
        <x:f>MOD(A593-1,20)+1</x:f>
        <x:v>9</x:v>
      </x:c>
      <x:c r="D593" s="18" t="str">
        <x:v>יוֹאָב</x:v>
      </x:c>
      <x:c r="E593" s="19" t="str">
        <x:v>yôʾāḇ</x:v>
      </x:c>
      <x:c r="F593" s="16" t="str">
        <x:v>יואב</x:v>
      </x:c>
      <x:c r="G593" s="20" t="str">
        <x:v>Joab, the name of three Israelites</x:v>
      </x:c>
      <x:c r="H593" s="20" t="str"/>
      <x:c r="I593" s="21" t="str">
        <x:v>自編延伸</x:v>
      </x:c>
      <x:c r="J593" s="21"/>
      <x:c r="K593" s="22" t="n">
        <x:v>145</x:v>
      </x:c>
      <x:c r="L593" s="21" t="str">
        <x:v>H3097</x:v>
      </x:c>
      <x:c r="M593" s="21" t="str">
        <x:v>proper_name</x:v>
      </x:c>
      <x:c r="N593" s="21" t="str">
        <x:v>是</x:v>
      </x:c>
      <x:c r="O593" s="21" t="str">
        <x:v>人名</x:v>
      </x:c>
      <x:c r="P593" s="21" t="str">
        <x:v>lemma_frequency_verified</x:v>
      </x:c>
      <x:c r="Q593" s="21" t="str">
        <x:v>rule_generated_exception_review</x:v>
      </x:c>
      <x:c r="R593" s="20" t="str">
        <x:v>https://github.com/openscriptures/morphhb</x:v>
      </x:c>
    </x:row>
    <x:row r="594" ht="28" customHeight="1">
      <x:c r="A594" s="21" t="n">
        <x:v>590</x:v>
      </x:c>
      <x:c r="B594" s="21" t="n">
        <x:f>ROUNDUP(A594/20,0)</x:f>
        <x:v>30</x:v>
      </x:c>
      <x:c r="C594" s="21" t="n">
        <x:f>MOD(A594-1,20)+1</x:f>
        <x:v>10</x:v>
      </x:c>
      <x:c r="D594" s="18" t="str">
        <x:v>בֵּית־אֵל</x:v>
      </x:c>
      <x:c r="E594" s="19" t="str">
        <x:v>bêṯ-ʾēl</x:v>
      </x:c>
      <x:c r="F594" s="16" t="str">
        <x:v>ביתאל</x:v>
      </x:c>
      <x:c r="G594" s="20" t="str">
        <x:v>Beth-El, a place in Palestine</x:v>
      </x:c>
      <x:c r="H594" s="20" t="str"/>
      <x:c r="I594" s="21" t="str">
        <x:v>自編延伸</x:v>
      </x:c>
      <x:c r="J594" s="21"/>
      <x:c r="K594" s="22" t="n">
        <x:v>144</x:v>
      </x:c>
      <x:c r="L594" s="21" t="str">
        <x:v>H1008</x:v>
      </x:c>
      <x:c r="M594" s="21" t="str">
        <x:v>proper_name</x:v>
      </x:c>
      <x:c r="N594" s="21" t="str">
        <x:v>是</x:v>
      </x:c>
      <x:c r="O594" s="21" t="str">
        <x:v>地名</x:v>
      </x:c>
      <x:c r="P594" s="21" t="str">
        <x:v>lemma_frequency_verified</x:v>
      </x:c>
      <x:c r="Q594" s="21" t="str">
        <x:v>rule_generated_exception_review</x:v>
      </x:c>
      <x:c r="R594" s="20" t="str">
        <x:v>https://github.com/openscriptures/morphhb</x:v>
      </x:c>
    </x:row>
    <x:row r="595" ht="28" customHeight="1">
      <x:c r="A595" s="21" t="n">
        <x:v>591</x:v>
      </x:c>
      <x:c r="B595" s="21" t="n">
        <x:f>ROUNDUP(A595/20,0)</x:f>
        <x:v>30</x:v>
      </x:c>
      <x:c r="C595" s="21" t="n">
        <x:f>MOD(A595-1,20)+1</x:f>
        <x:v>11</x:v>
      </x:c>
      <x:c r="D595" s="18" t="str">
        <x:v>כְּמוֹ</x:v>
      </x:c>
      <x:c r="E595" s="19" t="str">
        <x:v>kəmô</x:v>
      </x:c>
      <x:c r="F595" s="16" t="str">
        <x:v>כמו</x:v>
      </x:c>
      <x:c r="G595" s="20" t="str">
        <x:v>a form of the prefix 'k-', but used separately  as, thus, so</x:v>
      </x:c>
      <x:c r="H595" s="20" t="str"/>
      <x:c r="I595" s="21" t="str">
        <x:v>自編延伸</x:v>
      </x:c>
      <x:c r="J595" s="21"/>
      <x:c r="K595" s="22" t="n">
        <x:v>142</x:v>
      </x:c>
      <x:c r="L595" s="21" t="str">
        <x:v>H3644</x:v>
      </x:c>
      <x:c r="M595" s="21" t="str">
        <x:v>preposition</x:v>
      </x:c>
      <x:c r="N595" s="21" t="str">
        <x:v>否</x:v>
      </x:c>
      <x:c r="O595" s="21" t="str"/>
      <x:c r="P595" s="21" t="str">
        <x:v>lemma_frequency_verified</x:v>
      </x:c>
      <x:c r="Q595" s="21" t="str">
        <x:v>rule_generated_exception_review</x:v>
      </x:c>
      <x:c r="R595" s="20" t="str">
        <x:v>https://github.com/openscriptures/morphhb</x:v>
      </x:c>
    </x:row>
    <x:row r="596" ht="28" customHeight="1">
      <x:c r="A596" s="21" t="n">
        <x:v>592</x:v>
      </x:c>
      <x:c r="B596" s="21" t="n">
        <x:f>ROUNDUP(A596/20,0)</x:f>
        <x:v>30</x:v>
      </x:c>
      <x:c r="C596" s="21" t="n">
        <x:f>MOD(A596-1,20)+1</x:f>
        <x:v>12</x:v>
      </x:c>
      <x:c r="D596" s="18" t="str">
        <x:v>שְׁמוּאֵל</x:v>
      </x:c>
      <x:c r="E596" s="19" t="str">
        <x:v>šəmûʾēl</x:v>
      </x:c>
      <x:c r="F596" s="16" t="str">
        <x:v>שמואל</x:v>
      </x:c>
      <x:c r="G596" s="20" t="str">
        <x:v>Shemuel, the name of three Israelites</x:v>
      </x:c>
      <x:c r="H596" s="20" t="str"/>
      <x:c r="I596" s="21" t="str">
        <x:v>自編延伸</x:v>
      </x:c>
      <x:c r="J596" s="21"/>
      <x:c r="K596" s="22" t="n">
        <x:v>140</x:v>
      </x:c>
      <x:c r="L596" s="21" t="str">
        <x:v>H8050</x:v>
      </x:c>
      <x:c r="M596" s="21" t="str">
        <x:v>proper_name</x:v>
      </x:c>
      <x:c r="N596" s="21" t="str">
        <x:v>是</x:v>
      </x:c>
      <x:c r="O596" s="21" t="str">
        <x:v>人名</x:v>
      </x:c>
      <x:c r="P596" s="21" t="str">
        <x:v>lemma_frequency_verified</x:v>
      </x:c>
      <x:c r="Q596" s="21" t="str">
        <x:v>rule_generated_exception_review</x:v>
      </x:c>
      <x:c r="R596" s="20" t="str">
        <x:v>https://github.com/openscriptures/morphhb</x:v>
      </x:c>
    </x:row>
    <x:row r="597" ht="28" customHeight="1">
      <x:c r="A597" s="21" t="n">
        <x:v>593</x:v>
      </x:c>
      <x:c r="B597" s="21" t="n">
        <x:f>ROUNDUP(A597/20,0)</x:f>
        <x:v>30</x:v>
      </x:c>
      <x:c r="C597" s="21" t="n">
        <x:f>MOD(A597-1,20)+1</x:f>
        <x:v>13</x:v>
      </x:c>
      <x:c r="D597" s="18" t="str">
        <x:v>אַרְבָּעִים</x:v>
      </x:c>
      <x:c r="E597" s="19" t="str">
        <x:v>ʾarbāʿîm</x:v>
      </x:c>
      <x:c r="F597" s="16" t="str">
        <x:v>ארבעים</x:v>
      </x:c>
      <x:c r="G597" s="20" t="str">
        <x:v>forty</x:v>
      </x:c>
      <x:c r="H597" s="20" t="str"/>
      <x:c r="I597" s="21" t="str">
        <x:v>自編延伸</x:v>
      </x:c>
      <x:c r="J597" s="21"/>
      <x:c r="K597" s="22" t="n">
        <x:v>135</x:v>
      </x:c>
      <x:c r="L597" s="21" t="str">
        <x:v>H705</x:v>
      </x:c>
      <x:c r="M597" s="21" t="str">
        <x:v>adjective</x:v>
      </x:c>
      <x:c r="N597" s="21" t="str">
        <x:v>否</x:v>
      </x:c>
      <x:c r="O597" s="21" t="str"/>
      <x:c r="P597" s="21" t="str">
        <x:v>lemma_frequency_verified</x:v>
      </x:c>
      <x:c r="Q597" s="21" t="str">
        <x:v>rule_generated_exception_review</x:v>
      </x:c>
      <x:c r="R597" s="20" t="str">
        <x:v>https://github.com/openscriptures/morphhb</x:v>
      </x:c>
    </x:row>
    <x:row r="598" ht="28" customHeight="1">
      <x:c r="A598" s="21" t="n">
        <x:v>594</x:v>
      </x:c>
      <x:c r="B598" s="21" t="n">
        <x:f>ROUNDUP(A598/20,0)</x:f>
        <x:v>30</x:v>
      </x:c>
      <x:c r="C598" s="21" t="n">
        <x:f>MOD(A598-1,20)+1</x:f>
        <x:v>14</x:v>
      </x:c>
      <x:c r="D598" s="18" t="str">
        <x:v>גִּלְעָד</x:v>
      </x:c>
      <x:c r="E598" s="19" t="str">
        <x:v>gilʿāḏ</x:v>
      </x:c>
      <x:c r="F598" s="16" t="str">
        <x:v>גלעד</x:v>
      </x:c>
      <x:c r="G598" s="20" t="str">
        <x:v>Gilad, a region East of the Jordan; also the name of three Israelites</x:v>
      </x:c>
      <x:c r="H598" s="20" t="str"/>
      <x:c r="I598" s="21" t="str">
        <x:v>自編延伸</x:v>
      </x:c>
      <x:c r="J598" s="21"/>
      <x:c r="K598" s="22" t="n">
        <x:v>134</x:v>
      </x:c>
      <x:c r="L598" s="21" t="str">
        <x:v>H1568</x:v>
      </x:c>
      <x:c r="M598" s="21" t="str">
        <x:v>proper_name</x:v>
      </x:c>
      <x:c r="N598" s="21" t="str">
        <x:v>是</x:v>
      </x:c>
      <x:c r="O598" s="21" t="str">
        <x:v>人名、地名</x:v>
      </x:c>
      <x:c r="P598" s="21" t="str">
        <x:v>lemma_frequency_verified</x:v>
      </x:c>
      <x:c r="Q598" s="21" t="str">
        <x:v>rule_generated_exception_review</x:v>
      </x:c>
      <x:c r="R598" s="20" t="str">
        <x:v>https://github.com/openscriptures/morphhb</x:v>
      </x:c>
    </x:row>
    <x:row r="599" ht="28" customHeight="1">
      <x:c r="A599" s="21" t="n">
        <x:v>595</x:v>
      </x:c>
      <x:c r="B599" s="21" t="n">
        <x:f>ROUNDUP(A599/20,0)</x:f>
        <x:v>30</x:v>
      </x:c>
      <x:c r="C599" s="21" t="n">
        <x:f>MOD(A599-1,20)+1</x:f>
        <x:v>15</x:v>
      </x:c>
      <x:c r="D599" s="18" t="str">
        <x:v>אֲרָם</x:v>
      </x:c>
      <x:c r="E599" s="19" t="str">
        <x:v>ʾărām</x:v>
      </x:c>
      <x:c r="F599" s="16" t="str">
        <x:v>ארם</x:v>
      </x:c>
      <x:c r="G599" s="20" t="str">
        <x:v>Aram or Syria, and its inhabitants; also the name of the son of Shem, a grandson of Nahor, and of an Israelite</x:v>
      </x:c>
      <x:c r="H599" s="20" t="str"/>
      <x:c r="I599" s="21" t="str">
        <x:v>自編延伸</x:v>
      </x:c>
      <x:c r="J599" s="21"/>
      <x:c r="K599" s="22" t="n">
        <x:v>133</x:v>
      </x:c>
      <x:c r="L599" s="21" t="str">
        <x:v>H758</x:v>
      </x:c>
      <x:c r="M599" s="21" t="str">
        <x:v>proper_name</x:v>
      </x:c>
      <x:c r="N599" s="21" t="str">
        <x:v>是</x:v>
      </x:c>
      <x:c r="O599" s="21" t="str">
        <x:v>人名、地名、民族／國族</x:v>
      </x:c>
      <x:c r="P599" s="21" t="str">
        <x:v>lemma_frequency_verified</x:v>
      </x:c>
      <x:c r="Q599" s="21" t="str">
        <x:v>rule_generated_exception_review</x:v>
      </x:c>
      <x:c r="R599" s="20" t="str">
        <x:v>https://github.com/openscriptures/morphhb</x:v>
      </x:c>
    </x:row>
    <x:row r="600" ht="28" customHeight="1">
      <x:c r="A600" s="21" t="n">
        <x:v>596</x:v>
      </x:c>
      <x:c r="B600" s="21" t="n">
        <x:f>ROUNDUP(A600/20,0)</x:f>
        <x:v>30</x:v>
      </x:c>
      <x:c r="C600" s="21" t="n">
        <x:f>MOD(A600-1,20)+1</x:f>
        <x:v>16</x:v>
      </x:c>
      <x:c r="D600" s="18" t="str">
        <x:v>חִזְקִיָּה</x:v>
      </x:c>
      <x:c r="E600" s="19" t="str">
        <x:v>ḥizqiyyâ</x:v>
      </x:c>
      <x:c r="F600" s="16" t="str">
        <x:v>חזקיה</x:v>
      </x:c>
      <x:c r="G600" s="20" t="str">
        <x:v>Chizkijah, a king of Judah, also the name of two other Israelites</x:v>
      </x:c>
      <x:c r="H600" s="20" t="str"/>
      <x:c r="I600" s="21" t="str">
        <x:v>自編延伸</x:v>
      </x:c>
      <x:c r="J600" s="21"/>
      <x:c r="K600" s="22" t="n">
        <x:v>130</x:v>
      </x:c>
      <x:c r="L600" s="21" t="str">
        <x:v>H2396</x:v>
      </x:c>
      <x:c r="M600" s="21" t="str">
        <x:v>proper_name</x:v>
      </x:c>
      <x:c r="N600" s="21" t="str">
        <x:v>是</x:v>
      </x:c>
      <x:c r="O600" s="21" t="str">
        <x:v>人名</x:v>
      </x:c>
      <x:c r="P600" s="21" t="str">
        <x:v>lemma_frequency_verified</x:v>
      </x:c>
      <x:c r="Q600" s="21" t="str">
        <x:v>rule_generated_exception_review</x:v>
      </x:c>
      <x:c r="R600" s="20" t="str">
        <x:v>https://github.com/openscriptures/morphhb</x:v>
      </x:c>
    </x:row>
    <x:row r="601" ht="28" customHeight="1">
      <x:c r="A601" s="21" t="n">
        <x:v>597</x:v>
      </x:c>
      <x:c r="B601" s="21" t="n">
        <x:f>ROUNDUP(A601/20,0)</x:f>
        <x:v>30</x:v>
      </x:c>
      <x:c r="C601" s="21" t="n">
        <x:f>MOD(A601-1,20)+1</x:f>
        <x:v>17</x:v>
      </x:c>
      <x:c r="D601" s="18" t="str">
        <x:v>אֲבִישָׁלוֹם</x:v>
      </x:c>
      <x:c r="E601" s="19" t="str">
        <x:v>ʾăḇîšālôm</x:v>
      </x:c>
      <x:c r="F601" s="16" t="str">
        <x:v>אבישלום</x:v>
      </x:c>
      <x:c r="G601" s="20" t="str">
        <x:v>Abshalom, a son of David; also (the fuller form) a later Israelite</x:v>
      </x:c>
      <x:c r="H601" s="20" t="str"/>
      <x:c r="I601" s="21" t="str">
        <x:v>自編延伸</x:v>
      </x:c>
      <x:c r="J601" s="21"/>
      <x:c r="K601" s="22" t="n">
        <x:v>111</x:v>
      </x:c>
      <x:c r="L601" s="21" t="str">
        <x:v>H53</x:v>
      </x:c>
      <x:c r="M601" s="21" t="str">
        <x:v>proper_name</x:v>
      </x:c>
      <x:c r="N601" s="21" t="str">
        <x:v>是</x:v>
      </x:c>
      <x:c r="O601" s="21" t="str">
        <x:v>人名</x:v>
      </x:c>
      <x:c r="P601" s="21" t="str">
        <x:v>lemma_frequency_verified</x:v>
      </x:c>
      <x:c r="Q601" s="21" t="str">
        <x:v>rule_generated_exception_review</x:v>
      </x:c>
      <x:c r="R601" s="20" t="str">
        <x:v>https://github.com/openscriptures/morphhb</x:v>
      </x:c>
    </x:row>
    <x:row r="602" ht="28" customHeight="1">
      <x:c r="A602" s="21" t="n">
        <x:v>598</x:v>
      </x:c>
      <x:c r="B602" s="21" t="n">
        <x:f>ROUNDUP(A602/20,0)</x:f>
        <x:v>30</x:v>
      </x:c>
      <x:c r="C602" s="21" t="n">
        <x:f>MOD(A602-1,20)+1</x:f>
        <x:v>18</x:v>
      </x:c>
      <x:c r="D602" s="18" t="str">
        <x:v>שְׁמֹנֶה</x:v>
      </x:c>
      <x:c r="E602" s="19" t="str">
        <x:v>šəmōnê</x:v>
      </x:c>
      <x:c r="F602" s="16" t="str">
        <x:v>שמנה</x:v>
      </x:c>
      <x:c r="G602" s="20" t="str">
        <x:v>a cardinal number, eight (as if a surplus above the 'perfect' seven); also (as ordinal) eighth</x:v>
      </x:c>
      <x:c r="H602" s="20" t="str"/>
      <x:c r="I602" s="21" t="str">
        <x:v>自編延伸</x:v>
      </x:c>
      <x:c r="J602" s="21"/>
      <x:c r="K602" s="22" t="n">
        <x:v>109</x:v>
      </x:c>
      <x:c r="L602" s="21" t="str">
        <x:v>H8083</x:v>
      </x:c>
      <x:c r="M602" s="21" t="str">
        <x:v>adjective</x:v>
      </x:c>
      <x:c r="N602" s="21" t="str">
        <x:v>否</x:v>
      </x:c>
      <x:c r="O602" s="21" t="str"/>
      <x:c r="P602" s="21" t="str">
        <x:v>lemma_frequency_verified</x:v>
      </x:c>
      <x:c r="Q602" s="21" t="str">
        <x:v>rule_generated_exception_review</x:v>
      </x:c>
      <x:c r="R602" s="20" t="str">
        <x:v>https://github.com/openscriptures/morphhb</x:v>
      </x:c>
    </x:row>
    <x:row r="603" ht="28" customHeight="1">
      <x:c r="A603" s="21" t="n">
        <x:v>599</x:v>
      </x:c>
      <x:c r="B603" s="21" t="n">
        <x:f>ROUNDUP(A603/20,0)</x:f>
        <x:v>30</x:v>
      </x:c>
      <x:c r="C603" s="21" t="n">
        <x:f>MOD(A603-1,20)+1</x:f>
        <x:v>19</x:v>
      </x:c>
      <x:c r="D603" s="18" t="str">
        <x:v>שֹׁמְרוֹן</x:v>
      </x:c>
      <x:c r="E603" s="19" t="str">
        <x:v>šōmərôn</x:v>
      </x:c>
      <x:c r="F603" s="16" t="str">
        <x:v>שמרון</x:v>
      </x:c>
      <x:c r="G603" s="20" t="str">
        <x:v>Shomeron, a place in Palestine</x:v>
      </x:c>
      <x:c r="H603" s="20" t="str"/>
      <x:c r="I603" s="21" t="str">
        <x:v>自編延伸</x:v>
      </x:c>
      <x:c r="J603" s="21"/>
      <x:c r="K603" s="22" t="n">
        <x:v>109</x:v>
      </x:c>
      <x:c r="L603" s="21" t="str">
        <x:v>H8111</x:v>
      </x:c>
      <x:c r="M603" s="21" t="str">
        <x:v>proper_name</x:v>
      </x:c>
      <x:c r="N603" s="21" t="str">
        <x:v>是</x:v>
      </x:c>
      <x:c r="O603" s="21" t="str">
        <x:v>地名</x:v>
      </x:c>
      <x:c r="P603" s="21" t="str">
        <x:v>lemma_frequency_verified</x:v>
      </x:c>
      <x:c r="Q603" s="21" t="str">
        <x:v>rule_generated_exception_review</x:v>
      </x:c>
      <x:c r="R603" s="20" t="str">
        <x:v>https://github.com/openscriptures/morphhb</x:v>
      </x:c>
    </x:row>
    <x:row r="604" ht="28" customHeight="1">
      <x:c r="A604" s="21" t="n">
        <x:v>600</x:v>
      </x:c>
      <x:c r="B604" s="21" t="n">
        <x:f>ROUNDUP(A604/20,0)</x:f>
        <x:v>30</x:v>
      </x:c>
      <x:c r="C604" s="21" t="n">
        <x:f>MOD(A604-1,20)+1</x:f>
        <x:v>20</x:v>
      </x:c>
      <x:c r="D604" s="18" t="str">
        <x:v>יִצְחָק</x:v>
      </x:c>
      <x:c r="E604" s="19" t="str">
        <x:v>yiṣḥāq</x:v>
      </x:c>
      <x:c r="F604" s="16" t="str">
        <x:v>יצחק</x:v>
      </x:c>
      <x:c r="G604" s="20" t="str">
        <x:v>Jitschak (or Isaac), son of Abraham</x:v>
      </x:c>
      <x:c r="H604" s="20" t="str"/>
      <x:c r="I604" s="21" t="str">
        <x:v>自編延伸</x:v>
      </x:c>
      <x:c r="J604" s="21"/>
      <x:c r="K604" s="22" t="n">
        <x:v>108</x:v>
      </x:c>
      <x:c r="L604" s="21" t="str">
        <x:v>H3327</x:v>
      </x:c>
      <x:c r="M604" s="21" t="str">
        <x:v>proper_name</x:v>
      </x:c>
      <x:c r="N604" s="21" t="str">
        <x:v>是</x:v>
      </x:c>
      <x:c r="O604" s="21" t="str">
        <x:v>人名</x:v>
      </x:c>
      <x:c r="P604" s="21" t="str">
        <x:v>lemma_frequency_verified</x:v>
      </x:c>
      <x:c r="Q604" s="21" t="str">
        <x:v>rule_generated_exception_review</x:v>
      </x:c>
      <x:c r="R604" s="20" t="str">
        <x:v>https://github.com/openscriptures/morphhb</x:v>
      </x:c>
    </x:row>
    <x:row r="605" ht="28" customHeight="1">
      <x:c r="A605" s="21" t="n">
        <x:v>601</x:v>
      </x:c>
      <x:c r="B605" s="21" t="n">
        <x:f>ROUNDUP(A605/20,0)</x:f>
        <x:v>31</x:v>
      </x:c>
      <x:c r="C605" s="21" t="n">
        <x:f>MOD(A605-1,20)+1</x:f>
        <x:v>1</x:v>
      </x:c>
      <x:c r="D605" s="18" t="str">
        <x:v>שְׁלִישִׁי</x:v>
      </x:c>
      <x:c r="E605" s="19" t="str">
        <x:v>šəlîšî</x:v>
      </x:c>
      <x:c r="F605" s="16" t="str">
        <x:v>שלישי</x:v>
      </x:c>
      <x:c r="G605" s="20" t="str">
        <x:v>third; feminine athird (part); by extension, a third (day, year or time); specifically, a third-story cell)</x:v>
      </x:c>
      <x:c r="H605" s="20" t="str"/>
      <x:c r="I605" s="21" t="str">
        <x:v>自編延伸</x:v>
      </x:c>
      <x:c r="J605" s="21"/>
      <x:c r="K605" s="22" t="n">
        <x:v>108</x:v>
      </x:c>
      <x:c r="L605" s="21" t="str">
        <x:v>H7992</x:v>
      </x:c>
      <x:c r="M605" s="21" t="str">
        <x:v>adjective</x:v>
      </x:c>
      <x:c r="N605" s="21" t="str">
        <x:v>否</x:v>
      </x:c>
      <x:c r="O605" s="21" t="str"/>
      <x:c r="P605" s="21" t="str">
        <x:v>lemma_frequency_verified</x:v>
      </x:c>
      <x:c r="Q605" s="21" t="str">
        <x:v>rule_generated_exception_review</x:v>
      </x:c>
      <x:c r="R605" s="20" t="str">
        <x:v>https://github.com/openscriptures/morphhb</x:v>
      </x:c>
    </x:row>
    <x:row r="606" ht="28" customHeight="1">
      <x:c r="A606" s="21" t="n">
        <x:v>602</x:v>
      </x:c>
      <x:c r="B606" s="21" t="n">
        <x:f>ROUNDUP(A606/20,0)</x:f>
        <x:v>31</x:v>
      </x:c>
      <x:c r="C606" s="21" t="n">
        <x:f>MOD(A606-1,20)+1</x:f>
        <x:v>2</x:v>
      </x:c>
      <x:c r="D606" s="18" t="str">
        <x:v>עַמּוֹן</x:v>
      </x:c>
      <x:c r="E606" s="19" t="str">
        <x:v>ʿammôn</x:v>
      </x:c>
      <x:c r="F606" s="16" t="str">
        <x:v>עמון</x:v>
      </x:c>
      <x:c r="G606" s="20" t="str">
        <x:v>Ammon, a son of Lot; also his posterity and their country</x:v>
      </x:c>
      <x:c r="H606" s="20" t="str"/>
      <x:c r="I606" s="21" t="str">
        <x:v>自編延伸</x:v>
      </x:c>
      <x:c r="J606" s="21"/>
      <x:c r="K606" s="22" t="n">
        <x:v>106</x:v>
      </x:c>
      <x:c r="L606" s="21" t="str">
        <x:v>H5983</x:v>
      </x:c>
      <x:c r="M606" s="21" t="str">
        <x:v>proper_name</x:v>
      </x:c>
      <x:c r="N606" s="21" t="str">
        <x:v>是</x:v>
      </x:c>
      <x:c r="O606" s="21" t="str">
        <x:v>人名、地名、民族／國族</x:v>
      </x:c>
      <x:c r="P606" s="21" t="str">
        <x:v>lemma_frequency_verified</x:v>
      </x:c>
      <x:c r="Q606" s="21" t="str">
        <x:v>rule_generated_exception_review</x:v>
      </x:c>
      <x:c r="R606" s="20" t="str">
        <x:v>https://github.com/openscriptures/morphhb</x:v>
      </x:c>
    </x:row>
    <x:row r="607" ht="28" customHeight="1">
      <x:c r="A607" s="21" t="n">
        <x:v>603</x:v>
      </x:c>
      <x:c r="B607" s="21" t="n">
        <x:f>ROUNDUP(A607/20,0)</x:f>
        <x:v>31</x:v>
      </x:c>
      <x:c r="C607" s="21" t="n">
        <x:f>MOD(A607-1,20)+1</x:f>
        <x:v>3</x:v>
      </x:c>
      <x:c r="D607" s="18" t="str">
        <x:v>יָרׇבְעָם</x:v>
      </x:c>
      <x:c r="E607" s="19" t="str">
        <x:v>yāroḇʿām</x:v>
      </x:c>
      <x:c r="F607" s="16" t="str">
        <x:v>ירבעם</x:v>
      </x:c>
      <x:c r="G607" s="20" t="str">
        <x:v>Jarobam, the name of two Israelite kings</x:v>
      </x:c>
      <x:c r="H607" s="20" t="str"/>
      <x:c r="I607" s="21" t="str">
        <x:v>自編延伸</x:v>
      </x:c>
      <x:c r="J607" s="21"/>
      <x:c r="K607" s="22" t="n">
        <x:v>104</x:v>
      </x:c>
      <x:c r="L607" s="21" t="str">
        <x:v>H3379</x:v>
      </x:c>
      <x:c r="M607" s="21" t="str">
        <x:v>proper_name</x:v>
      </x:c>
      <x:c r="N607" s="21" t="str">
        <x:v>是</x:v>
      </x:c>
      <x:c r="O607" s="21" t="str">
        <x:v>人名</x:v>
      </x:c>
      <x:c r="P607" s="21" t="str">
        <x:v>lemma_frequency_verified</x:v>
      </x:c>
      <x:c r="Q607" s="21" t="str">
        <x:v>rule_generated_exception_review</x:v>
      </x:c>
      <x:c r="R607" s="20" t="str">
        <x:v>https://github.com/openscriptures/morphhb</x:v>
      </x:c>
    </x:row>
    <x:row r="608" ht="28" customHeight="1">
      <x:c r="A608" s="21" t="n">
        <x:v>604</x:v>
      </x:c>
      <x:c r="B608" s="21" t="n">
        <x:f>ROUNDUP(A608/20,0)</x:f>
        <x:v>31</x:v>
      </x:c>
      <x:c r="C608" s="21" t="n">
        <x:f>MOD(A608-1,20)+1</x:f>
        <x:v>4</x:v>
      </x:c>
      <x:c r="D608" s="18" t="str">
        <x:v>רֹחַב</x:v>
      </x:c>
      <x:c r="E608" s="19" t="str">
        <x:v>rōḥaḇ</x:v>
      </x:c>
      <x:c r="F608" s="16" t="str">
        <x:v>רחב</x:v>
      </x:c>
      <x:c r="G608" s="20" t="str">
        <x:v>width (literally or figuratively)</x:v>
      </x:c>
      <x:c r="H608" s="20" t="str"/>
      <x:c r="I608" s="21" t="str">
        <x:v>自編延伸</x:v>
      </x:c>
      <x:c r="J608" s="21"/>
      <x:c r="K608" s="22" t="n">
        <x:v>101</x:v>
      </x:c>
      <x:c r="L608" s="21" t="str">
        <x:v>H7341</x:v>
      </x:c>
      <x:c r="M608" s="21" t="str">
        <x:v>noun</x:v>
      </x:c>
      <x:c r="N608" s="21" t="str">
        <x:v>否</x:v>
      </x:c>
      <x:c r="O608" s="21" t="str"/>
      <x:c r="P608" s="21" t="str">
        <x:v>lemma_frequency_verified</x:v>
      </x:c>
      <x:c r="Q608" s="21" t="str">
        <x:v>rule_generated_exception_review</x:v>
      </x:c>
      <x:c r="R608" s="20" t="str">
        <x:v>https://github.com/openscriptures/morphhb</x:v>
      </x:c>
    </x:row>
    <x:row r="609" ht="28" customHeight="1">
      <x:c r="A609" s="21" t="n">
        <x:v>605</x:v>
      </x:c>
      <x:c r="B609" s="21" t="n">
        <x:f>ROUNDUP(A609/20,0)</x:f>
        <x:v>31</x:v>
      </x:c>
      <x:c r="C609" s="21" t="n">
        <x:f>MOD(A609-1,20)+1</x:f>
        <x:v>5</x:v>
      </x:c>
      <x:c r="D609" s="18" t="str">
        <x:v>אֱדֹם</x:v>
      </x:c>
      <x:c r="E609" s="19" t="str">
        <x:v>ʾĕḏōm</x:v>
      </x:c>
      <x:c r="F609" s="16" t="str">
        <x:v>אדם</x:v>
      </x:c>
      <x:c r="G609" s="20" t="str">
        <x:v>Edom, the elder twin-brother of Jacob; hence the region (Idumaea) occupied by him</x:v>
      </x:c>
      <x:c r="H609" s="20" t="str"/>
      <x:c r="I609" s="21" t="str">
        <x:v>自編延伸</x:v>
      </x:c>
      <x:c r="J609" s="21"/>
      <x:c r="K609" s="22" t="n">
        <x:v>100</x:v>
      </x:c>
      <x:c r="L609" s="21" t="str">
        <x:v>H123</x:v>
      </x:c>
      <x:c r="M609" s="21" t="str">
        <x:v>proper_name</x:v>
      </x:c>
      <x:c r="N609" s="21" t="str">
        <x:v>是</x:v>
      </x:c>
      <x:c r="O609" s="21" t="str">
        <x:v>地名、人名</x:v>
      </x:c>
      <x:c r="P609" s="21" t="str">
        <x:v>lemma_frequency_verified</x:v>
      </x:c>
      <x:c r="Q609" s="21" t="str">
        <x:v>rule_generated_exception_review</x:v>
      </x:c>
      <x:c r="R609" s="20" t="str">
        <x:v>https://github.com/openscriptures/morphhb</x:v>
      </x:c>
    </x:row>
    <x:row r="610" ht="28" customHeight="1">
      <x:c r="A610" s="21" t="n">
        <x:v>606</x:v>
      </x:c>
      <x:c r="B610" s="21" t="n">
        <x:f>ROUNDUP(A610/20,0)</x:f>
        <x:v>31</x:v>
      </x:c>
      <x:c r="C610" s="21" t="n">
        <x:f>MOD(A610-1,20)+1</x:f>
        <x:v>6</x:v>
      </x:c>
      <x:c r="D610" s="18" t="str">
        <x:v>קִרְאָה</x:v>
      </x:c>
      <x:c r="E610" s="19" t="str">
        <x:v>qirʾâ</x:v>
      </x:c>
      <x:c r="F610" s="16" t="str">
        <x:v>קראה</x:v>
      </x:c>
      <x:c r="G610" s="20" t="str">
        <x:v>an encountering, accidental, friendly or hostile (also adverbially, opposite)</x:v>
      </x:c>
      <x:c r="H610" s="20" t="str"/>
      <x:c r="I610" s="21" t="str">
        <x:v>自編延伸</x:v>
      </x:c>
      <x:c r="J610" s="21"/>
      <x:c r="K610" s="22" t="n">
        <x:v>100</x:v>
      </x:c>
      <x:c r="L610" s="21" t="str">
        <x:v>H7125</x:v>
      </x:c>
      <x:c r="M610" s="21" t="str">
        <x:v>verb</x:v>
      </x:c>
      <x:c r="N610" s="21" t="str">
        <x:v>否</x:v>
      </x:c>
      <x:c r="O610" s="21" t="str"/>
      <x:c r="P610" s="21" t="str">
        <x:v>lemma_frequency_verified</x:v>
      </x:c>
      <x:c r="Q610" s="21" t="str">
        <x:v>rule_generated_exception_review</x:v>
      </x:c>
      <x:c r="R610" s="20" t="str">
        <x:v>https://github.com/openscriptures/morphhb</x:v>
      </x:c>
    </x:row>
    <x:row r="611" ht="28" customHeight="1">
      <x:c r="A611" s="21" t="n">
        <x:v>607</x:v>
      </x:c>
      <x:c r="B611" s="21" t="n">
        <x:f>ROUNDUP(A611/20,0)</x:f>
        <x:v>31</x:v>
      </x:c>
      <x:c r="C611" s="21" t="n">
        <x:f>MOD(A611-1,20)+1</x:f>
        <x:v>7</x:v>
      </x:c>
      <x:c r="D611" s="18" t="str">
        <x:v>שְׁבִיעִי</x:v>
      </x:c>
      <x:c r="E611" s="19" t="str">
        <x:v>šəḇîʿî</x:v>
      </x:c>
      <x:c r="F611" s="16" t="str">
        <x:v>שביעי</x:v>
      </x:c>
      <x:c r="G611" s="20" t="str">
        <x:v>seventh</x:v>
      </x:c>
      <x:c r="H611" s="20" t="str"/>
      <x:c r="I611" s="21" t="str">
        <x:v>自編延伸</x:v>
      </x:c>
      <x:c r="J611" s="21"/>
      <x:c r="K611" s="22" t="n">
        <x:v>98</x:v>
      </x:c>
      <x:c r="L611" s="21" t="str">
        <x:v>H7637</x:v>
      </x:c>
      <x:c r="M611" s="21" t="str">
        <x:v>adjective</x:v>
      </x:c>
      <x:c r="N611" s="21" t="str">
        <x:v>否</x:v>
      </x:c>
      <x:c r="O611" s="21" t="str"/>
      <x:c r="P611" s="21" t="str">
        <x:v>lemma_frequency_verified</x:v>
      </x:c>
      <x:c r="Q611" s="21" t="str">
        <x:v>rule_generated_exception_review</x:v>
      </x:c>
      <x:c r="R611" s="20" t="str">
        <x:v>https://github.com/openscriptures/morphhb</x:v>
      </x:c>
    </x:row>
    <x:row r="612" ht="28" customHeight="1">
      <x:c r="A612" s="21" t="n">
        <x:v>608</x:v>
      </x:c>
      <x:c r="B612" s="21" t="n">
        <x:f>ROUNDUP(A612/20,0)</x:f>
        <x:v>31</x:v>
      </x:c>
      <x:c r="C612" s="21" t="n">
        <x:f>MOD(A612-1,20)+1</x:f>
        <x:v>8</x:v>
      </x:c>
      <x:c r="D612" s="18" t="str">
        <x:v>עֵשָׂו</x:v>
      </x:c>
      <x:c r="E612" s="19" t="str">
        <x:v>ʿēśāw</x:v>
      </x:c>
      <x:c r="F612" s="16" t="str">
        <x:v>עשו</x:v>
      </x:c>
      <x:c r="G612" s="20" t="str">
        <x:v>Esav, a son of Isaac, including his posterity</x:v>
      </x:c>
      <x:c r="H612" s="20" t="str"/>
      <x:c r="I612" s="21" t="str">
        <x:v>自編延伸</x:v>
      </x:c>
      <x:c r="J612" s="21"/>
      <x:c r="K612" s="22" t="n">
        <x:v>97</x:v>
      </x:c>
      <x:c r="L612" s="21" t="str">
        <x:v>H6215</x:v>
      </x:c>
      <x:c r="M612" s="21" t="str">
        <x:v>proper_name</x:v>
      </x:c>
      <x:c r="N612" s="21" t="str">
        <x:v>是</x:v>
      </x:c>
      <x:c r="O612" s="21" t="str">
        <x:v>人名、民族／國族</x:v>
      </x:c>
      <x:c r="P612" s="21" t="str">
        <x:v>lemma_frequency_verified</x:v>
      </x:c>
      <x:c r="Q612" s="21" t="str">
        <x:v>rule_generated_exception_review</x:v>
      </x:c>
      <x:c r="R612" s="20" t="str">
        <x:v>https://github.com/openscriptures/morphhb</x:v>
      </x:c>
    </x:row>
    <x:row r="613" ht="28" customHeight="1">
      <x:c r="A613" s="21" t="n">
        <x:v>609</x:v>
      </x:c>
      <x:c r="B613" s="21" t="n">
        <x:f>ROUNDUP(A613/20,0)</x:f>
        <x:v>31</x:v>
      </x:c>
      <x:c r="C613" s="21" t="n">
        <x:f>MOD(A613-1,20)+1</x:f>
        <x:v>9</x:v>
      </x:c>
      <x:c r="D613" s="18" t="str">
        <x:v>אֹרֶךְ</x:v>
      </x:c>
      <x:c r="E613" s="19" t="str">
        <x:v>ʾōreḵ</x:v>
      </x:c>
      <x:c r="F613" s="16" t="str">
        <x:v>ארך</x:v>
      </x:c>
      <x:c r="G613" s="20" t="str">
        <x:v>length</x:v>
      </x:c>
      <x:c r="H613" s="20" t="str"/>
      <x:c r="I613" s="21" t="str">
        <x:v>自編延伸</x:v>
      </x:c>
      <x:c r="J613" s="21"/>
      <x:c r="K613" s="22" t="n">
        <x:v>95</x:v>
      </x:c>
      <x:c r="L613" s="21" t="str">
        <x:v>H753</x:v>
      </x:c>
      <x:c r="M613" s="21" t="str">
        <x:v>noun</x:v>
      </x:c>
      <x:c r="N613" s="21" t="str">
        <x:v>否</x:v>
      </x:c>
      <x:c r="O613" s="21" t="str"/>
      <x:c r="P613" s="21" t="str">
        <x:v>lemma_frequency_verified</x:v>
      </x:c>
      <x:c r="Q613" s="21" t="str">
        <x:v>rule_generated_exception_review</x:v>
      </x:c>
      <x:c r="R613" s="20" t="str">
        <x:v>https://github.com/openscriptures/morphhb</x:v>
      </x:c>
    </x:row>
    <x:row r="614" ht="28" customHeight="1">
      <x:c r="A614" s="21" t="n">
        <x:v>610</x:v>
      </x:c>
      <x:c r="B614" s="21" t="n">
        <x:f>ROUNDUP(A614/20,0)</x:f>
        <x:v>31</x:v>
      </x:c>
      <x:c r="C614" s="21" t="n">
        <x:f>MOD(A614-1,20)+1</x:f>
        <x:v>10</x:v>
      </x:c>
      <x:c r="D614" s="18" t="str">
        <x:v>כְּנַעַן</x:v>
      </x:c>
      <x:c r="E614" s="19" t="str">
        <x:v>kənaʿan</x:v>
      </x:c>
      <x:c r="F614" s="16" t="str">
        <x:v>כנען</x:v>
      </x:c>
      <x:c r="G614" s="20" t="str">
        <x:v>Kenaan, a son a Ham; also the country inhabited by him</x:v>
      </x:c>
      <x:c r="H614" s="20" t="str"/>
      <x:c r="I614" s="21" t="str">
        <x:v>自編延伸</x:v>
      </x:c>
      <x:c r="J614" s="21"/>
      <x:c r="K614" s="22" t="n">
        <x:v>94</x:v>
      </x:c>
      <x:c r="L614" s="21" t="str">
        <x:v>H3667</x:v>
      </x:c>
      <x:c r="M614" s="21" t="str">
        <x:v>proper_name</x:v>
      </x:c>
      <x:c r="N614" s="21" t="str">
        <x:v>是</x:v>
      </x:c>
      <x:c r="O614" s="21" t="str">
        <x:v>地名、人名</x:v>
      </x:c>
      <x:c r="P614" s="21" t="str">
        <x:v>lemma_frequency_verified</x:v>
      </x:c>
      <x:c r="Q614" s="21" t="str">
        <x:v>rule_generated_exception_review</x:v>
      </x:c>
      <x:c r="R614" s="20" t="str">
        <x:v>https://github.com/openscriptures/morphhb</x:v>
      </x:c>
    </x:row>
    <x:row r="615" ht="28" customHeight="1">
      <x:c r="A615" s="21" t="n">
        <x:v>611</x:v>
      </x:c>
      <x:c r="B615" s="21" t="n">
        <x:f>ROUNDUP(A615/20,0)</x:f>
        <x:v>31</x:v>
      </x:c>
      <x:c r="C615" s="21" t="n">
        <x:f>MOD(A615-1,20)+1</x:f>
        <x:v>11</x:v>
      </x:c>
      <x:c r="D615" s="18" t="str">
        <x:v>אַחְאָב</x:v>
      </x:c>
      <x:c r="E615" s="19" t="str">
        <x:v>ʾaḥʾāḇ</x:v>
      </x:c>
      <x:c r="F615" s="16" t="str">
        <x:v>אחאב</x:v>
      </x:c>
      <x:c r="G615" s="20" t="str">
        <x:v>Achab, the name of a king of Israel and of a prophet at Babylon</x:v>
      </x:c>
      <x:c r="H615" s="20" t="str"/>
      <x:c r="I615" s="21" t="str">
        <x:v>自編延伸</x:v>
      </x:c>
      <x:c r="J615" s="21"/>
      <x:c r="K615" s="22" t="n">
        <x:v>93</x:v>
      </x:c>
      <x:c r="L615" s="21" t="str">
        <x:v>H256</x:v>
      </x:c>
      <x:c r="M615" s="21" t="str">
        <x:v>proper_name</x:v>
      </x:c>
      <x:c r="N615" s="21" t="str">
        <x:v>是</x:v>
      </x:c>
      <x:c r="O615" s="21" t="str">
        <x:v>人名</x:v>
      </x:c>
      <x:c r="P615" s="21" t="str">
        <x:v>lemma_frequency_verified</x:v>
      </x:c>
      <x:c r="Q615" s="21" t="str">
        <x:v>rule_generated_exception_review</x:v>
      </x:c>
      <x:c r="R615" s="20" t="str">
        <x:v>https://github.com/openscriptures/morphhb</x:v>
      </x:c>
    </x:row>
    <x:row r="616" ht="28" customHeight="1">
      <x:c r="A616" s="21" t="n">
        <x:v>612</x:v>
      </x:c>
      <x:c r="B616" s="21" t="n">
        <x:f>ROUNDUP(A616/20,0)</x:f>
        <x:v>31</x:v>
      </x:c>
      <x:c r="C616" s="21" t="n">
        <x:f>MOD(A616-1,20)+1</x:f>
        <x:v>12</x:v>
      </x:c>
      <x:c r="D616" s="18" t="str">
        <x:v>עֵבֶר</x:v>
      </x:c>
      <x:c r="E616" s="19" t="str">
        <x:v>ʿēḇer</x:v>
      </x:c>
      <x:c r="F616" s="16" t="str">
        <x:v>עבר</x:v>
      </x:c>
      <x:c r="G616" s="20" t="str">
        <x:v>properly, a region across; but used only adverbially (with or without a preposition) on the opposite side (especially of the Jordan; ususally meaning the east)</x:v>
      </x:c>
      <x:c r="H616" s="20" t="str"/>
      <x:c r="I616" s="21" t="str">
        <x:v>自編延伸</x:v>
      </x:c>
      <x:c r="J616" s="21"/>
      <x:c r="K616" s="22" t="n">
        <x:v>92</x:v>
      </x:c>
      <x:c r="L616" s="21" t="str">
        <x:v>H5676</x:v>
      </x:c>
      <x:c r="M616" s="21" t="str">
        <x:v>noun</x:v>
      </x:c>
      <x:c r="N616" s="21" t="str">
        <x:v>否</x:v>
      </x:c>
      <x:c r="O616" s="21" t="str"/>
      <x:c r="P616" s="21" t="str">
        <x:v>lemma_frequency_verified</x:v>
      </x:c>
      <x:c r="Q616" s="21" t="str">
        <x:v>rule_generated_exception_review</x:v>
      </x:c>
      <x:c r="R616" s="20" t="str">
        <x:v>https://github.com/openscriptures/morphhb</x:v>
      </x:c>
    </x:row>
    <x:row r="617" ht="28" customHeight="1">
      <x:c r="A617" s="21" t="n">
        <x:v>613</x:v>
      </x:c>
      <x:c r="B617" s="21" t="n">
        <x:f>ROUNDUP(A617/20,0)</x:f>
        <x:v>31</x:v>
      </x:c>
      <x:c r="C617" s="21" t="n">
        <x:f>MOD(A617-1,20)+1</x:f>
        <x:v>13</x:v>
      </x:c>
      <x:c r="D617" s="18" t="str">
        <x:v>שִׁבְעִים</x:v>
      </x:c>
      <x:c r="E617" s="19" t="str">
        <x:v>šiḇʿîm</x:v>
      </x:c>
      <x:c r="F617" s="16" t="str">
        <x:v>שבעים</x:v>
      </x:c>
      <x:c r="G617" s="20" t="str">
        <x:v>seventy</x:v>
      </x:c>
      <x:c r="H617" s="20" t="str"/>
      <x:c r="I617" s="21" t="str">
        <x:v>自編延伸</x:v>
      </x:c>
      <x:c r="J617" s="21"/>
      <x:c r="K617" s="22" t="n">
        <x:v>91</x:v>
      </x:c>
      <x:c r="L617" s="21" t="str">
        <x:v>H7657</x:v>
      </x:c>
      <x:c r="M617" s="21" t="str">
        <x:v>adjective</x:v>
      </x:c>
      <x:c r="N617" s="21" t="str">
        <x:v>否</x:v>
      </x:c>
      <x:c r="O617" s="21" t="str"/>
      <x:c r="P617" s="21" t="str">
        <x:v>lemma_frequency_verified</x:v>
      </x:c>
      <x:c r="Q617" s="21" t="str">
        <x:v>rule_generated_exception_review</x:v>
      </x:c>
      <x:c r="R617" s="20" t="str">
        <x:v>https://github.com/openscriptures/morphhb</x:v>
      </x:c>
    </x:row>
    <x:row r="618" ht="28" customHeight="1">
      <x:c r="A618" s="21" t="n">
        <x:v>614</x:v>
      </x:c>
      <x:c r="B618" s="21" t="n">
        <x:f>ROUNDUP(A618/20,0)</x:f>
        <x:v>31</x:v>
      </x:c>
      <x:c r="C618" s="21" t="n">
        <x:f>MOD(A618-1,20)+1</x:f>
        <x:v>14</x:v>
      </x:c>
      <x:c r="D618" s="18" t="str">
        <x:v>שֶׁקֶל</x:v>
      </x:c>
      <x:c r="E618" s="19" t="str">
        <x:v>šeqel</x:v>
      </x:c>
      <x:c r="F618" s="16" t="str">
        <x:v>שקל</x:v>
      </x:c>
      <x:c r="G618" s="20" t="str">
        <x:v>probably a weight; used as a commercial standard</x:v>
      </x:c>
      <x:c r="H618" s="20" t="str"/>
      <x:c r="I618" s="21" t="str">
        <x:v>自編延伸</x:v>
      </x:c>
      <x:c r="J618" s="21"/>
      <x:c r="K618" s="22" t="n">
        <x:v>88</x:v>
      </x:c>
      <x:c r="L618" s="21" t="str">
        <x:v>H8255</x:v>
      </x:c>
      <x:c r="M618" s="21" t="str">
        <x:v>noun</x:v>
      </x:c>
      <x:c r="N618" s="21" t="str">
        <x:v>否</x:v>
      </x:c>
      <x:c r="O618" s="21" t="str"/>
      <x:c r="P618" s="21" t="str">
        <x:v>lemma_frequency_verified</x:v>
      </x:c>
      <x:c r="Q618" s="21" t="str">
        <x:v>rule_generated_exception_review</x:v>
      </x:c>
      <x:c r="R618" s="20" t="str">
        <x:v>https://github.com/openscriptures/morphhb</x:v>
      </x:c>
    </x:row>
    <x:row r="619" ht="28" customHeight="1">
      <x:c r="A619" s="21" t="n">
        <x:v>615</x:v>
      </x:c>
      <x:c r="B619" s="21" t="n">
        <x:f>ROUNDUP(A619/20,0)</x:f>
        <x:v>31</x:v>
      </x:c>
      <x:c r="C619" s="21" t="n">
        <x:f>MOD(A619-1,20)+1</x:f>
        <x:v>15</x:v>
      </x:c>
      <x:c r="D619" s="18" t="str">
        <x:v>אֱמֹרִי</x:v>
      </x:c>
      <x:c r="E619" s="19" t="str">
        <x:v>ʾĕmōrî</x:v>
      </x:c>
      <x:c r="F619" s="16" t="str">
        <x:v>אמרי</x:v>
      </x:c>
      <x:c r="G619" s="20" t="str">
        <x:v>an Emorite, one of the Canaanitish tribes</x:v>
      </x:c>
      <x:c r="H619" s="20" t="str"/>
      <x:c r="I619" s="21" t="str">
        <x:v>自編延伸</x:v>
      </x:c>
      <x:c r="J619" s="21"/>
      <x:c r="K619" s="22" t="n">
        <x:v>87</x:v>
      </x:c>
      <x:c r="L619" s="21" t="str">
        <x:v>H567</x:v>
      </x:c>
      <x:c r="M619" s="21" t="str">
        <x:v>noun</x:v>
      </x:c>
      <x:c r="N619" s="21" t="str">
        <x:v>是</x:v>
      </x:c>
      <x:c r="O619" s="21" t="str">
        <x:v>民族／國族</x:v>
      </x:c>
      <x:c r="P619" s="21" t="str">
        <x:v>lemma_frequency_verified</x:v>
      </x:c>
      <x:c r="Q619" s="21" t="str">
        <x:v>rule_generated_exception_review</x:v>
      </x:c>
      <x:c r="R619" s="20" t="str">
        <x:v>https://github.com/openscriptures/morphhb</x:v>
      </x:c>
    </x:row>
    <x:row r="620" ht="28" customHeight="1">
      <x:c r="A620" s="21" t="n">
        <x:v>616</x:v>
      </x:c>
      <x:c r="B620" s="21" t="n">
        <x:f>ROUNDUP(A620/20,0)</x:f>
        <x:v>31</x:v>
      </x:c>
      <x:c r="C620" s="21" t="n">
        <x:f>MOD(A620-1,20)+1</x:f>
        <x:v>16</x:v>
      </x:c>
      <x:c r="D620" s="18" t="str">
        <x:v>שֶׁלֶם</x:v>
      </x:c>
      <x:c r="E620" s="19" t="str">
        <x:v>šelem</x:v>
      </x:c>
      <x:c r="F620" s="16" t="str">
        <x:v>שלם</x:v>
      </x:c>
      <x:c r="G620" s="20" t="str">
        <x:v>properly, requital, i.e. a (voluntary) sacrifice in thanks</x:v>
      </x:c>
      <x:c r="H620" s="20" t="str"/>
      <x:c r="I620" s="21" t="str">
        <x:v>自編延伸</x:v>
      </x:c>
      <x:c r="J620" s="21"/>
      <x:c r="K620" s="22" t="n">
        <x:v>87</x:v>
      </x:c>
      <x:c r="L620" s="21" t="str">
        <x:v>H8002</x:v>
      </x:c>
      <x:c r="M620" s="21" t="str">
        <x:v>noun</x:v>
      </x:c>
      <x:c r="N620" s="21" t="str">
        <x:v>否</x:v>
      </x:c>
      <x:c r="O620" s="21" t="str"/>
      <x:c r="P620" s="21" t="str">
        <x:v>lemma_frequency_verified</x:v>
      </x:c>
      <x:c r="Q620" s="21" t="str">
        <x:v>rule_generated_exception_review</x:v>
      </x:c>
      <x:c r="R620" s="20" t="str">
        <x:v>https://github.com/openscriptures/morphhb</x:v>
      </x:c>
    </x:row>
    <x:row r="621" ht="28" customHeight="1">
      <x:c r="A621" s="21" t="n">
        <x:v>617</x:v>
      </x:c>
      <x:c r="B621" s="21" t="n">
        <x:f>ROUNDUP(A621/20,0)</x:f>
        <x:v>31</x:v>
      </x:c>
      <x:c r="C621" s="21" t="n">
        <x:f>MOD(A621-1,20)+1</x:f>
        <x:v>17</x:v>
      </x:c>
      <x:c r="D621" s="18" t="str">
        <x:v>יָרָה</x:v>
      </x:c>
      <x:c r="E621" s="19" t="str">
        <x:v>yārâ</x:v>
      </x:c>
      <x:c r="F621" s="16" t="str">
        <x:v>ירה</x:v>
      </x:c>
      <x:c r="G621" s="20" t="str">
        <x:v>properly, to flow as water (i.e. to rain); transitively, to lay or throw (especially an arrow, i.e. to shoot); figuratively, to point out (as if by aiming the finger), to teach</x:v>
      </x:c>
      <x:c r="H621" s="20" t="str"/>
      <x:c r="I621" s="21" t="str">
        <x:v>自編延伸</x:v>
      </x:c>
      <x:c r="J621" s="21"/>
      <x:c r="K621" s="22" t="n">
        <x:v>86</x:v>
      </x:c>
      <x:c r="L621" s="21" t="str">
        <x:v>H3384</x:v>
      </x:c>
      <x:c r="M621" s="21" t="str">
        <x:v>verb</x:v>
      </x:c>
      <x:c r="N621" s="21" t="str">
        <x:v>否</x:v>
      </x:c>
      <x:c r="O621" s="21" t="str"/>
      <x:c r="P621" s="21" t="str">
        <x:v>lemma_frequency_verified</x:v>
      </x:c>
      <x:c r="Q621" s="21" t="str">
        <x:v>rule_generated_exception_review</x:v>
      </x:c>
      <x:c r="R621" s="20" t="str">
        <x:v>https://github.com/openscriptures/morphhb</x:v>
      </x:c>
    </x:row>
    <x:row r="622" ht="28" customHeight="1">
      <x:c r="A622" s="21" t="n">
        <x:v>618</x:v>
      </x:c>
      <x:c r="B622" s="21" t="n">
        <x:f>ROUNDUP(A622/20,0)</x:f>
        <x:v>31</x:v>
      </x:c>
      <x:c r="C622" s="21" t="n">
        <x:f>MOD(A622-1,20)+1</x:f>
        <x:v>18</x:v>
      </x:c>
      <x:c r="D622" s="18" t="str">
        <x:v>פֵּאָה</x:v>
      </x:c>
      <x:c r="E622" s="19" t="str">
        <x:v>pēʾâ</x:v>
      </x:c>
      <x:c r="F622" s="16" t="str">
        <x:v>פאה</x:v>
      </x:c>
      <x:c r="G622" s="20" t="str">
        <x:v>properly, mouth in a figurative sense, i.e. direction, region, extremity</x:v>
      </x:c>
      <x:c r="H622" s="20" t="str"/>
      <x:c r="I622" s="21" t="str">
        <x:v>自編延伸</x:v>
      </x:c>
      <x:c r="J622" s="21"/>
      <x:c r="K622" s="22" t="n">
        <x:v>86</x:v>
      </x:c>
      <x:c r="L622" s="21" t="str">
        <x:v>H6285</x:v>
      </x:c>
      <x:c r="M622" s="21" t="str">
        <x:v>noun</x:v>
      </x:c>
      <x:c r="N622" s="21" t="str">
        <x:v>否</x:v>
      </x:c>
      <x:c r="O622" s="21" t="str"/>
      <x:c r="P622" s="21" t="str">
        <x:v>lemma_frequency_verified</x:v>
      </x:c>
      <x:c r="Q622" s="21" t="str">
        <x:v>rule_generated_exception_review</x:v>
      </x:c>
      <x:c r="R622" s="20" t="str">
        <x:v>https://github.com/openscriptures/morphhb</x:v>
      </x:c>
    </x:row>
    <x:row r="623" ht="28" customHeight="1">
      <x:c r="A623" s="21" t="n">
        <x:v>619</x:v>
      </x:c>
      <x:c r="B623" s="21" t="n">
        <x:f>ROUNDUP(A623/20,0)</x:f>
        <x:v>31</x:v>
      </x:c>
      <x:c r="C623" s="21" t="n">
        <x:f>MOD(A623-1,20)+1</x:f>
        <x:v>19</x:v>
      </x:c>
      <x:c r="D623" s="18" t="str">
        <x:v>יְהוֹשָׁפָט</x:v>
      </x:c>
      <x:c r="E623" s="19" t="str">
        <x:v>yəhôšāp̄āṭ</x:v>
      </x:c>
      <x:c r="F623" s="16" t="str">
        <x:v>יהושפט</x:v>
      </x:c>
      <x:c r="G623" s="20" t="str">
        <x:v>Jehoshaphat, the name of six Israelites; also of a valley near Jerusalem</x:v>
      </x:c>
      <x:c r="H623" s="20" t="str"/>
      <x:c r="I623" s="21" t="str">
        <x:v>自編延伸</x:v>
      </x:c>
      <x:c r="J623" s="21"/>
      <x:c r="K623" s="22" t="n">
        <x:v>84</x:v>
      </x:c>
      <x:c r="L623" s="21" t="str">
        <x:v>H3092</x:v>
      </x:c>
      <x:c r="M623" s="21" t="str">
        <x:v>proper_name</x:v>
      </x:c>
      <x:c r="N623" s="21" t="str">
        <x:v>是</x:v>
      </x:c>
      <x:c r="O623" s="21" t="str">
        <x:v>人名、地名</x:v>
      </x:c>
      <x:c r="P623" s="21" t="str">
        <x:v>lemma_frequency_verified</x:v>
      </x:c>
      <x:c r="Q623" s="21" t="str">
        <x:v>rule_generated_exception_review</x:v>
      </x:c>
      <x:c r="R623" s="20" t="str">
        <x:v>https://github.com/openscriptures/morphhb</x:v>
      </x:c>
    </x:row>
    <x:row r="624" ht="28" customHeight="1">
      <x:c r="A624" s="21" t="n">
        <x:v>620</x:v>
      </x:c>
      <x:c r="B624" s="21" t="n">
        <x:f>ROUNDUP(A624/20,0)</x:f>
        <x:v>31</x:v>
      </x:c>
      <x:c r="C624" s="21" t="n">
        <x:f>MOD(A624-1,20)+1</x:f>
        <x:v>20</x:v>
      </x:c>
      <x:c r="D624" s="18" t="str">
        <x:v>בֵּית לֶחֶם</x:v>
      </x:c>
      <x:c r="E624" s="19" t="str">
        <x:v>bêṯ leḥem</x:v>
      </x:c>
      <x:c r="F624" s="16" t="str">
        <x:v>ביתלחם</x:v>
      </x:c>
      <x:c r="G624" s="20" t="str">
        <x:v>Beth-Lechem, a place in Palestine</x:v>
      </x:c>
      <x:c r="H624" s="20" t="str"/>
      <x:c r="I624" s="21" t="str">
        <x:v>自編延伸</x:v>
      </x:c>
      <x:c r="J624" s="21"/>
      <x:c r="K624" s="22" t="n">
        <x:v>82</x:v>
      </x:c>
      <x:c r="L624" s="21" t="str">
        <x:v>H1035</x:v>
      </x:c>
      <x:c r="M624" s="21" t="str">
        <x:v>proper_name</x:v>
      </x:c>
      <x:c r="N624" s="21" t="str">
        <x:v>是</x:v>
      </x:c>
      <x:c r="O624" s="21" t="str">
        <x:v>地名</x:v>
      </x:c>
      <x:c r="P624" s="21" t="str">
        <x:v>lemma_frequency_verified</x:v>
      </x:c>
      <x:c r="Q624" s="21" t="str">
        <x:v>rule_generated_exception_review</x:v>
      </x:c>
      <x:c r="R624" s="20" t="str">
        <x:v>https://github.com/openscriptures/morphhb</x:v>
      </x:c>
    </x:row>
    <x:row r="625" ht="28" customHeight="1">
      <x:c r="A625" s="21" t="n">
        <x:v>621</x:v>
      </x:c>
      <x:c r="B625" s="21" t="n">
        <x:f>ROUNDUP(A625/20,0)</x:f>
        <x:v>32</x:v>
      </x:c>
      <x:c r="C625" s="21" t="n">
        <x:f>MOD(A625-1,20)+1</x:f>
        <x:v>1</x:v>
      </x:c>
      <x:c r="D625" s="18" t="str">
        <x:v>כַּשְׂדִּי</x:v>
      </x:c>
      <x:c r="E625" s="19" t="str">
        <x:v>kaśdî</x:v>
      </x:c>
      <x:c r="F625" s="16" t="str">
        <x:v>כשדי</x:v>
      </x:c>
      <x:c r="G625" s="20" t="str">
        <x:v>a Kasdite, or descendant of Kesed; by implication, a Chaldaean (as if so descended); also an astrologer (as if proverbial of that people</x:v>
      </x:c>
      <x:c r="H625" s="20" t="str"/>
      <x:c r="I625" s="21" t="str">
        <x:v>自編延伸</x:v>
      </x:c>
      <x:c r="J625" s="21"/>
      <x:c r="K625" s="22" t="n">
        <x:v>82</x:v>
      </x:c>
      <x:c r="L625" s="21" t="str">
        <x:v>H3778</x:v>
      </x:c>
      <x:c r="M625" s="21" t="str">
        <x:v>proper_name</x:v>
      </x:c>
      <x:c r="N625" s="21" t="str">
        <x:v>是</x:v>
      </x:c>
      <x:c r="O625" s="21" t="str">
        <x:v>民族／國族</x:v>
      </x:c>
      <x:c r="P625" s="21" t="str">
        <x:v>lemma_frequency_verified</x:v>
      </x:c>
      <x:c r="Q625" s="21" t="str">
        <x:v>rule_generated_exception_review</x:v>
      </x:c>
      <x:c r="R625" s="20" t="str">
        <x:v>https://github.com/openscriptures/morphhb</x:v>
      </x:c>
    </x:row>
    <x:row r="626" ht="28" customHeight="1">
      <x:c r="A626" s="21" t="n">
        <x:v>622</x:v>
      </x:c>
      <x:c r="B626" s="21" t="n">
        <x:f>ROUNDUP(A626/20,0)</x:f>
        <x:v>32</x:v>
      </x:c>
      <x:c r="C626" s="21" t="n">
        <x:f>MOD(A626-1,20)+1</x:f>
        <x:v>2</x:v>
      </x:c>
      <x:c r="D626" s="18" t="str">
        <x:v>אֲרִי</x:v>
      </x:c>
      <x:c r="E626" s="19" t="str">
        <x:v>ʾărî</x:v>
      </x:c>
      <x:c r="F626" s="16" t="str">
        <x:v>ארי</x:v>
      </x:c>
      <x:c r="G626" s="20" t="str">
        <x:v>a lion</x:v>
      </x:c>
      <x:c r="H626" s="20" t="str"/>
      <x:c r="I626" s="21" t="str">
        <x:v>自編延伸</x:v>
      </x:c>
      <x:c r="J626" s="21"/>
      <x:c r="K626" s="22" t="n">
        <x:v>81</x:v>
      </x:c>
      <x:c r="L626" s="21" t="str">
        <x:v>H738</x:v>
      </x:c>
      <x:c r="M626" s="21" t="str">
        <x:v>noun</x:v>
      </x:c>
      <x:c r="N626" s="21" t="str">
        <x:v>否</x:v>
      </x:c>
      <x:c r="O626" s="21" t="str"/>
      <x:c r="P626" s="21" t="str">
        <x:v>lemma_frequency_verified</x:v>
      </x:c>
      <x:c r="Q626" s="21" t="str">
        <x:v>rule_generated_exception_review</x:v>
      </x:c>
      <x:c r="R626" s="20" t="str">
        <x:v>https://github.com/openscriptures/morphhb</x:v>
      </x:c>
    </x:row>
    <x:row r="627" ht="28" customHeight="1">
      <x:c r="A627" s="21" t="n">
        <x:v>623</x:v>
      </x:c>
      <x:c r="B627" s="21" t="n">
        <x:f>ROUNDUP(A627/20,0)</x:f>
        <x:v>32</x:v>
      </x:c>
      <x:c r="C627" s="21" t="n">
        <x:f>MOD(A627-1,20)+1</x:f>
        <x:v>3</x:v>
      </x:c>
      <x:c r="D627" s="18" t="str">
        <x:v>יְהוּדִי</x:v>
      </x:c>
      <x:c r="E627" s="19" t="str">
        <x:v>yəhûḏî</x:v>
      </x:c>
      <x:c r="F627" s="16" t="str">
        <x:v>יהודי</x:v>
      </x:c>
      <x:c r="G627" s="20" t="str">
        <x:v>a Jehudite (i.e. Judaite or Jew), or descendant of Jehudah (i.e. Judah)</x:v>
      </x:c>
      <x:c r="H627" s="20" t="str"/>
      <x:c r="I627" s="21" t="str">
        <x:v>自編延伸</x:v>
      </x:c>
      <x:c r="J627" s="21"/>
      <x:c r="K627" s="22" t="n">
        <x:v>81</x:v>
      </x:c>
      <x:c r="L627" s="21" t="str">
        <x:v>H3064</x:v>
      </x:c>
      <x:c r="M627" s="21" t="str">
        <x:v>noun</x:v>
      </x:c>
      <x:c r="N627" s="21" t="str">
        <x:v>是</x:v>
      </x:c>
      <x:c r="O627" s="21" t="str">
        <x:v>民族／國族</x:v>
      </x:c>
      <x:c r="P627" s="21" t="str">
        <x:v>lemma_frequency_verified</x:v>
      </x:c>
      <x:c r="Q627" s="21" t="str">
        <x:v>rule_generated_exception_review</x:v>
      </x:c>
      <x:c r="R627" s="20" t="str">
        <x:v>https://github.com/openscriptures/morphhb</x:v>
      </x:c>
    </x:row>
    <x:row r="628" ht="28" customHeight="1">
      <x:c r="A628" s="21" t="n">
        <x:v>624</x:v>
      </x:c>
      <x:c r="B628" s="21" t="n">
        <x:f>ROUNDUP(A628/20,0)</x:f>
        <x:v>32</x:v>
      </x:c>
      <x:c r="C628" s="21" t="n">
        <x:f>MOD(A628-1,20)+1</x:f>
        <x:v>4</x:v>
      </x:c>
      <x:c r="D628" s="18" t="str">
        <x:v>בַּעַל</x:v>
      </x:c>
      <x:c r="E628" s="19" t="str">
        <x:v>baʿal</x:v>
      </x:c>
      <x:c r="F628" s="16" t="str">
        <x:v>בעל</x:v>
      </x:c>
      <x:c r="G628" s="20" t="str">
        <x:v>Baal, a Phoenician deity</x:v>
      </x:c>
      <x:c r="H628" s="20" t="str"/>
      <x:c r="I628" s="21" t="str">
        <x:v>自編延伸</x:v>
      </x:c>
      <x:c r="J628" s="21"/>
      <x:c r="K628" s="22" t="n">
        <x:v>80</x:v>
      </x:c>
      <x:c r="L628" s="21" t="str">
        <x:v>H1168</x:v>
      </x:c>
      <x:c r="M628" s="21" t="str">
        <x:v>proper_name</x:v>
      </x:c>
      <x:c r="N628" s="21" t="str">
        <x:v>是</x:v>
      </x:c>
      <x:c r="O628" s="21" t="str">
        <x:v>神名／稱號</x:v>
      </x:c>
      <x:c r="P628" s="21" t="str">
        <x:v>lemma_frequency_verified</x:v>
      </x:c>
      <x:c r="Q628" s="21" t="str">
        <x:v>rule_generated_exception_review</x:v>
      </x:c>
      <x:c r="R628" s="20" t="str">
        <x:v>https://github.com/openscriptures/morphhb</x:v>
      </x:c>
    </x:row>
    <x:row r="629" ht="28" customHeight="1">
      <x:c r="A629" s="21" t="n">
        <x:v>625</x:v>
      </x:c>
      <x:c r="B629" s="21" t="n">
        <x:f>ROUNDUP(A629/20,0)</x:f>
        <x:v>32</x:v>
      </x:c>
      <x:c r="C629" s="21" t="n">
        <x:f>MOD(A629-1,20)+1</x:f>
        <x:v>5</x:v>
      </x:c>
      <x:c r="D629" s="18" t="str">
        <x:v>יְהוֹנָתָן</x:v>
      </x:c>
      <x:c r="E629" s="19" t="str">
        <x:v>yəhônāṯān</x:v>
      </x:c>
      <x:c r="F629" s="16" t="str">
        <x:v>יהונתן</x:v>
      </x:c>
      <x:c r="G629" s="20" t="str">
        <x:v>Jehonathan, the name of four Israelites</x:v>
      </x:c>
      <x:c r="H629" s="20" t="str"/>
      <x:c r="I629" s="21" t="str">
        <x:v>自編延伸</x:v>
      </x:c>
      <x:c r="J629" s="21"/>
      <x:c r="K629" s="22" t="n">
        <x:v>80</x:v>
      </x:c>
      <x:c r="L629" s="21" t="str">
        <x:v>H3083</x:v>
      </x:c>
      <x:c r="M629" s="21" t="str">
        <x:v>proper_name</x:v>
      </x:c>
      <x:c r="N629" s="21" t="str">
        <x:v>是</x:v>
      </x:c>
      <x:c r="O629" s="21" t="str">
        <x:v>人名</x:v>
      </x:c>
      <x:c r="P629" s="21" t="str">
        <x:v>lemma_frequency_verified</x:v>
      </x:c>
      <x:c r="Q629" s="21" t="str">
        <x:v>rule_generated_exception_review</x:v>
      </x:c>
      <x:c r="R629" s="20" t="str">
        <x:v>https://github.com/openscriptures/morphhb</x:v>
      </x:c>
    </x:row>
    <x:row r="630" ht="28" customHeight="1">
      <x:c r="A630" s="21" t="n">
        <x:v>626</x:v>
      </x:c>
      <x:c r="B630" s="21" t="n">
        <x:f>ROUNDUP(A630/20,0)</x:f>
        <x:v>32</x:v>
      </x:c>
      <x:c r="C630" s="21" t="n">
        <x:f>MOD(A630-1,20)+1</x:f>
        <x:v>6</x:v>
      </x:c>
      <x:c r="D630" s="18" t="str">
        <x:v>זוּר</x:v>
      </x:c>
      <x:c r="E630" s="19" t="str">
        <x:v>zûr</x:v>
      </x:c>
      <x:c r="F630" s="16" t="str">
        <x:v>זור</x:v>
      </x:c>
      <x:c r="G630" s="20" t="str">
        <x:v>to turn aside (especially for lodging); hence to be aforeigner, strange, profane; specifically (active participle) to commit adultery</x:v>
      </x:c>
      <x:c r="H630" s="20" t="str"/>
      <x:c r="I630" s="21" t="str">
        <x:v>自編延伸</x:v>
      </x:c>
      <x:c r="J630" s="21"/>
      <x:c r="K630" s="22" t="n">
        <x:v>77</x:v>
      </x:c>
      <x:c r="L630" s="21" t="str">
        <x:v>H2114</x:v>
      </x:c>
      <x:c r="M630" s="21" t="str">
        <x:v>adjective</x:v>
      </x:c>
      <x:c r="N630" s="21" t="str">
        <x:v>否</x:v>
      </x:c>
      <x:c r="O630" s="21" t="str"/>
      <x:c r="P630" s="21" t="str">
        <x:v>lemma_frequency_verified</x:v>
      </x:c>
      <x:c r="Q630" s="21" t="str">
        <x:v>rule_generated_exception_review</x:v>
      </x:c>
      <x:c r="R630" s="20" t="str">
        <x:v>https://github.com/openscriptures/morphhb</x:v>
      </x:c>
    </x:row>
    <x:row r="631" ht="28" customHeight="1">
      <x:c r="A631" s="21" t="n">
        <x:v>627</x:v>
      </x:c>
      <x:c r="B631" s="21" t="n">
        <x:f>ROUNDUP(A631/20,0)</x:f>
        <x:v>32</x:v>
      </x:c>
      <x:c r="C631" s="21" t="n">
        <x:f>MOD(A631-1,20)+1</x:f>
        <x:v>7</x:v>
      </x:c>
      <x:c r="D631" s="18" t="str">
        <x:v>מִצְרִי</x:v>
      </x:c>
      <x:c r="E631" s="19" t="str">
        <x:v>miṣrî</x:v>
      </x:c>
      <x:c r="F631" s="16" t="str">
        <x:v>מצרי</x:v>
      </x:c>
      <x:c r="G631" s="20" t="str">
        <x:v>a Mitsrite, or inhabitant of Mitsrajim</x:v>
      </x:c>
      <x:c r="H631" s="20" t="str"/>
      <x:c r="I631" s="21" t="str">
        <x:v>自編延伸</x:v>
      </x:c>
      <x:c r="J631" s="21"/>
      <x:c r="K631" s="22" t="n">
        <x:v>76</x:v>
      </x:c>
      <x:c r="L631" s="21" t="str">
        <x:v>H4713</x:v>
      </x:c>
      <x:c r="M631" s="21" t="str">
        <x:v>proper_name</x:v>
      </x:c>
      <x:c r="N631" s="21" t="str">
        <x:v>是</x:v>
      </x:c>
      <x:c r="O631" s="21" t="str">
        <x:v>民族／國族</x:v>
      </x:c>
      <x:c r="P631" s="21" t="str">
        <x:v>lemma_frequency_verified</x:v>
      </x:c>
      <x:c r="Q631" s="21" t="str">
        <x:v>rule_generated_exception_review</x:v>
      </x:c>
      <x:c r="R631" s="20" t="str">
        <x:v>https://github.com/openscriptures/morphhb</x:v>
      </x:c>
    </x:row>
    <x:row r="632" ht="28" customHeight="1">
      <x:c r="A632" s="21" t="n">
        <x:v>628</x:v>
      </x:c>
      <x:c r="B632" s="21" t="n">
        <x:f>ROUNDUP(A632/20,0)</x:f>
        <x:v>32</x:v>
      </x:c>
      <x:c r="C632" s="21" t="n">
        <x:f>MOD(A632-1,20)+1</x:f>
        <x:v>8</x:v>
      </x:c>
      <x:c r="D632" s="18" t="str">
        <x:v>נַעֲרָה</x:v>
      </x:c>
      <x:c r="E632" s="19" t="str">
        <x:v>naʿărâ</x:v>
      </x:c>
      <x:c r="F632" s="16" t="str">
        <x:v>נערה</x:v>
      </x:c>
      <x:c r="G632" s="20" t="str">
        <x:v>a girl (from infancy to adolescence)</x:v>
      </x:c>
      <x:c r="H632" s="20" t="str"/>
      <x:c r="I632" s="21" t="str">
        <x:v>自編延伸</x:v>
      </x:c>
      <x:c r="J632" s="21"/>
      <x:c r="K632" s="22" t="n">
        <x:v>76</x:v>
      </x:c>
      <x:c r="L632" s="21" t="str">
        <x:v>H5291</x:v>
      </x:c>
      <x:c r="M632" s="21" t="str">
        <x:v>noun</x:v>
      </x:c>
      <x:c r="N632" s="21" t="str">
        <x:v>否</x:v>
      </x:c>
      <x:c r="O632" s="21" t="str"/>
      <x:c r="P632" s="21" t="str">
        <x:v>lemma_frequency_verified</x:v>
      </x:c>
      <x:c r="Q632" s="21" t="str">
        <x:v>rule_generated_exception_review</x:v>
      </x:c>
      <x:c r="R632" s="20" t="str">
        <x:v>https://github.com/openscriptures/morphhb</x:v>
      </x:c>
    </x:row>
    <x:row r="633" ht="28" customHeight="1">
      <x:c r="A633" s="21" t="n">
        <x:v>629</x:v>
      </x:c>
      <x:c r="B633" s="21" t="n">
        <x:f>ROUNDUP(A633/20,0)</x:f>
        <x:v>32</x:v>
      </x:c>
      <x:c r="C633" s="21" t="n">
        <x:f>MOD(A633-1,20)+1</x:f>
        <x:v>9</x:v>
      </x:c>
      <x:c r="D633" s="18" t="str">
        <x:v>תְּרוּמָה</x:v>
      </x:c>
      <x:c r="E633" s="19" t="str">
        <x:v>tərûmâ</x:v>
      </x:c>
      <x:c r="F633" s="16" t="str">
        <x:v>תרומה</x:v>
      </x:c>
      <x:c r="G633" s="20" t="str">
        <x:v>a present (as offered up), especially in sacrifice or as tribute</x:v>
      </x:c>
      <x:c r="H633" s="20" t="str"/>
      <x:c r="I633" s="21" t="str">
        <x:v>自編延伸</x:v>
      </x:c>
      <x:c r="J633" s="21"/>
      <x:c r="K633" s="22" t="n">
        <x:v>76</x:v>
      </x:c>
      <x:c r="L633" s="21" t="str">
        <x:v>H8641</x:v>
      </x:c>
      <x:c r="M633" s="21" t="str">
        <x:v>noun</x:v>
      </x:c>
      <x:c r="N633" s="21" t="str">
        <x:v>否</x:v>
      </x:c>
      <x:c r="O633" s="21" t="str"/>
      <x:c r="P633" s="21" t="str">
        <x:v>lemma_frequency_verified</x:v>
      </x:c>
      <x:c r="Q633" s="21" t="str">
        <x:v>rule_generated_exception_review</x:v>
      </x:c>
      <x:c r="R633" s="20" t="str">
        <x:v>https://github.com/openscriptures/morphhb</x:v>
      </x:c>
    </x:row>
    <x:row r="634" ht="28" customHeight="1">
      <x:c r="A634" s="21" t="n">
        <x:v>630</x:v>
      </x:c>
      <x:c r="B634" s="21" t="n">
        <x:f>ROUNDUP(A634/20,0)</x:f>
        <x:v>32</x:v>
      </x:c>
      <x:c r="C634" s="21" t="n">
        <x:f>MOD(A634-1,20)+1</x:f>
        <x:v>10</x:v>
      </x:c>
      <x:c r="D634" s="18" t="str">
        <x:v>יָנַח</x:v>
      </x:c>
      <x:c r="E634" s="19" t="str">
        <x:v>yānaḥ</x:v>
      </x:c>
      <x:c r="F634" s="16" t="str">
        <x:v>ינח</x:v>
      </x:c>
      <x:c r="G634" s="20" t="str">
        <x:v>to deposit; by implication, to allow to stay</x:v>
      </x:c>
      <x:c r="H634" s="20" t="str"/>
      <x:c r="I634" s="21" t="str">
        <x:v>自編延伸</x:v>
      </x:c>
      <x:c r="J634" s="21"/>
      <x:c r="K634" s="22" t="n">
        <x:v>75</x:v>
      </x:c>
      <x:c r="L634" s="21" t="str">
        <x:v>H3240</x:v>
      </x:c>
      <x:c r="M634" s="21" t="str">
        <x:v>verb</x:v>
      </x:c>
      <x:c r="N634" s="21" t="str">
        <x:v>否</x:v>
      </x:c>
      <x:c r="O634" s="21" t="str"/>
      <x:c r="P634" s="21" t="str">
        <x:v>lemma_frequency_verified</x:v>
      </x:c>
      <x:c r="Q634" s="21" t="str">
        <x:v>rule_generated_exception_review</x:v>
      </x:c>
      <x:c r="R634" s="20" t="str">
        <x:v>https://github.com/openscriptures/morphhb</x:v>
      </x:c>
    </x:row>
    <x:row r="635" ht="28" customHeight="1">
      <x:c r="A635" s="21" t="n">
        <x:v>631</x:v>
      </x:c>
      <x:c r="B635" s="21" t="n">
        <x:f>ROUNDUP(A635/20,0)</x:f>
        <x:v>32</x:v>
      </x:c>
      <x:c r="C635" s="21" t="n">
        <x:f>MOD(A635-1,20)+1</x:f>
        <x:v>11</x:v>
      </x:c>
      <x:c r="D635" s="18" t="str">
        <x:v>שָׁלָל</x:v>
      </x:c>
      <x:c r="E635" s="19" t="str">
        <x:v>šālāl</x:v>
      </x:c>
      <x:c r="F635" s="16" t="str">
        <x:v>שלל</x:v>
      </x:c>
      <x:c r="G635" s="20" t="str">
        <x:v>booty</x:v>
      </x:c>
      <x:c r="H635" s="20" t="str"/>
      <x:c r="I635" s="21" t="str">
        <x:v>自編延伸</x:v>
      </x:c>
      <x:c r="J635" s="21"/>
      <x:c r="K635" s="22" t="n">
        <x:v>74</x:v>
      </x:c>
      <x:c r="L635" s="21" t="str">
        <x:v>H7998</x:v>
      </x:c>
      <x:c r="M635" s="21" t="str">
        <x:v>noun</x:v>
      </x:c>
      <x:c r="N635" s="21" t="str">
        <x:v>否</x:v>
      </x:c>
      <x:c r="O635" s="21" t="str"/>
      <x:c r="P635" s="21" t="str">
        <x:v>lemma_frequency_verified</x:v>
      </x:c>
      <x:c r="Q635" s="21" t="str">
        <x:v>rule_generated_exception_review</x:v>
      </x:c>
      <x:c r="R635" s="20" t="str">
        <x:v>https://github.com/openscriptures/morphhb</x:v>
      </x:c>
    </x:row>
    <x:row r="636" ht="28" customHeight="1">
      <x:c r="A636" s="21" t="n">
        <x:v>632</x:v>
      </x:c>
      <x:c r="B636" s="21" t="n">
        <x:f>ROUNDUP(A636/20,0)</x:f>
        <x:v>32</x:v>
      </x:c>
      <x:c r="C636" s="21" t="n">
        <x:f>MOD(A636-1,20)+1</x:f>
        <x:v>12</x:v>
      </x:c>
      <x:c r="D636" s="18" t="str">
        <x:v>סֶלָה</x:v>
      </x:c>
      <x:c r="E636" s="19" t="str">
        <x:v>selâ</x:v>
      </x:c>
      <x:c r="F636" s="16" t="str">
        <x:v>סלה</x:v>
      </x:c>
      <x:c r="G636" s="20" t="str">
        <x:v>suspension (of music), i.e. pause</x:v>
      </x:c>
      <x:c r="H636" s="20" t="str"/>
      <x:c r="I636" s="21" t="str">
        <x:v>自編延伸</x:v>
      </x:c>
      <x:c r="J636" s="21"/>
      <x:c r="K636" s="22" t="n">
        <x:v>74</x:v>
      </x:c>
      <x:c r="L636" s="21" t="str">
        <x:v>H5542</x:v>
      </x:c>
      <x:c r="M636" s="21" t="str">
        <x:v>particle</x:v>
      </x:c>
      <x:c r="N636" s="21" t="str">
        <x:v>否</x:v>
      </x:c>
      <x:c r="O636" s="21" t="str"/>
      <x:c r="P636" s="21" t="str">
        <x:v>lemma_frequency_verified</x:v>
      </x:c>
      <x:c r="Q636" s="21" t="str">
        <x:v>rule_generated_exception_review</x:v>
      </x:c>
      <x:c r="R636" s="20" t="str">
        <x:v>https://github.com/openscriptures/morphhb</x:v>
      </x:c>
    </x:row>
    <x:row r="637" ht="28" customHeight="1">
      <x:c r="A637" s="21" t="n">
        <x:v>633</x:v>
      </x:c>
      <x:c r="B637" s="21" t="n">
        <x:f>ROUNDUP(A637/20,0)</x:f>
        <x:v>32</x:v>
      </x:c>
      <x:c r="C637" s="21" t="n">
        <x:f>MOD(A637-1,20)+1</x:f>
        <x:v>13</x:v>
      </x:c>
      <x:c r="D637" s="18" t="str">
        <x:v>כְּנַעַנִי</x:v>
      </x:c>
      <x:c r="E637" s="19" t="str">
        <x:v>kənaʿanî</x:v>
      </x:c>
      <x:c r="F637" s="16" t="str">
        <x:v>כנעני</x:v>
      </x:c>
      <x:c r="G637" s="20" t="str">
        <x:v>a Kenaanite or inhabitant of Kenaan; by implication, a pedlar (the Canaanites standing for their neighbors the Ishmaelites, who conducted mercantile caravans)</x:v>
      </x:c>
      <x:c r="H637" s="20" t="str"/>
      <x:c r="I637" s="21" t="str">
        <x:v>自編延伸</x:v>
      </x:c>
      <x:c r="J637" s="21"/>
      <x:c r="K637" s="22" t="n">
        <x:v>73</x:v>
      </x:c>
      <x:c r="L637" s="21" t="str">
        <x:v>H3669</x:v>
      </x:c>
      <x:c r="M637" s="21" t="str">
        <x:v>noun</x:v>
      </x:c>
      <x:c r="N637" s="21" t="str">
        <x:v>是</x:v>
      </x:c>
      <x:c r="O637" s="21" t="str">
        <x:v>民族／國族</x:v>
      </x:c>
      <x:c r="P637" s="21" t="str">
        <x:v>lemma_frequency_verified</x:v>
      </x:c>
      <x:c r="Q637" s="21" t="str">
        <x:v>rule_generated_exception_review</x:v>
      </x:c>
      <x:c r="R637" s="20" t="str">
        <x:v>https://github.com/openscriptures/morphhb</x:v>
      </x:c>
    </x:row>
    <x:row r="638" ht="28" customHeight="1">
      <x:c r="A638" s="21" t="n">
        <x:v>634</x:v>
      </x:c>
      <x:c r="B638" s="21" t="n">
        <x:f>ROUNDUP(A638/20,0)</x:f>
        <x:v>32</x:v>
      </x:c>
      <x:c r="C638" s="21" t="n">
        <x:f>MOD(A638-1,20)+1</x:f>
        <x:v>14</x:v>
      </x:c>
      <x:c r="D638" s="18" t="str">
        <x:v>יָבֵשׁ</x:v>
      </x:c>
      <x:c r="E638" s="19" t="str">
        <x:v>yāḇēš</x:v>
      </x:c>
      <x:c r="F638" s="16" t="str">
        <x:v>יבש</x:v>
      </x:c>
      <x:c r="G638" s="20" t="str">
        <x:v>to be ashamed, confused or disappointed; also (as failing) to dry up (as water) or wither (as herbage)</x:v>
      </x:c>
      <x:c r="H638" s="20" t="str"/>
      <x:c r="I638" s="21" t="str">
        <x:v>自編延伸</x:v>
      </x:c>
      <x:c r="J638" s="21"/>
      <x:c r="K638" s="22" t="n">
        <x:v>73</x:v>
      </x:c>
      <x:c r="L638" s="21" t="str">
        <x:v>H3001</x:v>
      </x:c>
      <x:c r="M638" s="21" t="str">
        <x:v>verb</x:v>
      </x:c>
      <x:c r="N638" s="21" t="str">
        <x:v>否</x:v>
      </x:c>
      <x:c r="O638" s="21" t="str"/>
      <x:c r="P638" s="21" t="str">
        <x:v>lemma_frequency_verified</x:v>
      </x:c>
      <x:c r="Q638" s="21" t="str">
        <x:v>rule_generated_exception_review</x:v>
      </x:c>
      <x:c r="R638" s="20" t="str">
        <x:v>https://github.com/openscriptures/morphhb</x:v>
      </x:c>
    </x:row>
    <x:row r="639" ht="28" customHeight="1">
      <x:c r="A639" s="21" t="n">
        <x:v>635</x:v>
      </x:c>
      <x:c r="B639" s="21" t="n">
        <x:f>ROUNDUP(A639/20,0)</x:f>
        <x:v>32</x:v>
      </x:c>
      <x:c r="C639" s="21" t="n">
        <x:f>MOD(A639-1,20)+1</x:f>
        <x:v>15</x:v>
      </x:c>
      <x:c r="D639" s="18" t="str">
        <x:v>רְאוּבֵן</x:v>
      </x:c>
      <x:c r="E639" s="19" t="str">
        <x:v>rəʾûḇēn</x:v>
      </x:c>
      <x:c r="F639" s="16" t="str">
        <x:v>ראובן</x:v>
      </x:c>
      <x:c r="G639" s="20" t="str">
        <x:v>Reuben, a son of Jacob</x:v>
      </x:c>
      <x:c r="H639" s="20" t="str"/>
      <x:c r="I639" s="21" t="str">
        <x:v>自編延伸</x:v>
      </x:c>
      <x:c r="J639" s="21"/>
      <x:c r="K639" s="22" t="n">
        <x:v>72</x:v>
      </x:c>
      <x:c r="L639" s="21" t="str">
        <x:v>H7205</x:v>
      </x:c>
      <x:c r="M639" s="21" t="str">
        <x:v>proper_name</x:v>
      </x:c>
      <x:c r="N639" s="21" t="str">
        <x:v>是</x:v>
      </x:c>
      <x:c r="O639" s="21" t="str">
        <x:v>人名</x:v>
      </x:c>
      <x:c r="P639" s="21" t="str">
        <x:v>lemma_frequency_verified</x:v>
      </x:c>
      <x:c r="Q639" s="21" t="str">
        <x:v>rule_generated_exception_review</x:v>
      </x:c>
      <x:c r="R639" s="20" t="str">
        <x:v>https://github.com/openscriptures/morphhb</x:v>
      </x:c>
    </x:row>
    <x:row r="640" ht="28" customHeight="1">
      <x:c r="A640" s="21" t="n">
        <x:v>636</x:v>
      </x:c>
      <x:c r="B640" s="21" t="n">
        <x:f>ROUNDUP(A640/20,0)</x:f>
        <x:v>32</x:v>
      </x:c>
      <x:c r="C640" s="21" t="n">
        <x:f>MOD(A640-1,20)+1</x:f>
        <x:v>16</x:v>
      </x:c>
      <x:c r="D640" s="18" t="str">
        <x:v>גָּד</x:v>
      </x:c>
      <x:c r="E640" s="19" t="str">
        <x:v>gāḏ</x:v>
      </x:c>
      <x:c r="F640" s="16" t="str">
        <x:v>גד</x:v>
      </x:c>
      <x:c r="G640" s="20" t="str">
        <x:v>Gad, a son of Jacob, including his tribe and its territory; also a prophet</x:v>
      </x:c>
      <x:c r="H640" s="20" t="str"/>
      <x:c r="I640" s="21" t="str">
        <x:v>自編延伸</x:v>
      </x:c>
      <x:c r="J640" s="21"/>
      <x:c r="K640" s="22" t="n">
        <x:v>72</x:v>
      </x:c>
      <x:c r="L640" s="21" t="str">
        <x:v>H1410</x:v>
      </x:c>
      <x:c r="M640" s="21" t="str">
        <x:v>proper_name</x:v>
      </x:c>
      <x:c r="N640" s="21" t="str">
        <x:v>是</x:v>
      </x:c>
      <x:c r="O640" s="21" t="str">
        <x:v>地名、民族／國族、人名</x:v>
      </x:c>
      <x:c r="P640" s="21" t="str">
        <x:v>lemma_frequency_verified</x:v>
      </x:c>
      <x:c r="Q640" s="21" t="str">
        <x:v>rule_generated_exception_review</x:v>
      </x:c>
      <x:c r="R640" s="20" t="str">
        <x:v>https://github.com/openscriptures/morphhb</x:v>
      </x:c>
    </x:row>
    <x:row r="641" ht="28" customHeight="1">
      <x:c r="A641" s="21" t="n">
        <x:v>637</x:v>
      </x:c>
      <x:c r="B641" s="21" t="n">
        <x:f>ROUNDUP(A641/20,0)</x:f>
        <x:v>32</x:v>
      </x:c>
      <x:c r="C641" s="21" t="n">
        <x:f>MOD(A641-1,20)+1</x:f>
        <x:v>17</x:v>
      </x:c>
      <x:c r="D641" s="18" t="str">
        <x:v>אֶלְעָזָר</x:v>
      </x:c>
      <x:c r="E641" s="19" t="str">
        <x:v>ʾelʿāzār</x:v>
      </x:c>
      <x:c r="F641" s="16" t="str">
        <x:v>אלעזר</x:v>
      </x:c>
      <x:c r="G641" s="20" t="str">
        <x:v>Elazar, the name of seven Israelites</x:v>
      </x:c>
      <x:c r="H641" s="20" t="str"/>
      <x:c r="I641" s="21" t="str">
        <x:v>自編延伸</x:v>
      </x:c>
      <x:c r="J641" s="21"/>
      <x:c r="K641" s="22" t="n">
        <x:v>72</x:v>
      </x:c>
      <x:c r="L641" s="21" t="str">
        <x:v>H499</x:v>
      </x:c>
      <x:c r="M641" s="21" t="str">
        <x:v>proper_name</x:v>
      </x:c>
      <x:c r="N641" s="21" t="str">
        <x:v>是</x:v>
      </x:c>
      <x:c r="O641" s="21" t="str">
        <x:v>人名</x:v>
      </x:c>
      <x:c r="P641" s="21" t="str">
        <x:v>lemma_frequency_verified</x:v>
      </x:c>
      <x:c r="Q641" s="21" t="str">
        <x:v>rule_generated_exception_review</x:v>
      </x:c>
      <x:c r="R641" s="20" t="str">
        <x:v>https://github.com/openscriptures/morphhb</x:v>
      </x:c>
    </x:row>
    <x:row r="642" ht="28" customHeight="1">
      <x:c r="A642" s="21" t="n">
        <x:v>638</x:v>
      </x:c>
      <x:c r="B642" s="21" t="n">
        <x:f>ROUNDUP(A642/20,0)</x:f>
        <x:v>32</x:v>
      </x:c>
      <x:c r="C642" s="21" t="n">
        <x:f>MOD(A642-1,20)+1</x:f>
        <x:v>18</x:v>
      </x:c>
      <x:c r="D642" s="18" t="str">
        <x:v>בַּל</x:v>
      </x:c>
      <x:c r="E642" s="19" t="str">
        <x:v>bal</x:v>
      </x:c>
      <x:c r="F642" s="16" t="str">
        <x:v>בל</x:v>
      </x:c>
      <x:c r="G642" s="20" t="str">
        <x:v>properly, a failure; by implication nothing; usually (adverb) not at all; also lest</x:v>
      </x:c>
      <x:c r="H642" s="20" t="str"/>
      <x:c r="I642" s="21" t="str">
        <x:v>自編延伸</x:v>
      </x:c>
      <x:c r="J642" s="21"/>
      <x:c r="K642" s="22" t="n">
        <x:v>72</x:v>
      </x:c>
      <x:c r="L642" s="21" t="str">
        <x:v>H1077</x:v>
      </x:c>
      <x:c r="M642" s="21" t="str">
        <x:v>particle</x:v>
      </x:c>
      <x:c r="N642" s="21" t="str">
        <x:v>否</x:v>
      </x:c>
      <x:c r="O642" s="21" t="str"/>
      <x:c r="P642" s="21" t="str">
        <x:v>lemma_frequency_verified</x:v>
      </x:c>
      <x:c r="Q642" s="21" t="str">
        <x:v>rule_generated_exception_review</x:v>
      </x:c>
      <x:c r="R642" s="20" t="str">
        <x:v>https://github.com/openscriptures/morphhb</x:v>
      </x:c>
    </x:row>
    <x:row r="643" ht="28" customHeight="1">
      <x:c r="A643" s="21" t="n">
        <x:v>639</x:v>
      </x:c>
      <x:c r="B643" s="21" t="n">
        <x:f>ROUNDUP(A643/20,0)</x:f>
        <x:v>32</x:v>
      </x:c>
      <x:c r="C643" s="21" t="n">
        <x:f>MOD(A643-1,20)+1</x:f>
        <x:v>19</x:v>
      </x:c>
      <x:c r="D643" s="18" t="str">
        <x:v>חָרַשׁ</x:v>
      </x:c>
      <x:c r="E643" s="19" t="str">
        <x:v>ḥāraš</x:v>
      </x:c>
      <x:c r="F643" s="16" t="str">
        <x:v>חרש</x:v>
      </x:c>
      <x:c r="G643" s="20" t="str">
        <x:v>to scratch, i.e. (by implication) to engrave, plough; hence (from the use of tools) to fabricate (of any material); figuratively, to devise (in a bad sense); hence (from the idea of secrecy) to be silent, to let alone; hence (by implication) to be deaf (as an accompaniment of dumbness)</x:v>
      </x:c>
      <x:c r="H643" s="20" t="str"/>
      <x:c r="I643" s="21" t="str">
        <x:v>自編延伸</x:v>
      </x:c>
      <x:c r="J643" s="21"/>
      <x:c r="K643" s="22" t="n">
        <x:v>72</x:v>
      </x:c>
      <x:c r="L643" s="21" t="str">
        <x:v>H2790</x:v>
      </x:c>
      <x:c r="M643" s="21" t="str">
        <x:v>verb</x:v>
      </x:c>
      <x:c r="N643" s="21" t="str">
        <x:v>否</x:v>
      </x:c>
      <x:c r="O643" s="21" t="str"/>
      <x:c r="P643" s="21" t="str">
        <x:v>lemma_frequency_verified</x:v>
      </x:c>
      <x:c r="Q643" s="21" t="str">
        <x:v>rule_generated_exception_review</x:v>
      </x:c>
      <x:c r="R643" s="20" t="str">
        <x:v>https://github.com/openscriptures/morphhb</x:v>
      </x:c>
    </x:row>
    <x:row r="644" ht="28" customHeight="1">
      <x:c r="A644" s="21" t="n">
        <x:v>640</x:v>
      </x:c>
      <x:c r="B644" s="21" t="n">
        <x:f>ROUNDUP(A644/20,0)</x:f>
        <x:v>32</x:v>
      </x:c>
      <x:c r="C644" s="21" t="n">
        <x:f>MOD(A644-1,20)+1</x:f>
        <x:v>20</x:v>
      </x:c>
      <x:c r="D644" s="18" t="str">
        <x:v>חֶבְרוֹן</x:v>
      </x:c>
      <x:c r="E644" s="19" t="str">
        <x:v>ḥeḇrôn</x:v>
      </x:c>
      <x:c r="F644" s="16" t="str">
        <x:v>חברון</x:v>
      </x:c>
      <x:c r="G644" s="20" t="str">
        <x:v>Chebron, a place in Palestine, also the name of two Israelites</x:v>
      </x:c>
      <x:c r="H644" s="20" t="str"/>
      <x:c r="I644" s="21" t="str">
        <x:v>自編延伸</x:v>
      </x:c>
      <x:c r="J644" s="21"/>
      <x:c r="K644" s="22" t="n">
        <x:v>71</x:v>
      </x:c>
      <x:c r="L644" s="21" t="str">
        <x:v>H2275</x:v>
      </x:c>
      <x:c r="M644" s="21" t="str">
        <x:v>proper_name</x:v>
      </x:c>
      <x:c r="N644" s="21" t="str">
        <x:v>是</x:v>
      </x:c>
      <x:c r="O644" s="21" t="str">
        <x:v>人名、地名</x:v>
      </x:c>
      <x:c r="P644" s="21" t="str">
        <x:v>lemma_frequency_verified</x:v>
      </x:c>
      <x:c r="Q644" s="21" t="str">
        <x:v>rule_generated_exception_review</x:v>
      </x:c>
      <x:c r="R644" s="20" t="str">
        <x:v>https://github.com/openscriptures/morphhb</x:v>
      </x:c>
    </x:row>
    <x:row r="645" ht="28" customHeight="1">
      <x:c r="A645" s="21" t="n">
        <x:v>641</x:v>
      </x:c>
      <x:c r="B645" s="21" t="n">
        <x:f>ROUNDUP(A645/20,0)</x:f>
        <x:v>33</x:v>
      </x:c>
      <x:c r="C645" s="21" t="n">
        <x:f>MOD(A645-1,20)+1</x:f>
        <x:v>1</x:v>
      </x:c>
      <x:c r="D645" s="18" t="str">
        <x:v>אֵלִיָּה</x:v>
      </x:c>
      <x:c r="E645" s="19" t="str">
        <x:v>ʾēliyyâ</x:v>
      </x:c>
      <x:c r="F645" s="16" t="str">
        <x:v>אליה</x:v>
      </x:c>
      <x:c r="G645" s="20" t="str">
        <x:v>Elijah, the name of the famous prophet and of two other Israelites</x:v>
      </x:c>
      <x:c r="H645" s="20" t="str"/>
      <x:c r="I645" s="21" t="str">
        <x:v>自編延伸</x:v>
      </x:c>
      <x:c r="J645" s="21"/>
      <x:c r="K645" s="22" t="n">
        <x:v>71</x:v>
      </x:c>
      <x:c r="L645" s="21" t="str">
        <x:v>H452</x:v>
      </x:c>
      <x:c r="M645" s="21" t="str">
        <x:v>proper_name</x:v>
      </x:c>
      <x:c r="N645" s="21" t="str">
        <x:v>是</x:v>
      </x:c>
      <x:c r="O645" s="21" t="str">
        <x:v>人名</x:v>
      </x:c>
      <x:c r="P645" s="21" t="str">
        <x:v>lemma_frequency_verified</x:v>
      </x:c>
      <x:c r="Q645" s="21" t="str">
        <x:v>rule_generated_exception_review</x:v>
      </x:c>
      <x:c r="R645" s="20" t="str">
        <x:v>https://github.com/openscriptures/morphhb</x:v>
      </x:c>
    </x:row>
    <x:row r="646" ht="28" customHeight="1">
      <x:c r="A646" s="21" t="n">
        <x:v>642</x:v>
      </x:c>
      <x:c r="B646" s="21" t="n">
        <x:f>ROUNDUP(A646/20,0)</x:f>
        <x:v>33</x:v>
      </x:c>
      <x:c r="C646" s="21" t="n">
        <x:f>MOD(A646-1,20)+1</x:f>
        <x:v>2</x:v>
      </x:c>
      <x:c r="D646" s="18" t="str">
        <x:v>לְבָנוֹן</x:v>
      </x:c>
      <x:c r="E646" s="19" t="str">
        <x:v>ləḇānôn</x:v>
      </x:c>
      <x:c r="F646" s="16" t="str">
        <x:v>לבנון</x:v>
      </x:c>
      <x:c r="G646" s="20" t="str">
        <x:v>Lebanon, a mountain range in Palestine</x:v>
      </x:c>
      <x:c r="H646" s="20" t="str"/>
      <x:c r="I646" s="21" t="str">
        <x:v>自編延伸</x:v>
      </x:c>
      <x:c r="J646" s="21"/>
      <x:c r="K646" s="22" t="n">
        <x:v>71</x:v>
      </x:c>
      <x:c r="L646" s="21" t="str">
        <x:v>H3844</x:v>
      </x:c>
      <x:c r="M646" s="21" t="str">
        <x:v>proper_name</x:v>
      </x:c>
      <x:c r="N646" s="21" t="str">
        <x:v>是</x:v>
      </x:c>
      <x:c r="O646" s="21" t="str">
        <x:v>地名</x:v>
      </x:c>
      <x:c r="P646" s="21" t="str">
        <x:v>lemma_frequency_verified</x:v>
      </x:c>
      <x:c r="Q646" s="21" t="str">
        <x:v>rule_generated_exception_review</x:v>
      </x:c>
      <x:c r="R646" s="20" t="str">
        <x:v>https://github.com/openscriptures/morphhb</x:v>
      </x:c>
    </x:row>
    <x:row r="647" ht="28" customHeight="1">
      <x:c r="A647" s="21" t="n">
        <x:v>643</x:v>
      </x:c>
      <x:c r="B647" s="21" t="n">
        <x:f>ROUNDUP(A647/20,0)</x:f>
        <x:v>33</x:v>
      </x:c>
      <x:c r="C647" s="21" t="n">
        <x:f>MOD(A647-1,20)+1</x:f>
        <x:v>3</x:v>
      </x:c>
      <x:c r="D647" s="18" t="str">
        <x:v>גִּבְעָה</x:v>
      </x:c>
      <x:c r="E647" s="19" t="str">
        <x:v>giḇʿâ</x:v>
      </x:c>
      <x:c r="F647" s="16" t="str">
        <x:v>גבעה</x:v>
      </x:c>
      <x:c r="G647" s="20" t="str">
        <x:v>a hillock</x:v>
      </x:c>
      <x:c r="H647" s="20" t="str"/>
      <x:c r="I647" s="21" t="str">
        <x:v>自編延伸</x:v>
      </x:c>
      <x:c r="J647" s="21"/>
      <x:c r="K647" s="22" t="n">
        <x:v>71</x:v>
      </x:c>
      <x:c r="L647" s="21" t="str">
        <x:v>H1389</x:v>
      </x:c>
      <x:c r="M647" s="21" t="str">
        <x:v>noun</x:v>
      </x:c>
      <x:c r="N647" s="21" t="str">
        <x:v>否</x:v>
      </x:c>
      <x:c r="O647" s="21" t="str"/>
      <x:c r="P647" s="21" t="str">
        <x:v>lemma_frequency_verified</x:v>
      </x:c>
      <x:c r="Q647" s="21" t="str">
        <x:v>rule_generated_exception_review</x:v>
      </x:c>
      <x:c r="R647" s="20" t="str">
        <x:v>https://github.com/openscriptures/morphhb</x:v>
      </x:c>
    </x:row>
    <x:row r="648" ht="28" customHeight="1">
      <x:c r="A648" s="21" t="n">
        <x:v>644</x:v>
      </x:c>
      <x:c r="B648" s="21" t="n">
        <x:f>ROUNDUP(A648/20,0)</x:f>
        <x:v>33</x:v>
      </x:c>
      <x:c r="C648" s="21" t="n">
        <x:f>MOD(A648-1,20)+1</x:f>
        <x:v>4</x:v>
      </x:c>
      <x:c r="D648" s="18" t="str">
        <x:v>דָּן</x:v>
      </x:c>
      <x:c r="E648" s="19" t="str">
        <x:v>dān</x:v>
      </x:c>
      <x:c r="F648" s="16" t="str">
        <x:v>דן</x:v>
      </x:c>
      <x:c r="G648" s="20" t="str">
        <x:v>Dan, one of the sons of Jacob; also the tribe descended from him, and its territory; likewise a place in Palestine colonized by them</x:v>
      </x:c>
      <x:c r="H648" s="20" t="str"/>
      <x:c r="I648" s="21" t="str">
        <x:v>自編延伸</x:v>
      </x:c>
      <x:c r="J648" s="21"/>
      <x:c r="K648" s="22" t="n">
        <x:v>70</x:v>
      </x:c>
      <x:c r="L648" s="21" t="str">
        <x:v>H1835</x:v>
      </x:c>
      <x:c r="M648" s="21" t="str">
        <x:v>proper_name</x:v>
      </x:c>
      <x:c r="N648" s="21" t="str">
        <x:v>是</x:v>
      </x:c>
      <x:c r="O648" s="21" t="str">
        <x:v>人名、地名、民族／國族</x:v>
      </x:c>
      <x:c r="P648" s="21" t="str">
        <x:v>lemma_frequency_verified</x:v>
      </x:c>
      <x:c r="Q648" s="21" t="str">
        <x:v>rule_generated_exception_review</x:v>
      </x:c>
      <x:c r="R648" s="20" t="str">
        <x:v>https://github.com/openscriptures/morphhb</x:v>
      </x:c>
    </x:row>
    <x:row r="649" ht="28" customHeight="1">
      <x:c r="A649" s="21" t="n">
        <x:v>645</x:v>
      </x:c>
      <x:c r="B649" s="21" t="n">
        <x:f>ROUNDUP(A649/20,0)</x:f>
        <x:v>33</x:v>
      </x:c>
      <x:c r="C649" s="21" t="n">
        <x:f>MOD(A649-1,20)+1</x:f>
        <x:v>5</x:v>
      </x:c>
      <x:c r="D649" s="18" t="str">
        <x:v>תָּקַע</x:v>
      </x:c>
      <x:c r="E649" s="19" t="str">
        <x:v>tāqaʿ</x:v>
      </x:c>
      <x:c r="F649" s="16" t="str">
        <x:v>תקע</x:v>
      </x:c>
      <x:c r="G649" s="20" t="str">
        <x:v>to clatter, i.e. slap (the hands together), clang (an instrument); by analogy, to drive (a nail or tent-pin, a dart, etc.); by implication, to become bondsman by handclasping)</x:v>
      </x:c>
      <x:c r="H649" s="20" t="str"/>
      <x:c r="I649" s="21" t="str">
        <x:v>自編延伸</x:v>
      </x:c>
      <x:c r="J649" s="21"/>
      <x:c r="K649" s="22" t="n">
        <x:v>70</x:v>
      </x:c>
      <x:c r="L649" s="21" t="str">
        <x:v>H8628</x:v>
      </x:c>
      <x:c r="M649" s="21" t="str">
        <x:v>verb</x:v>
      </x:c>
      <x:c r="N649" s="21" t="str">
        <x:v>否</x:v>
      </x:c>
      <x:c r="O649" s="21" t="str"/>
      <x:c r="P649" s="21" t="str">
        <x:v>lemma_frequency_verified</x:v>
      </x:c>
      <x:c r="Q649" s="21" t="str">
        <x:v>rule_generated_exception_review</x:v>
      </x:c>
      <x:c r="R649" s="20" t="str">
        <x:v>https://github.com/openscriptures/morphhb</x:v>
      </x:c>
    </x:row>
    <x:row r="650" ht="28" customHeight="1">
      <x:c r="A650" s="21" t="n">
        <x:v>646</x:v>
      </x:c>
      <x:c r="B650" s="21" t="n">
        <x:f>ROUNDUP(A650/20,0)</x:f>
        <x:v>33</x:v>
      </x:c>
      <x:c r="C650" s="21" t="n">
        <x:f>MOD(A650-1,20)+1</x:f>
        <x:v>6</x:v>
      </x:c>
      <x:c r="D650" s="18" t="str">
        <x:v>רִיב</x:v>
      </x:c>
      <x:c r="E650" s="19" t="str">
        <x:v>rîḇ</x:v>
      </x:c>
      <x:c r="F650" s="16" t="str">
        <x:v>ריב</x:v>
      </x:c>
      <x:c r="G650" s="20" t="str">
        <x:v>properly, to toss, i.e. grapple; mostly figuratively, to wrangle, i.e. hold a controversy; (by implication) to defend</x:v>
      </x:c>
      <x:c r="H650" s="20" t="str"/>
      <x:c r="I650" s="21" t="str">
        <x:v>自編延伸</x:v>
      </x:c>
      <x:c r="J650" s="21"/>
      <x:c r="K650" s="22" t="n">
        <x:v>70</x:v>
      </x:c>
      <x:c r="L650" s="21" t="str">
        <x:v>H7378</x:v>
      </x:c>
      <x:c r="M650" s="21" t="str">
        <x:v>verb</x:v>
      </x:c>
      <x:c r="N650" s="21" t="str">
        <x:v>否</x:v>
      </x:c>
      <x:c r="O650" s="21" t="str"/>
      <x:c r="P650" s="21" t="str">
        <x:v>lemma_frequency_verified</x:v>
      </x:c>
      <x:c r="Q650" s="21" t="str">
        <x:v>rule_generated_exception_review</x:v>
      </x:c>
      <x:c r="R650" s="20" t="str">
        <x:v>https://github.com/openscriptures/morphhb</x:v>
      </x:c>
    </x:row>
    <x:row r="651" ht="28" customHeight="1">
      <x:c r="A651" s="21" t="n">
        <x:v>647</x:v>
      </x:c>
      <x:c r="B651" s="21" t="n">
        <x:f>ROUNDUP(A651/20,0)</x:f>
        <x:v>33</x:v>
      </x:c>
      <x:c r="C651" s="21" t="n">
        <x:f>MOD(A651-1,20)+1</x:f>
        <x:v>7</x:v>
      </x:c>
      <x:c r="D651" s="18" t="str">
        <x:v>אַלּוּף</x:v>
      </x:c>
      <x:c r="E651" s="19" t="str">
        <x:v>ʾallûp̄</x:v>
      </x:c>
      <x:c r="F651" s="16" t="str">
        <x:v>אלוף</x:v>
      </x:c>
      <x:c r="G651" s="20" t="str">
        <x:v>familiar; a friend, also gentle; hence, a bullock (as being tame; applied, although masculine, to a cow); and so, a chieftain (as notable, like neat cattle)</x:v>
      </x:c>
      <x:c r="H651" s="20" t="str"/>
      <x:c r="I651" s="21" t="str">
        <x:v>自編延伸</x:v>
      </x:c>
      <x:c r="J651" s="21"/>
      <x:c r="K651" s="22" t="n">
        <x:v>69</x:v>
      </x:c>
      <x:c r="L651" s="21" t="str">
        <x:v>H441</x:v>
      </x:c>
      <x:c r="M651" s="21" t="str">
        <x:v>noun</x:v>
      </x:c>
      <x:c r="N651" s="21" t="str">
        <x:v>否</x:v>
      </x:c>
      <x:c r="O651" s="21" t="str"/>
      <x:c r="P651" s="21" t="str">
        <x:v>lemma_frequency_verified</x:v>
      </x:c>
      <x:c r="Q651" s="21" t="str">
        <x:v>rule_generated_exception_review</x:v>
      </x:c>
      <x:c r="R651" s="20" t="str">
        <x:v>https://github.com/openscriptures/morphhb</x:v>
      </x:c>
    </x:row>
    <x:row r="652" ht="28" customHeight="1">
      <x:c r="A652" s="21" t="n">
        <x:v>648</x:v>
      </x:c>
      <x:c r="B652" s="21" t="n">
        <x:f>ROUNDUP(A652/20,0)</x:f>
        <x:v>33</x:v>
      </x:c>
      <x:c r="C652" s="21" t="n">
        <x:f>MOD(A652-1,20)+1</x:f>
        <x:v>8</x:v>
      </x:c>
      <x:c r="D652" s="18" t="str">
        <x:v>עֵמֶק</x:v>
      </x:c>
      <x:c r="E652" s="19" t="str">
        <x:v>ʿēmeq</x:v>
      </x:c>
      <x:c r="F652" s="16" t="str">
        <x:v>עמק</x:v>
      </x:c>
      <x:c r="G652" s="20" t="str">
        <x:v>a vale (i.e. broad depression)</x:v>
      </x:c>
      <x:c r="H652" s="20" t="str"/>
      <x:c r="I652" s="21" t="str">
        <x:v>自編延伸</x:v>
      </x:c>
      <x:c r="J652" s="21"/>
      <x:c r="K652" s="22" t="n">
        <x:v>69</x:v>
      </x:c>
      <x:c r="L652" s="21" t="str">
        <x:v>H6010</x:v>
      </x:c>
      <x:c r="M652" s="21" t="str">
        <x:v>noun</x:v>
      </x:c>
      <x:c r="N652" s="21" t="str">
        <x:v>否</x:v>
      </x:c>
      <x:c r="O652" s="21" t="str"/>
      <x:c r="P652" s="21" t="str">
        <x:v>lemma_frequency_verified</x:v>
      </x:c>
      <x:c r="Q652" s="21" t="str">
        <x:v>rule_generated_exception_review</x:v>
      </x:c>
      <x:c r="R652" s="20" t="str">
        <x:v>https://github.com/openscriptures/morphhb</x:v>
      </x:c>
    </x:row>
    <x:row r="653" ht="28" customHeight="1">
      <x:c r="A653" s="21" t="n">
        <x:v>649</x:v>
      </x:c>
      <x:c r="B653" s="21" t="n">
        <x:f>ROUNDUP(A653/20,0)</x:f>
        <x:v>33</x:v>
      </x:c>
      <x:c r="C653" s="21" t="n">
        <x:f>MOD(A653-1,20)+1</x:f>
        <x:v>9</x:v>
      </x:c>
      <x:c r="D653" s="18" t="str">
        <x:v>חֵן</x:v>
      </x:c>
      <x:c r="E653" s="19" t="str">
        <x:v>ḥēn</x:v>
      </x:c>
      <x:c r="F653" s="16" t="str">
        <x:v>חן</x:v>
      </x:c>
      <x:c r="G653" s="20" t="str">
        <x:v>graciousness, i.e. subjective (kindness, favor) or objective (beauty)</x:v>
      </x:c>
      <x:c r="H653" s="20" t="str"/>
      <x:c r="I653" s="21" t="str">
        <x:v>自編延伸</x:v>
      </x:c>
      <x:c r="J653" s="21"/>
      <x:c r="K653" s="22" t="n">
        <x:v>69</x:v>
      </x:c>
      <x:c r="L653" s="21" t="str">
        <x:v>H2580</x:v>
      </x:c>
      <x:c r="M653" s="21" t="str">
        <x:v>noun</x:v>
      </x:c>
      <x:c r="N653" s="21" t="str">
        <x:v>否</x:v>
      </x:c>
      <x:c r="O653" s="21" t="str"/>
      <x:c r="P653" s="21" t="str">
        <x:v>lemma_frequency_verified</x:v>
      </x:c>
      <x:c r="Q653" s="21" t="str">
        <x:v>rule_generated_exception_review</x:v>
      </x:c>
      <x:c r="R653" s="20" t="str">
        <x:v>https://github.com/openscriptures/morphhb</x:v>
      </x:c>
    </x:row>
    <x:row r="654" ht="28" customHeight="1">
      <x:c r="A654" s="21" t="n">
        <x:v>650</x:v>
      </x:c>
      <x:c r="B654" s="21" t="n">
        <x:f>ROUNDUP(A654/20,0)</x:f>
        <x:v>33</x:v>
      </x:c>
      <x:c r="C654" s="21" t="n">
        <x:f>MOD(A654-1,20)+1</x:f>
        <x:v>10</x:v>
      </x:c>
      <x:c r="D654" s="18" t="str">
        <x:v>רָפָא</x:v>
      </x:c>
      <x:c r="E654" s="19" t="str">
        <x:v>rāp̄āʾ</x:v>
      </x:c>
      <x:c r="F654" s="16" t="str">
        <x:v>רפא</x:v>
      </x:c>
      <x:c r="G654" s="20" t="str">
        <x:v>properly, to mend (by stitching), i.e. (figuratively) to cure</x:v>
      </x:c>
      <x:c r="H654" s="20" t="str"/>
      <x:c r="I654" s="21" t="str">
        <x:v>自編延伸</x:v>
      </x:c>
      <x:c r="J654" s="21"/>
      <x:c r="K654" s="22" t="n">
        <x:v>69</x:v>
      </x:c>
      <x:c r="L654" s="21" t="str">
        <x:v>H7495</x:v>
      </x:c>
      <x:c r="M654" s="21" t="str">
        <x:v>verb</x:v>
      </x:c>
      <x:c r="N654" s="21" t="str">
        <x:v>否</x:v>
      </x:c>
      <x:c r="O654" s="21" t="str"/>
      <x:c r="P654" s="21" t="str">
        <x:v>lemma_frequency_verified</x:v>
      </x:c>
      <x:c r="Q654" s="21" t="str">
        <x:v>rule_generated_exception_review</x:v>
      </x:c>
      <x:c r="R654" s="20" t="str">
        <x:v>https://github.com/openscriptures/morphhb</x:v>
      </x:c>
    </x:row>
    <x:row r="655" ht="28" customHeight="1">
      <x:c r="A655" s="21" t="n">
        <x:v>651</x:v>
      </x:c>
      <x:c r="B655" s="21" t="n">
        <x:f>ROUNDUP(A655/20,0)</x:f>
        <x:v>33</x:v>
      </x:c>
      <x:c r="C655" s="21" t="n">
        <x:f>MOD(A655-1,20)+1</x:f>
        <x:v>11</x:v>
      </x:c>
      <x:c r="D655" s="18" t="str">
        <x:v>קָדִים</x:v>
      </x:c>
      <x:c r="E655" s="19" t="str">
        <x:v>qāḏîm</x:v>
      </x:c>
      <x:c r="F655" s="16" t="str">
        <x:v>קדים</x:v>
      </x:c>
      <x:c r="G655" s="20" t="str">
        <x:v>the fore or front part; hence (by orientation) the East (often adverbially, eastward, for brevity the east wind)</x:v>
      </x:c>
      <x:c r="H655" s="20" t="str"/>
      <x:c r="I655" s="21" t="str">
        <x:v>自編延伸</x:v>
      </x:c>
      <x:c r="J655" s="21"/>
      <x:c r="K655" s="22" t="n">
        <x:v>69</x:v>
      </x:c>
      <x:c r="L655" s="21" t="str">
        <x:v>H6921</x:v>
      </x:c>
      <x:c r="M655" s="21" t="str">
        <x:v>noun</x:v>
      </x:c>
      <x:c r="N655" s="21" t="str">
        <x:v>否</x:v>
      </x:c>
      <x:c r="O655" s="21" t="str"/>
      <x:c r="P655" s="21" t="str">
        <x:v>lemma_frequency_verified</x:v>
      </x:c>
      <x:c r="Q655" s="21" t="str">
        <x:v>rule_generated_exception_review</x:v>
      </x:c>
      <x:c r="R655" s="20" t="str">
        <x:v>https://github.com/openscriptures/morphhb</x:v>
      </x:c>
    </x:row>
    <x:row r="656" ht="28" customHeight="1">
      <x:c r="A656" s="21" t="n">
        <x:v>652</x:v>
      </x:c>
      <x:c r="B656" s="21" t="n">
        <x:f>ROUNDUP(A656/20,0)</x:f>
        <x:v>33</x:v>
      </x:c>
      <x:c r="C656" s="21" t="n">
        <x:f>MOD(A656-1,20)+1</x:f>
        <x:v>12</x:v>
      </x:c>
      <x:c r="D656" s="18" t="str">
        <x:v>בְּאֵר שֶׁבַע</x:v>
      </x:c>
      <x:c r="E656" s="19" t="str">
        <x:v>bəʾēr šeḇaʿ</x:v>
      </x:c>
      <x:c r="F656" s="16" t="str">
        <x:v>בארשבע</x:v>
      </x:c>
      <x:c r="G656" s="20" t="str">
        <x:v>Beer-Sheba, a place in Palestine</x:v>
      </x:c>
      <x:c r="H656" s="20" t="str"/>
      <x:c r="I656" s="21" t="str">
        <x:v>自編延伸</x:v>
      </x:c>
      <x:c r="J656" s="21"/>
      <x:c r="K656" s="22" t="n">
        <x:v>68</x:v>
      </x:c>
      <x:c r="L656" s="21" t="str">
        <x:v>H884</x:v>
      </x:c>
      <x:c r="M656" s="21" t="str">
        <x:v>proper_name</x:v>
      </x:c>
      <x:c r="N656" s="21" t="str">
        <x:v>是</x:v>
      </x:c>
      <x:c r="O656" s="21" t="str">
        <x:v>地名</x:v>
      </x:c>
      <x:c r="P656" s="21" t="str">
        <x:v>lemma_frequency_verified</x:v>
      </x:c>
      <x:c r="Q656" s="21" t="str">
        <x:v>rule_generated_exception_review</x:v>
      </x:c>
      <x:c r="R656" s="20" t="str">
        <x:v>https://github.com/openscriptures/morphhb</x:v>
      </x:c>
    </x:row>
    <x:row r="657" ht="28" customHeight="1">
      <x:c r="A657" s="21" t="n">
        <x:v>653</x:v>
      </x:c>
      <x:c r="B657" s="21" t="n">
        <x:f>ROUNDUP(A657/20,0)</x:f>
        <x:v>33</x:v>
      </x:c>
      <x:c r="C657" s="21" t="n">
        <x:f>MOD(A657-1,20)+1</x:f>
        <x:v>13</x:v>
      </x:c>
      <x:c r="D657" s="18" t="str">
        <x:v>בּוֹר</x:v>
      </x:c>
      <x:c r="E657" s="19" t="str">
        <x:v>bôr</x:v>
      </x:c>
      <x:c r="F657" s="16" t="str">
        <x:v>בור</x:v>
      </x:c>
      <x:c r="G657" s="20" t="str">
        <x:v>a pit hole (especially one used as a cistern or a prison)</x:v>
      </x:c>
      <x:c r="H657" s="20" t="str"/>
      <x:c r="I657" s="21" t="str">
        <x:v>自編延伸</x:v>
      </x:c>
      <x:c r="J657" s="21"/>
      <x:c r="K657" s="22" t="n">
        <x:v>68</x:v>
      </x:c>
      <x:c r="L657" s="21" t="str">
        <x:v>H953</x:v>
      </x:c>
      <x:c r="M657" s="21" t="str">
        <x:v>noun</x:v>
      </x:c>
      <x:c r="N657" s="21" t="str">
        <x:v>否</x:v>
      </x:c>
      <x:c r="O657" s="21" t="str"/>
      <x:c r="P657" s="21" t="str">
        <x:v>lemma_frequency_verified</x:v>
      </x:c>
      <x:c r="Q657" s="21" t="str">
        <x:v>rule_generated_exception_review</x:v>
      </x:c>
      <x:c r="R657" s="20" t="str">
        <x:v>https://github.com/openscriptures/morphhb</x:v>
      </x:c>
    </x:row>
    <x:row r="658" ht="28" customHeight="1">
      <x:c r="A658" s="21" t="n">
        <x:v>654</x:v>
      </x:c>
      <x:c r="B658" s="21" t="n">
        <x:f>ROUNDUP(A658/20,0)</x:f>
        <x:v>33</x:v>
      </x:c>
      <x:c r="C658" s="21" t="n">
        <x:f>MOD(A658-1,20)+1</x:f>
        <x:v>14</x:v>
      </x:c>
      <x:c r="D658" s="18" t="str">
        <x:v>כִּכָּר</x:v>
      </x:c>
      <x:c r="E658" s="19" t="str">
        <x:v>kikkār</x:v>
      </x:c>
      <x:c r="F658" s="16" t="str">
        <x:v>ככר</x:v>
      </x:c>
      <x:c r="G658" s="20" t="str">
        <x:v>a circle, i.e. (by implication) a circumjacent tract or region, especially the Ghor or valley of the Jordan; also a (round) loaf; also a talent (or large [round] coin)</x:v>
      </x:c>
      <x:c r="H658" s="20" t="str"/>
      <x:c r="I658" s="21" t="str">
        <x:v>自編延伸</x:v>
      </x:c>
      <x:c r="J658" s="21"/>
      <x:c r="K658" s="22" t="n">
        <x:v>68</x:v>
      </x:c>
      <x:c r="L658" s="21" t="str">
        <x:v>H3603</x:v>
      </x:c>
      <x:c r="M658" s="21" t="str">
        <x:v>noun</x:v>
      </x:c>
      <x:c r="N658" s="21" t="str">
        <x:v>否</x:v>
      </x:c>
      <x:c r="O658" s="21" t="str"/>
      <x:c r="P658" s="21" t="str">
        <x:v>lemma_frequency_verified</x:v>
      </x:c>
      <x:c r="Q658" s="21" t="str">
        <x:v>rule_generated_exception_review</x:v>
      </x:c>
      <x:c r="R658" s="20" t="str">
        <x:v>https://github.com/openscriptures/morphhb</x:v>
      </x:c>
    </x:row>
    <x:row r="659" ht="28" customHeight="1">
      <x:c r="A659" s="21" t="n">
        <x:v>655</x:v>
      </x:c>
      <x:c r="B659" s="21" t="n">
        <x:f>ROUNDUP(A659/20,0)</x:f>
        <x:v>33</x:v>
      </x:c>
      <x:c r="C659" s="21" t="n">
        <x:f>MOD(A659-1,20)+1</x:f>
        <x:v>15</x:v>
      </x:c>
      <x:c r="D659" s="18" t="str">
        <x:v>פּוּץ</x:v>
      </x:c>
      <x:c r="E659" s="19" t="str">
        <x:v>pûṣ</x:v>
      </x:c>
      <x:c r="F659" s="16" t="str">
        <x:v>פוץ</x:v>
      </x:c>
      <x:c r="G659" s="20" t="str">
        <x:v>to dash in pieces, literally or figuratively (especially to disperse)</x:v>
      </x:c>
      <x:c r="H659" s="20" t="str"/>
      <x:c r="I659" s="21" t="str">
        <x:v>自編延伸</x:v>
      </x:c>
      <x:c r="J659" s="21"/>
      <x:c r="K659" s="22" t="n">
        <x:v>68</x:v>
      </x:c>
      <x:c r="L659" s="21" t="str">
        <x:v>H6327</x:v>
      </x:c>
      <x:c r="M659" s="21" t="str">
        <x:v>verb</x:v>
      </x:c>
      <x:c r="N659" s="21" t="str">
        <x:v>否</x:v>
      </x:c>
      <x:c r="O659" s="21" t="str"/>
      <x:c r="P659" s="21" t="str">
        <x:v>lemma_frequency_verified</x:v>
      </x:c>
      <x:c r="Q659" s="21" t="str">
        <x:v>rule_generated_exception_review</x:v>
      </x:c>
      <x:c r="R659" s="20" t="str">
        <x:v>https://github.com/openscriptures/morphhb</x:v>
      </x:c>
    </x:row>
    <x:row r="660" ht="28" customHeight="1">
      <x:c r="A660" s="21" t="n">
        <x:v>656</x:v>
      </x:c>
      <x:c r="B660" s="21" t="n">
        <x:f>ROUNDUP(A660/20,0)</x:f>
        <x:v>33</x:v>
      </x:c>
      <x:c r="C660" s="21" t="n">
        <x:f>MOD(A660-1,20)+1</x:f>
        <x:v>16</x:v>
      </x:c>
      <x:c r="D660" s="18" t="str">
        <x:v>כָּתֵף</x:v>
      </x:c>
      <x:c r="E660" s="19" t="str">
        <x:v>kāṯēp̄</x:v>
      </x:c>
      <x:c r="F660" s="16" t="str">
        <x:v>כתף</x:v>
      </x:c>
      <x:c r="G660" s="20" t="str">
        <x:v>the shoulder (proper, i.e. upper end of the arm; as being the spot where the garments hang); figuratively, side-piece or lateral projection of anything</x:v>
      </x:c>
      <x:c r="H660" s="20" t="str"/>
      <x:c r="I660" s="21" t="str">
        <x:v>自編延伸</x:v>
      </x:c>
      <x:c r="J660" s="21"/>
      <x:c r="K660" s="22" t="n">
        <x:v>67</x:v>
      </x:c>
      <x:c r="L660" s="21" t="str">
        <x:v>H3802</x:v>
      </x:c>
      <x:c r="M660" s="21" t="str">
        <x:v>noun</x:v>
      </x:c>
      <x:c r="N660" s="21" t="str">
        <x:v>否</x:v>
      </x:c>
      <x:c r="O660" s="21" t="str"/>
      <x:c r="P660" s="21" t="str">
        <x:v>lemma_frequency_verified</x:v>
      </x:c>
      <x:c r="Q660" s="21" t="str">
        <x:v>rule_generated_exception_review</x:v>
      </x:c>
      <x:c r="R660" s="20" t="str">
        <x:v>https://github.com/openscriptures/morphhb</x:v>
      </x:c>
    </x:row>
    <x:row r="661" ht="28" customHeight="1">
      <x:c r="A661" s="21" t="n">
        <x:v>657</x:v>
      </x:c>
      <x:c r="B661" s="21" t="n">
        <x:f>ROUNDUP(A661/20,0)</x:f>
        <x:v>33</x:v>
      </x:c>
      <x:c r="C661" s="21" t="n">
        <x:f>MOD(A661-1,20)+1</x:f>
        <x:v>17</x:v>
      </x:c>
      <x:c r="D661" s="18" t="str">
        <x:v>אֲבִימֶלֶךְ</x:v>
      </x:c>
      <x:c r="E661" s="19" t="str">
        <x:v>ʾăḇîmeleḵ</x:v>
      </x:c>
      <x:c r="F661" s="16" t="str">
        <x:v>אבימלך</x:v>
      </x:c>
      <x:c r="G661" s="20" t="str">
        <x:v>Abimelek, the name of two Philistine kings and of two Israelites</x:v>
      </x:c>
      <x:c r="H661" s="20" t="str"/>
      <x:c r="I661" s="21" t="str">
        <x:v>自編延伸</x:v>
      </x:c>
      <x:c r="J661" s="21"/>
      <x:c r="K661" s="22" t="n">
        <x:v>67</x:v>
      </x:c>
      <x:c r="L661" s="21" t="str">
        <x:v>H40</x:v>
      </x:c>
      <x:c r="M661" s="21" t="str">
        <x:v>proper_name</x:v>
      </x:c>
      <x:c r="N661" s="21" t="str">
        <x:v>是</x:v>
      </x:c>
      <x:c r="O661" s="21" t="str">
        <x:v>人名</x:v>
      </x:c>
      <x:c r="P661" s="21" t="str">
        <x:v>lemma_frequency_verified</x:v>
      </x:c>
      <x:c r="Q661" s="21" t="str">
        <x:v>rule_generated_exception_review</x:v>
      </x:c>
      <x:c r="R661" s="20" t="str">
        <x:v>https://github.com/openscriptures/morphhb</x:v>
      </x:c>
    </x:row>
    <x:row r="662" ht="28" customHeight="1">
      <x:c r="A662" s="21" t="n">
        <x:v>658</x:v>
      </x:c>
      <x:c r="B662" s="21" t="n">
        <x:f>ROUNDUP(A662/20,0)</x:f>
        <x:v>33</x:v>
      </x:c>
      <x:c r="C662" s="21" t="n">
        <x:f>MOD(A662-1,20)+1</x:f>
        <x:v>18</x:v>
      </x:c>
      <x:c r="D662" s="18" t="str">
        <x:v>פָּרַשׂ</x:v>
      </x:c>
      <x:c r="E662" s="19" t="str">
        <x:v>pāraś</x:v>
      </x:c>
      <x:c r="F662" s="16" t="str">
        <x:v>פרש</x:v>
      </x:c>
      <x:c r="G662" s="20" t="str">
        <x:v>to break apart, disperse, etc.</x:v>
      </x:c>
      <x:c r="H662" s="20" t="str"/>
      <x:c r="I662" s="21" t="str">
        <x:v>自編延伸</x:v>
      </x:c>
      <x:c r="J662" s="21"/>
      <x:c r="K662" s="22" t="n">
        <x:v>67</x:v>
      </x:c>
      <x:c r="L662" s="21" t="str">
        <x:v>H6566</x:v>
      </x:c>
      <x:c r="M662" s="21" t="str">
        <x:v>verb</x:v>
      </x:c>
      <x:c r="N662" s="21" t="str">
        <x:v>否</x:v>
      </x:c>
      <x:c r="O662" s="21" t="str"/>
      <x:c r="P662" s="21" t="str">
        <x:v>lemma_frequency_verified</x:v>
      </x:c>
      <x:c r="Q662" s="21" t="str">
        <x:v>rule_generated_exception_review</x:v>
      </x:c>
      <x:c r="R662" s="20" t="str">
        <x:v>https://github.com/openscriptures/morphhb</x:v>
      </x:c>
    </x:row>
    <x:row r="663" ht="28" customHeight="1">
      <x:c r="A663" s="21" t="n">
        <x:v>659</x:v>
      </x:c>
      <x:c r="B663" s="21" t="n">
        <x:f>ROUNDUP(A663/20,0)</x:f>
        <x:v>33</x:v>
      </x:c>
      <x:c r="C663" s="21" t="n">
        <x:f>MOD(A663-1,20)+1</x:f>
        <x:v>19</x:v>
      </x:c>
      <x:c r="D663" s="18" t="str">
        <x:v>קֵץ</x:v>
      </x:c>
      <x:c r="E663" s="19" t="str">
        <x:v>qēṣ</x:v>
      </x:c>
      <x:c r="F663" s="16" t="str">
        <x:v>קץ</x:v>
      </x:c>
      <x:c r="G663" s="20" t="str">
        <x:v>an extremity; adverbially (with prepositional prefix) after</x:v>
      </x:c>
      <x:c r="H663" s="20" t="str"/>
      <x:c r="I663" s="21" t="str">
        <x:v>自編延伸</x:v>
      </x:c>
      <x:c r="J663" s="21"/>
      <x:c r="K663" s="22" t="n">
        <x:v>67</x:v>
      </x:c>
      <x:c r="L663" s="21" t="str">
        <x:v>H7093</x:v>
      </x:c>
      <x:c r="M663" s="21" t="str">
        <x:v>noun</x:v>
      </x:c>
      <x:c r="N663" s="21" t="str">
        <x:v>否</x:v>
      </x:c>
      <x:c r="O663" s="21" t="str"/>
      <x:c r="P663" s="21" t="str">
        <x:v>lemma_frequency_verified</x:v>
      </x:c>
      <x:c r="Q663" s="21" t="str">
        <x:v>rule_generated_exception_review</x:v>
      </x:c>
      <x:c r="R663" s="20" t="str">
        <x:v>https://github.com/openscriptures/morphhb</x:v>
      </x:c>
    </x:row>
    <x:row r="664" ht="28" customHeight="1">
      <x:c r="A664" s="21" t="n">
        <x:v>660</x:v>
      </x:c>
      <x:c r="B664" s="21" t="n">
        <x:f>ROUNDUP(A664/20,0)</x:f>
        <x:v>33</x:v>
      </x:c>
      <x:c r="C664" s="21" t="n">
        <x:f>MOD(A664-1,20)+1</x:f>
        <x:v>20</x:v>
      </x:c>
      <x:c r="D664" s="18" t="str">
        <x:v>חֵלֶק</x:v>
      </x:c>
      <x:c r="E664" s="19" t="str">
        <x:v>ḥēleq</x:v>
      </x:c>
      <x:c r="F664" s="16" t="str">
        <x:v>חלק</x:v>
      </x:c>
      <x:c r="G664" s="20" t="str">
        <x:v>properly, smoothness (of the tongue); also an allotment</x:v>
      </x:c>
      <x:c r="H664" s="20" t="str"/>
      <x:c r="I664" s="21" t="str">
        <x:v>自編延伸</x:v>
      </x:c>
      <x:c r="J664" s="21"/>
      <x:c r="K664" s="22" t="n">
        <x:v>67</x:v>
      </x:c>
      <x:c r="L664" s="21" t="str">
        <x:v>H2506</x:v>
      </x:c>
      <x:c r="M664" s="21" t="str">
        <x:v>noun</x:v>
      </x:c>
      <x:c r="N664" s="21" t="str">
        <x:v>否</x:v>
      </x:c>
      <x:c r="O664" s="21" t="str"/>
      <x:c r="P664" s="21" t="str">
        <x:v>lemma_frequency_verified</x:v>
      </x:c>
      <x:c r="Q664" s="21" t="str">
        <x:v>rule_generated_exception_review</x:v>
      </x:c>
      <x:c r="R664" s="20" t="str">
        <x:v>https://github.com/openscriptures/morphhb</x:v>
      </x:c>
    </x:row>
    <x:row r="665" ht="28" customHeight="1">
      <x:c r="A665" s="21" t="n">
        <x:v>661</x:v>
      </x:c>
      <x:c r="B665" s="21" t="n">
        <x:f>ROUNDUP(A665/20,0)</x:f>
        <x:v>34</x:v>
      </x:c>
      <x:c r="C665" s="21" t="n">
        <x:f>MOD(A665-1,20)+1</x:f>
        <x:v>1</x:v>
      </x:c>
      <x:c r="D665" s="18" t="str">
        <x:v>קֶבֶר</x:v>
      </x:c>
      <x:c r="E665" s="19" t="str">
        <x:v>qeḇer</x:v>
      </x:c>
      <x:c r="F665" s="16" t="str">
        <x:v>קבר</x:v>
      </x:c>
      <x:c r="G665" s="20" t="str">
        <x:v>a sepulchre</x:v>
      </x:c>
      <x:c r="H665" s="20" t="str"/>
      <x:c r="I665" s="21" t="str">
        <x:v>自編延伸</x:v>
      </x:c>
      <x:c r="J665" s="21"/>
      <x:c r="K665" s="22" t="n">
        <x:v>67</x:v>
      </x:c>
      <x:c r="L665" s="21" t="str">
        <x:v>H6913</x:v>
      </x:c>
      <x:c r="M665" s="21" t="str">
        <x:v>noun</x:v>
      </x:c>
      <x:c r="N665" s="21" t="str">
        <x:v>否</x:v>
      </x:c>
      <x:c r="O665" s="21" t="str"/>
      <x:c r="P665" s="21" t="str">
        <x:v>lemma_frequency_verified</x:v>
      </x:c>
      <x:c r="Q665" s="21" t="str">
        <x:v>rule_generated_exception_review</x:v>
      </x:c>
      <x:c r="R665" s="20" t="str">
        <x:v>https://github.com/openscriptures/morphhb</x:v>
      </x:c>
    </x:row>
    <x:row r="666" ht="28" customHeight="1">
      <x:c r="A666" s="21" t="n">
        <x:v>662</x:v>
      </x:c>
      <x:c r="B666" s="21" t="n">
        <x:f>ROUNDUP(A666/20,0)</x:f>
        <x:v>34</x:v>
      </x:c>
      <x:c r="C666" s="21" t="n">
        <x:f>MOD(A666-1,20)+1</x:f>
        <x:v>2</x:v>
      </x:c>
      <x:c r="D666" s="18" t="str">
        <x:v>שְׁאֵרִית</x:v>
      </x:c>
      <x:c r="E666" s="19" t="str">
        <x:v>šəʾērîṯ</x:v>
      </x:c>
      <x:c r="F666" s="16" t="str">
        <x:v>שארית</x:v>
      </x:c>
      <x:c r="G666" s="20" t="str">
        <x:v>a remainder or residual (surviving, final) portion</x:v>
      </x:c>
      <x:c r="H666" s="20" t="str"/>
      <x:c r="I666" s="21" t="str">
        <x:v>自編延伸</x:v>
      </x:c>
      <x:c r="J666" s="21"/>
      <x:c r="K666" s="22" t="n">
        <x:v>66</x:v>
      </x:c>
      <x:c r="L666" s="21" t="str">
        <x:v>H7611</x:v>
      </x:c>
      <x:c r="M666" s="21" t="str">
        <x:v>noun</x:v>
      </x:c>
      <x:c r="N666" s="21" t="str">
        <x:v>否</x:v>
      </x:c>
      <x:c r="O666" s="21" t="str"/>
      <x:c r="P666" s="21" t="str">
        <x:v>lemma_frequency_verified</x:v>
      </x:c>
      <x:c r="Q666" s="21" t="str">
        <x:v>rule_generated_exception_review</x:v>
      </x:c>
      <x:c r="R666" s="20" t="str">
        <x:v>https://github.com/openscriptures/morphhb</x:v>
      </x:c>
    </x:row>
    <x:row r="667" ht="28" customHeight="1">
      <x:c r="A667" s="21" t="n">
        <x:v>663</x:v>
      </x:c>
      <x:c r="B667" s="21" t="n">
        <x:f>ROUNDUP(A667/20,0)</x:f>
        <x:v>34</x:v>
      </x:c>
      <x:c r="C667" s="21" t="n">
        <x:f>MOD(A667-1,20)+1</x:f>
        <x:v>3</x:v>
      </x:c>
      <x:c r="D667" s="18" t="str">
        <x:v>אֲחֻזָּה</x:v>
      </x:c>
      <x:c r="E667" s="19" t="str">
        <x:v>ʾăḥuzzâ</x:v>
      </x:c>
      <x:c r="F667" s="16" t="str">
        <x:v>אחזה</x:v>
      </x:c>
      <x:c r="G667" s="20" t="str">
        <x:v>something seized, i.e. a possession (especially of land)</x:v>
      </x:c>
      <x:c r="H667" s="20" t="str"/>
      <x:c r="I667" s="21" t="str">
        <x:v>自編延伸</x:v>
      </x:c>
      <x:c r="J667" s="21"/>
      <x:c r="K667" s="22" t="n">
        <x:v>66</x:v>
      </x:c>
      <x:c r="L667" s="21" t="str">
        <x:v>H272</x:v>
      </x:c>
      <x:c r="M667" s="21" t="str">
        <x:v>noun</x:v>
      </x:c>
      <x:c r="N667" s="21" t="str">
        <x:v>否</x:v>
      </x:c>
      <x:c r="O667" s="21" t="str"/>
      <x:c r="P667" s="21" t="str">
        <x:v>lemma_frequency_verified</x:v>
      </x:c>
      <x:c r="Q667" s="21" t="str">
        <x:v>rule_generated_exception_review</x:v>
      </x:c>
      <x:c r="R667" s="20" t="str">
        <x:v>https://github.com/openscriptures/morphhb</x:v>
      </x:c>
    </x:row>
    <x:row r="668" ht="28" customHeight="1">
      <x:c r="A668" s="21" t="n">
        <x:v>664</x:v>
      </x:c>
      <x:c r="B668" s="21" t="n">
        <x:f>ROUNDUP(A668/20,0)</x:f>
        <x:v>34</x:v>
      </x:c>
      <x:c r="C668" s="21" t="n">
        <x:f>MOD(A668-1,20)+1</x:f>
        <x:v>4</x:v>
      </x:c>
      <x:c r="D668" s="18" t="str">
        <x:v>שְׁאוֹל</x:v>
      </x:c>
      <x:c r="E668" s="19" t="str">
        <x:v>šəʾôl</x:v>
      </x:c>
      <x:c r="F668" s="16" t="str">
        <x:v>שאול</x:v>
      </x:c>
      <x:c r="G668" s="20" t="str">
        <x:v>Hades or the world of the dead (as if a subterranean retreat), including its accessories and inmates</x:v>
      </x:c>
      <x:c r="H668" s="20" t="str"/>
      <x:c r="I668" s="21" t="str">
        <x:v>自編延伸</x:v>
      </x:c>
      <x:c r="J668" s="21"/>
      <x:c r="K668" s="22" t="n">
        <x:v>66</x:v>
      </x:c>
      <x:c r="L668" s="21" t="str">
        <x:v>H7585</x:v>
      </x:c>
      <x:c r="M668" s="21" t="str">
        <x:v>proper_name</x:v>
      </x:c>
      <x:c r="N668" s="21" t="str">
        <x:v>是</x:v>
      </x:c>
      <x:c r="O668" s="21" t="str">
        <x:v>地名</x:v>
      </x:c>
      <x:c r="P668" s="21" t="str">
        <x:v>lemma_frequency_verified</x:v>
      </x:c>
      <x:c r="Q668" s="21" t="str">
        <x:v>rule_generated_exception_review</x:v>
      </x:c>
      <x:c r="R668" s="20" t="str">
        <x:v>https://github.com/openscriptures/morphhb</x:v>
      </x:c>
    </x:row>
    <x:row r="669" ht="28" customHeight="1">
      <x:c r="A669" s="21" t="n">
        <x:v>665</x:v>
      </x:c>
      <x:c r="B669" s="21" t="n">
        <x:f>ROUNDUP(A669/20,0)</x:f>
        <x:v>34</x:v>
      </x:c>
      <x:c r="C669" s="21" t="n">
        <x:f>MOD(A669-1,20)+1</x:f>
        <x:v>5</x:v>
      </x:c>
      <x:c r="D669" s="18" t="str">
        <x:v>בָּרַח</x:v>
      </x:c>
      <x:c r="E669" s="19" t="str">
        <x:v>bāraḥ</x:v>
      </x:c>
      <x:c r="F669" s="16" t="str">
        <x:v>ברח</x:v>
      </x:c>
      <x:c r="G669" s="20" t="str">
        <x:v>to bolt, i.e. figuratively, to flee suddenly</x:v>
      </x:c>
      <x:c r="H669" s="20" t="str"/>
      <x:c r="I669" s="21" t="str">
        <x:v>自編延伸</x:v>
      </x:c>
      <x:c r="J669" s="21"/>
      <x:c r="K669" s="22" t="n">
        <x:v>65</x:v>
      </x:c>
      <x:c r="L669" s="21" t="str">
        <x:v>H1272</x:v>
      </x:c>
      <x:c r="M669" s="21" t="str">
        <x:v>verb</x:v>
      </x:c>
      <x:c r="N669" s="21" t="str">
        <x:v>否</x:v>
      </x:c>
      <x:c r="O669" s="21" t="str"/>
      <x:c r="P669" s="21" t="str">
        <x:v>lemma_frequency_verified</x:v>
      </x:c>
      <x:c r="Q669" s="21" t="str">
        <x:v>rule_generated_exception_review</x:v>
      </x:c>
      <x:c r="R669" s="20" t="str">
        <x:v>https://github.com/openscriptures/morphhb</x:v>
      </x:c>
    </x:row>
    <x:row r="670" ht="28" customHeight="1">
      <x:c r="A670" s="21" t="n">
        <x:v>666</x:v>
      </x:c>
      <x:c r="B670" s="21" t="n">
        <x:f>ROUNDUP(A670/20,0)</x:f>
        <x:v>34</x:v>
      </x:c>
      <x:c r="C670" s="21" t="n">
        <x:f>MOD(A670-1,20)+1</x:f>
        <x:v>6</x:v>
      </x:c>
      <x:c r="D670" s="18" t="str">
        <x:v>נָצַח</x:v>
      </x:c>
      <x:c r="E670" s="19" t="str">
        <x:v>nāṣaḥ</x:v>
      </x:c>
      <x:c r="F670" s="16" t="str">
        <x:v>נצח</x:v>
      </x:c>
      <x:c r="G670" s="20" t="str">
        <x:v>properly, to glitter from afar, i.e. to be eminent (as a superintendent, especially of the Temple services and its music); to be permanent</x:v>
      </x:c>
      <x:c r="H670" s="20" t="str"/>
      <x:c r="I670" s="21" t="str">
        <x:v>自編延伸</x:v>
      </x:c>
      <x:c r="J670" s="21"/>
      <x:c r="K670" s="22" t="n">
        <x:v>65</x:v>
      </x:c>
      <x:c r="L670" s="21" t="str">
        <x:v>H5329</x:v>
      </x:c>
      <x:c r="M670" s="21" t="str">
        <x:v>verb</x:v>
      </x:c>
      <x:c r="N670" s="21" t="str">
        <x:v>否</x:v>
      </x:c>
      <x:c r="O670" s="21" t="str"/>
      <x:c r="P670" s="21" t="str">
        <x:v>lemma_frequency_verified</x:v>
      </x:c>
      <x:c r="Q670" s="21" t="str">
        <x:v>rule_generated_exception_review</x:v>
      </x:c>
      <x:c r="R670" s="20" t="str">
        <x:v>https://github.com/openscriptures/morphhb</x:v>
      </x:c>
    </x:row>
    <x:row r="671" ht="28" customHeight="1">
      <x:c r="A671" s="21" t="n">
        <x:v>667</x:v>
      </x:c>
      <x:c r="B671" s="21" t="n">
        <x:f>ROUNDUP(A671/20,0)</x:f>
        <x:v>34</x:v>
      </x:c>
      <x:c r="C671" s="21" t="n">
        <x:f>MOD(A671-1,20)+1</x:f>
        <x:v>7</x:v>
      </x:c>
      <x:c r="D671" s="18" t="str">
        <x:v>מַשָּׂא</x:v>
      </x:c>
      <x:c r="E671" s="19" t="str">
        <x:v>maśśāʾ</x:v>
      </x:c>
      <x:c r="F671" s="16" t="str">
        <x:v>משא</x:v>
      </x:c>
      <x:c r="G671" s="20" t="str">
        <x:v>a burden; specifically, tribute, or (abstractly) porterage; figuratively, an utterance, chiefly adoom, especially singing; mental, desire</x:v>
      </x:c>
      <x:c r="H671" s="20" t="str"/>
      <x:c r="I671" s="21" t="str">
        <x:v>自編延伸</x:v>
      </x:c>
      <x:c r="J671" s="21"/>
      <x:c r="K671" s="22" t="n">
        <x:v>65</x:v>
      </x:c>
      <x:c r="L671" s="21" t="str">
        <x:v>H4853</x:v>
      </x:c>
      <x:c r="M671" s="21" t="str">
        <x:v>noun</x:v>
      </x:c>
      <x:c r="N671" s="21" t="str">
        <x:v>否</x:v>
      </x:c>
      <x:c r="O671" s="21" t="str"/>
      <x:c r="P671" s="21" t="str">
        <x:v>lemma_frequency_verified</x:v>
      </x:c>
      <x:c r="Q671" s="21" t="str">
        <x:v>rule_generated_exception_review</x:v>
      </x:c>
      <x:c r="R671" s="20" t="str">
        <x:v>https://github.com/openscriptures/morphhb</x:v>
      </x:c>
    </x:row>
    <x:row r="672" ht="28" customHeight="1">
      <x:c r="A672" s="21" t="n">
        <x:v>668</x:v>
      </x:c>
      <x:c r="B672" s="21" t="n">
        <x:f>ROUNDUP(A672/20,0)</x:f>
        <x:v>34</x:v>
      </x:c>
      <x:c r="C672" s="21" t="n">
        <x:f>MOD(A672-1,20)+1</x:f>
        <x:v>8</x:v>
      </x:c>
      <x:c r="D672" s="18" t="str">
        <x:v>חָלַק</x:v>
      </x:c>
      <x:c r="E672" s="19" t="str">
        <x:v>ḥālaq</x:v>
      </x:c>
      <x:c r="F672" s="16" t="str">
        <x:v>חלק</x:v>
      </x:c>
      <x:c r="G672" s="20" t="str">
        <x:v>to be smooth (figuratively); by implication (as smooth stones were used for lots) to apportion or separate</x:v>
      </x:c>
      <x:c r="H672" s="20" t="str"/>
      <x:c r="I672" s="21" t="str">
        <x:v>自編延伸</x:v>
      </x:c>
      <x:c r="J672" s="21"/>
      <x:c r="K672" s="22" t="n">
        <x:v>65</x:v>
      </x:c>
      <x:c r="L672" s="21" t="str">
        <x:v>H2505</x:v>
      </x:c>
      <x:c r="M672" s="21" t="str">
        <x:v>verb</x:v>
      </x:c>
      <x:c r="N672" s="21" t="str">
        <x:v>否</x:v>
      </x:c>
      <x:c r="O672" s="21" t="str"/>
      <x:c r="P672" s="21" t="str">
        <x:v>lemma_frequency_verified</x:v>
      </x:c>
      <x:c r="Q672" s="21" t="str">
        <x:v>rule_generated_exception_review</x:v>
      </x:c>
      <x:c r="R672" s="20" t="str">
        <x:v>https://github.com/openscriptures/morphhb</x:v>
      </x:c>
    </x:row>
    <x:row r="673" ht="28" customHeight="1">
      <x:c r="A673" s="21" t="n">
        <x:v>669</x:v>
      </x:c>
      <x:c r="B673" s="21" t="n">
        <x:f>ROUNDUP(A673/20,0)</x:f>
        <x:v>34</x:v>
      </x:c>
      <x:c r="C673" s="21" t="n">
        <x:f>MOD(A673-1,20)+1</x:f>
        <x:v>9</x:v>
      </x:c>
      <x:c r="D673" s="18" t="str">
        <x:v>צָלַח</x:v>
      </x:c>
      <x:c r="E673" s="19" t="str">
        <x:v>ṣālaḥ</x:v>
      </x:c>
      <x:c r="F673" s="16" t="str">
        <x:v>צלח</x:v>
      </x:c>
      <x:c r="G673" s="20" t="str">
        <x:v>to push forward, in various senses (literal or figurative, transitive or intransitive)</x:v>
      </x:c>
      <x:c r="H673" s="20" t="str"/>
      <x:c r="I673" s="21" t="str">
        <x:v>自編延伸</x:v>
      </x:c>
      <x:c r="J673" s="21"/>
      <x:c r="K673" s="22" t="n">
        <x:v>65</x:v>
      </x:c>
      <x:c r="L673" s="21" t="str">
        <x:v>H6743</x:v>
      </x:c>
      <x:c r="M673" s="21" t="str">
        <x:v>verb</x:v>
      </x:c>
      <x:c r="N673" s="21" t="str">
        <x:v>否</x:v>
      </x:c>
      <x:c r="O673" s="21" t="str"/>
      <x:c r="P673" s="21" t="str">
        <x:v>lemma_frequency_verified</x:v>
      </x:c>
      <x:c r="Q673" s="21" t="str">
        <x:v>rule_generated_exception_review</x:v>
      </x:c>
      <x:c r="R673" s="20" t="str">
        <x:v>https://github.com/openscriptures/morphhb</x:v>
      </x:c>
    </x:row>
    <x:row r="674" ht="28" customHeight="1">
      <x:c r="A674" s="21" t="n">
        <x:v>670</x:v>
      </x:c>
      <x:c r="B674" s="21" t="n">
        <x:f>ROUNDUP(A674/20,0)</x:f>
        <x:v>34</x:v>
      </x:c>
      <x:c r="C674" s="21" t="n">
        <x:f>MOD(A674-1,20)+1</x:f>
        <x:v>10</x:v>
      </x:c>
      <x:c r="D674" s="18" t="str">
        <x:v>גֶּבֶר</x:v>
      </x:c>
      <x:c r="E674" s="19" t="str">
        <x:v>geḇer</x:v>
      </x:c>
      <x:c r="F674" s="16" t="str">
        <x:v>גבר</x:v>
      </x:c>
      <x:c r="G674" s="20" t="str">
        <x:v>properly, a valiant man or warrior; generally, a person simply</x:v>
      </x:c>
      <x:c r="H674" s="20" t="str"/>
      <x:c r="I674" s="21" t="str">
        <x:v>自編延伸</x:v>
      </x:c>
      <x:c r="J674" s="21"/>
      <x:c r="K674" s="22" t="n">
        <x:v>65</x:v>
      </x:c>
      <x:c r="L674" s="21" t="str">
        <x:v>H1397</x:v>
      </x:c>
      <x:c r="M674" s="21" t="str">
        <x:v>noun</x:v>
      </x:c>
      <x:c r="N674" s="21" t="str">
        <x:v>否</x:v>
      </x:c>
      <x:c r="O674" s="21" t="str"/>
      <x:c r="P674" s="21" t="str">
        <x:v>lemma_frequency_verified</x:v>
      </x:c>
      <x:c r="Q674" s="21" t="str">
        <x:v>rule_generated_exception_review</x:v>
      </x:c>
      <x:c r="R674" s="20" t="str">
        <x:v>https://github.com/openscriptures/morphhb</x:v>
      </x:c>
    </x:row>
    <x:row r="675" ht="28" customHeight="1">
      <x:c r="A675" s="21" t="n">
        <x:v>671</x:v>
      </x:c>
      <x:c r="B675" s="21" t="n">
        <x:f>ROUNDUP(A675/20,0)</x:f>
        <x:v>34</x:v>
      </x:c>
      <x:c r="C675" s="21" t="n">
        <x:f>MOD(A675-1,20)+1</x:f>
        <x:v>11</x:v>
      </x:c>
      <x:c r="D675" s="18" t="str">
        <x:v>תָּפַשׂ</x:v>
      </x:c>
      <x:c r="E675" s="19" t="str">
        <x:v>tāp̄aś</x:v>
      </x:c>
      <x:c r="F675" s="16" t="str">
        <x:v>תפש</x:v>
      </x:c>
      <x:c r="G675" s="20" t="str">
        <x:v>to manipulate, i.e. seize; chiefly to capture, wield, specifically, to overlay; figuratively, to use unwarrantably</x:v>
      </x:c>
      <x:c r="H675" s="20" t="str"/>
      <x:c r="I675" s="21" t="str">
        <x:v>自編延伸</x:v>
      </x:c>
      <x:c r="J675" s="21"/>
      <x:c r="K675" s="22" t="n">
        <x:v>65</x:v>
      </x:c>
      <x:c r="L675" s="21" t="str">
        <x:v>H8610</x:v>
      </x:c>
      <x:c r="M675" s="21" t="str">
        <x:v>verb</x:v>
      </x:c>
      <x:c r="N675" s="21" t="str">
        <x:v>否</x:v>
      </x:c>
      <x:c r="O675" s="21" t="str"/>
      <x:c r="P675" s="21" t="str">
        <x:v>lemma_frequency_verified</x:v>
      </x:c>
      <x:c r="Q675" s="21" t="str">
        <x:v>rule_generated_exception_review</x:v>
      </x:c>
      <x:c r="R675" s="20" t="str">
        <x:v>https://github.com/openscriptures/morphhb</x:v>
      </x:c>
    </x:row>
    <x:row r="676" ht="28" customHeight="1">
      <x:c r="A676" s="21" t="n">
        <x:v>672</x:v>
      </x:c>
      <x:c r="B676" s="21" t="n">
        <x:f>ROUNDUP(A676/20,0)</x:f>
        <x:v>34</x:v>
      </x:c>
      <x:c r="C676" s="21" t="n">
        <x:f>MOD(A676-1,20)+1</x:f>
        <x:v>12</x:v>
      </x:c>
      <x:c r="D676" s="18" t="str">
        <x:v>שָׁכַם</x:v>
      </x:c>
      <x:c r="E676" s="19" t="str">
        <x:v>šāḵam</x:v>
      </x:c>
      <x:c r="F676" s="16" t="str">
        <x:v>שכם</x:v>
      </x:c>
      <x:c r="G676" s="20" t="str">
        <x:v>literally, to load up (on the back of man or beast), i.e. to start early in the morning</x:v>
      </x:c>
      <x:c r="H676" s="20" t="str"/>
      <x:c r="I676" s="21" t="str">
        <x:v>自編延伸</x:v>
      </x:c>
      <x:c r="J676" s="21"/>
      <x:c r="K676" s="22" t="n">
        <x:v>65</x:v>
      </x:c>
      <x:c r="L676" s="21" t="str">
        <x:v>H7925</x:v>
      </x:c>
      <x:c r="M676" s="21" t="str">
        <x:v>verb</x:v>
      </x:c>
      <x:c r="N676" s="21" t="str">
        <x:v>否</x:v>
      </x:c>
      <x:c r="O676" s="21" t="str"/>
      <x:c r="P676" s="21" t="str">
        <x:v>lemma_frequency_verified</x:v>
      </x:c>
      <x:c r="Q676" s="21" t="str">
        <x:v>rule_generated_exception_review</x:v>
      </x:c>
      <x:c r="R676" s="20" t="str">
        <x:v>https://github.com/openscriptures/morphhb</x:v>
      </x:c>
    </x:row>
    <x:row r="677" ht="28" customHeight="1">
      <x:c r="A677" s="21" t="n">
        <x:v>673</x:v>
      </x:c>
      <x:c r="B677" s="21" t="n">
        <x:f>ROUNDUP(A677/20,0)</x:f>
        <x:v>34</x:v>
      </x:c>
      <x:c r="C677" s="21" t="n">
        <x:f>MOD(A677-1,20)+1</x:f>
        <x:v>13</x:v>
      </x:c>
      <x:c r="D677" s="18" t="str">
        <x:v>כָּשַׁל</x:v>
      </x:c>
      <x:c r="E677" s="19" t="str">
        <x:v>kāšal</x:v>
      </x:c>
      <x:c r="F677" s="16" t="str">
        <x:v>כשל</x:v>
      </x:c>
      <x:c r="G677" s="20" t="str">
        <x:v>to totter or waver (through weakness of the legs, especially the ankle); by implication, to falter, stumble, faint or fall</x:v>
      </x:c>
      <x:c r="H677" s="20" t="str"/>
      <x:c r="I677" s="21" t="str">
        <x:v>自編延伸</x:v>
      </x:c>
      <x:c r="J677" s="21"/>
      <x:c r="K677" s="22" t="n">
        <x:v>65</x:v>
      </x:c>
      <x:c r="L677" s="21" t="str">
        <x:v>H3782</x:v>
      </x:c>
      <x:c r="M677" s="21" t="str">
        <x:v>verb</x:v>
      </x:c>
      <x:c r="N677" s="21" t="str">
        <x:v>否</x:v>
      </x:c>
      <x:c r="O677" s="21" t="str"/>
      <x:c r="P677" s="21" t="str">
        <x:v>lemma_frequency_verified</x:v>
      </x:c>
      <x:c r="Q677" s="21" t="str">
        <x:v>rule_generated_exception_review</x:v>
      </x:c>
      <x:c r="R677" s="20" t="str">
        <x:v>https://github.com/openscriptures/morphhb</x:v>
      </x:c>
    </x:row>
    <x:row r="678" ht="28" customHeight="1">
      <x:c r="A678" s="21" t="n">
        <x:v>674</x:v>
      </x:c>
      <x:c r="B678" s="21" t="n">
        <x:f>ROUNDUP(A678/20,0)</x:f>
        <x:v>34</x:v>
      </x:c>
      <x:c r="C678" s="21" t="n">
        <x:f>MOD(A678-1,20)+1</x:f>
        <x:v>14</x:v>
      </x:c>
      <x:c r="D678" s="18" t="str">
        <x:v>אִשָּׁה</x:v>
      </x:c>
      <x:c r="E678" s="19" t="str">
        <x:v>ʾiššâ</x:v>
      </x:c>
      <x:c r="F678" s="16" t="str">
        <x:v>אשה</x:v>
      </x:c>
      <x:c r="G678" s="20" t="str">
        <x:v>properly, a burnt-offering; but occasionally of any sacrifice</x:v>
      </x:c>
      <x:c r="H678" s="20" t="str"/>
      <x:c r="I678" s="21" t="str">
        <x:v>自編延伸</x:v>
      </x:c>
      <x:c r="J678" s="21"/>
      <x:c r="K678" s="22" t="n">
        <x:v>65</x:v>
      </x:c>
      <x:c r="L678" s="21" t="str">
        <x:v>H801</x:v>
      </x:c>
      <x:c r="M678" s="21" t="str">
        <x:v>noun</x:v>
      </x:c>
      <x:c r="N678" s="21" t="str">
        <x:v>否</x:v>
      </x:c>
      <x:c r="O678" s="21" t="str"/>
      <x:c r="P678" s="21" t="str">
        <x:v>lemma_frequency_verified</x:v>
      </x:c>
      <x:c r="Q678" s="21" t="str">
        <x:v>rule_generated_exception_review</x:v>
      </x:c>
      <x:c r="R678" s="20" t="str">
        <x:v>https://github.com/openscriptures/morphhb</x:v>
      </x:c>
    </x:row>
    <x:row r="679" ht="28" customHeight="1">
      <x:c r="A679" s="21" t="n">
        <x:v>675</x:v>
      </x:c>
      <x:c r="B679" s="21" t="n">
        <x:f>ROUNDUP(A679/20,0)</x:f>
        <x:v>34</x:v>
      </x:c>
      <x:c r="C679" s="21" t="n">
        <x:f>MOD(A679-1,20)+1</x:f>
        <x:v>15</x:v>
      </x:c>
      <x:c r="D679" s="18" t="str">
        <x:v>יְאֹר</x:v>
      </x:c>
      <x:c r="E679" s="19" t="str">
        <x:v>yəʾōr</x:v>
      </x:c>
      <x:c r="F679" s="16" t="str">
        <x:v>יאר</x:v>
      </x:c>
      <x:c r="G679" s="20" t="str">
        <x:v>a channel, e.g. a fosse, canal, shaft; specifically the Nile, as the one river of Egypt, including its collateral trenches; also the Tigris, as the main river of Assyria</x:v>
      </x:c>
      <x:c r="H679" s="20" t="str"/>
      <x:c r="I679" s="21" t="str">
        <x:v>自編延伸</x:v>
      </x:c>
      <x:c r="J679" s="21"/>
      <x:c r="K679" s="22" t="n">
        <x:v>65</x:v>
      </x:c>
      <x:c r="L679" s="21" t="str">
        <x:v>H2975</x:v>
      </x:c>
      <x:c r="M679" s="21" t="str">
        <x:v>proper_name</x:v>
      </x:c>
      <x:c r="N679" s="21" t="str">
        <x:v>是</x:v>
      </x:c>
      <x:c r="O679" s="21" t="str">
        <x:v>地名</x:v>
      </x:c>
      <x:c r="P679" s="21" t="str">
        <x:v>lemma_frequency_verified</x:v>
      </x:c>
      <x:c r="Q679" s="21" t="str">
        <x:v>rule_generated_exception_review</x:v>
      </x:c>
      <x:c r="R679" s="20" t="str">
        <x:v>https://github.com/openscriptures/morphhb</x:v>
      </x:c>
    </x:row>
    <x:row r="680" ht="28" customHeight="1">
      <x:c r="A680" s="21" t="n">
        <x:v>676</x:v>
      </x:c>
      <x:c r="B680" s="21" t="n">
        <x:f>ROUNDUP(A680/20,0)</x:f>
        <x:v>34</x:v>
      </x:c>
      <x:c r="C680" s="21" t="n">
        <x:f>MOD(A680-1,20)+1</x:f>
        <x:v>16</x:v>
      </x:c>
      <x:c r="D680" s="18" t="str">
        <x:v>לֵוִי</x:v>
      </x:c>
      <x:c r="E680" s="19" t="str">
        <x:v>lēwî</x:v>
      </x:c>
      <x:c r="F680" s="16" t="str">
        <x:v>לוי</x:v>
      </x:c>
      <x:c r="G680" s="20" t="str">
        <x:v>Levi, a son of Jacob</x:v>
      </x:c>
      <x:c r="H680" s="20" t="str"/>
      <x:c r="I680" s="21" t="str">
        <x:v>自編延伸</x:v>
      </x:c>
      <x:c r="J680" s="21"/>
      <x:c r="K680" s="22" t="n">
        <x:v>64</x:v>
      </x:c>
      <x:c r="L680" s="21" t="str">
        <x:v>H3878</x:v>
      </x:c>
      <x:c r="M680" s="21" t="str">
        <x:v>proper_name</x:v>
      </x:c>
      <x:c r="N680" s="21" t="str">
        <x:v>是</x:v>
      </x:c>
      <x:c r="O680" s="21" t="str">
        <x:v>人名</x:v>
      </x:c>
      <x:c r="P680" s="21" t="str">
        <x:v>lemma_frequency_verified</x:v>
      </x:c>
      <x:c r="Q680" s="21" t="str">
        <x:v>rule_generated_exception_review</x:v>
      </x:c>
      <x:c r="R680" s="20" t="str">
        <x:v>https://github.com/openscriptures/morphhb</x:v>
      </x:c>
    </x:row>
    <x:row r="681" ht="28" customHeight="1">
      <x:c r="A681" s="21" t="n">
        <x:v>677</x:v>
      </x:c>
      <x:c r="B681" s="21" t="n">
        <x:f>ROUNDUP(A681/20,0)</x:f>
        <x:v>34</x:v>
      </x:c>
      <x:c r="C681" s="21" t="n">
        <x:f>MOD(A681-1,20)+1</x:f>
        <x:v>17</x:v>
      </x:c>
      <x:c r="D681" s="18" t="str">
        <x:v>נֶסֶךְ</x:v>
      </x:c>
      <x:c r="E681" s="19" t="str">
        <x:v>neseḵ</x:v>
      </x:c>
      <x:c r="F681" s="16" t="str">
        <x:v>נסך</x:v>
      </x:c>
      <x:c r="G681" s="20" t="str">
        <x:v>a libation; also a cast idol</x:v>
      </x:c>
      <x:c r="H681" s="20" t="str"/>
      <x:c r="I681" s="21" t="str">
        <x:v>自編延伸</x:v>
      </x:c>
      <x:c r="J681" s="21"/>
      <x:c r="K681" s="22" t="n">
        <x:v>64</x:v>
      </x:c>
      <x:c r="L681" s="21" t="str">
        <x:v>H5262</x:v>
      </x:c>
      <x:c r="M681" s="21" t="str">
        <x:v>noun</x:v>
      </x:c>
      <x:c r="N681" s="21" t="str">
        <x:v>否</x:v>
      </x:c>
      <x:c r="O681" s="21" t="str"/>
      <x:c r="P681" s="21" t="str">
        <x:v>lemma_frequency_verified</x:v>
      </x:c>
      <x:c r="Q681" s="21" t="str">
        <x:v>rule_generated_exception_review</x:v>
      </x:c>
      <x:c r="R681" s="20" t="str">
        <x:v>https://github.com/openscriptures/morphhb</x:v>
      </x:c>
    </x:row>
    <x:row r="682" ht="28" customHeight="1">
      <x:c r="A682" s="21" t="n">
        <x:v>678</x:v>
      </x:c>
      <x:c r="B682" s="21" t="n">
        <x:f>ROUNDUP(A682/20,0)</x:f>
        <x:v>34</x:v>
      </x:c>
      <x:c r="C682" s="21" t="n">
        <x:f>MOD(A682-1,20)+1</x:f>
        <x:v>18</x:v>
      </x:c>
      <x:c r="D682" s="18" t="str">
        <x:v>חֲלוֹם</x:v>
      </x:c>
      <x:c r="E682" s="19" t="str">
        <x:v>ḥălôm</x:v>
      </x:c>
      <x:c r="F682" s="16" t="str">
        <x:v>חלום</x:v>
      </x:c>
      <x:c r="G682" s="20" t="str">
        <x:v>a dream</x:v>
      </x:c>
      <x:c r="H682" s="20" t="str"/>
      <x:c r="I682" s="21" t="str">
        <x:v>自編延伸</x:v>
      </x:c>
      <x:c r="J682" s="21"/>
      <x:c r="K682" s="22" t="n">
        <x:v>64</x:v>
      </x:c>
      <x:c r="L682" s="21" t="str">
        <x:v>H2472</x:v>
      </x:c>
      <x:c r="M682" s="21" t="str">
        <x:v>noun</x:v>
      </x:c>
      <x:c r="N682" s="21" t="str">
        <x:v>否</x:v>
      </x:c>
      <x:c r="O682" s="21" t="str"/>
      <x:c r="P682" s="21" t="str">
        <x:v>lemma_frequency_verified</x:v>
      </x:c>
      <x:c r="Q682" s="21" t="str">
        <x:v>rule_generated_exception_review</x:v>
      </x:c>
      <x:c r="R682" s="20" t="str">
        <x:v>https://github.com/openscriptures/morphhb</x:v>
      </x:c>
    </x:row>
    <x:row r="683" ht="28" customHeight="1">
      <x:c r="A683" s="21" t="n">
        <x:v>679</x:v>
      </x:c>
      <x:c r="B683" s="21" t="n">
        <x:f>ROUNDUP(A683/20,0)</x:f>
        <x:v>34</x:v>
      </x:c>
      <x:c r="C683" s="21" t="n">
        <x:f>MOD(A683-1,20)+1</x:f>
        <x:v>19</x:v>
      </x:c>
      <x:c r="D683" s="18" t="str">
        <x:v>צִדְקִיָּה</x:v>
      </x:c>
      <x:c r="E683" s="19" t="str">
        <x:v>ṣiḏqiyyâ</x:v>
      </x:c>
      <x:c r="F683" s="16" t="str">
        <x:v>צדקיה</x:v>
      </x:c>
      <x:c r="G683" s="20" t="str">
        <x:v>Tsidkijah, the name of six Israelites</x:v>
      </x:c>
      <x:c r="H683" s="20" t="str"/>
      <x:c r="I683" s="21" t="str">
        <x:v>自編延伸</x:v>
      </x:c>
      <x:c r="J683" s="21"/>
      <x:c r="K683" s="22" t="n">
        <x:v>63</x:v>
      </x:c>
      <x:c r="L683" s="21" t="str">
        <x:v>H6667</x:v>
      </x:c>
      <x:c r="M683" s="21" t="str">
        <x:v>proper_name</x:v>
      </x:c>
      <x:c r="N683" s="21" t="str">
        <x:v>是</x:v>
      </x:c>
      <x:c r="O683" s="21" t="str">
        <x:v>人名</x:v>
      </x:c>
      <x:c r="P683" s="21" t="str">
        <x:v>lemma_frequency_verified</x:v>
      </x:c>
      <x:c r="Q683" s="21" t="str">
        <x:v>rule_generated_exception_review</x:v>
      </x:c>
      <x:c r="R683" s="20" t="str">
        <x:v>https://github.com/openscriptures/morphhb</x:v>
      </x:c>
    </x:row>
    <x:row r="684" ht="28" customHeight="1">
      <x:c r="A684" s="21" t="n">
        <x:v>680</x:v>
      </x:c>
      <x:c r="B684" s="21" t="n">
        <x:f>ROUNDUP(A684/20,0)</x:f>
        <x:v>34</x:v>
      </x:c>
      <x:c r="C684" s="21" t="n">
        <x:f>MOD(A684-1,20)+1</x:f>
        <x:v>20</x:v>
      </x:c>
      <x:c r="D684" s="18" t="str">
        <x:v>מָגֵן</x:v>
      </x:c>
      <x:c r="E684" s="19" t="str">
        <x:v>māg̅ēn</x:v>
      </x:c>
      <x:c r="F684" s="16" t="str">
        <x:v>מגן</x:v>
      </x:c>
      <x:c r="G684" s="20" t="str">
        <x:v>a shield (i.e. the small one or buckler); figuratively, a protector; also the scaly hide of the crocodile</x:v>
      </x:c>
      <x:c r="H684" s="20" t="str"/>
      <x:c r="I684" s="21" t="str">
        <x:v>自編延伸</x:v>
      </x:c>
      <x:c r="J684" s="21"/>
      <x:c r="K684" s="22" t="n">
        <x:v>63</x:v>
      </x:c>
      <x:c r="L684" s="21" t="str">
        <x:v>H4043</x:v>
      </x:c>
      <x:c r="M684" s="21" t="str">
        <x:v>noun</x:v>
      </x:c>
      <x:c r="N684" s="21" t="str">
        <x:v>否</x:v>
      </x:c>
      <x:c r="O684" s="21" t="str"/>
      <x:c r="P684" s="21" t="str">
        <x:v>lemma_frequency_verified</x:v>
      </x:c>
      <x:c r="Q684" s="21" t="str">
        <x:v>rule_generated_exception_review</x:v>
      </x:c>
      <x:c r="R684" s="20" t="str">
        <x:v>https://github.com/openscriptures/morphhb</x:v>
      </x:c>
    </x:row>
    <x:row r="685" ht="28" customHeight="1">
      <x:c r="A685" s="21" t="n">
        <x:v>681</x:v>
      </x:c>
      <x:c r="B685" s="21" t="n">
        <x:f>ROUNDUP(A685/20,0)</x:f>
        <x:v>35</x:v>
      </x:c>
      <x:c r="C685" s="21" t="n">
        <x:f>MOD(A685-1,20)+1</x:f>
        <x:v>1</x:v>
      </x:c>
      <x:c r="D685" s="18" t="str">
        <x:v>דָּרַךְ</x:v>
      </x:c>
      <x:c r="E685" s="19" t="str">
        <x:v>dāraḵ</x:v>
      </x:c>
      <x:c r="F685" s="16" t="str">
        <x:v>דרך</x:v>
      </x:c>
      <x:c r="G685" s="20" t="str">
        <x:v>to tread; by implication, to walk; also to string abow (by treading on it in bending)</x:v>
      </x:c>
      <x:c r="H685" s="20" t="str"/>
      <x:c r="I685" s="21" t="str">
        <x:v>自編延伸</x:v>
      </x:c>
      <x:c r="J685" s="21"/>
      <x:c r="K685" s="22" t="n">
        <x:v>63</x:v>
      </x:c>
      <x:c r="L685" s="21" t="str">
        <x:v>H1869</x:v>
      </x:c>
      <x:c r="M685" s="21" t="str">
        <x:v>verb</x:v>
      </x:c>
      <x:c r="N685" s="21" t="str">
        <x:v>否</x:v>
      </x:c>
      <x:c r="O685" s="21" t="str"/>
      <x:c r="P685" s="21" t="str">
        <x:v>lemma_frequency_verified</x:v>
      </x:c>
      <x:c r="Q685" s="21" t="str">
        <x:v>rule_generated_exception_review</x:v>
      </x:c>
      <x:c r="R685" s="20" t="str">
        <x:v>https://github.com/openscriptures/morphhb</x:v>
      </x:c>
    </x:row>
    <x:row r="686" ht="28" customHeight="1">
      <x:c r="A686" s="21" t="n">
        <x:v>682</x:v>
      </x:c>
      <x:c r="B686" s="21" t="n">
        <x:f>ROUNDUP(A686/20,0)</x:f>
        <x:v>35</x:v>
      </x:c>
      <x:c r="C686" s="21" t="n">
        <x:f>MOD(A686-1,20)+1</x:f>
        <x:v>2</x:v>
      </x:c>
      <x:c r="D686" s="18" t="str">
        <x:v>שְׁכֶם</x:v>
      </x:c>
      <x:c r="E686" s="19" t="str">
        <x:v>šəḵem</x:v>
      </x:c>
      <x:c r="F686" s="16" t="str">
        <x:v>שכם</x:v>
      </x:c>
      <x:c r="G686" s="20" t="str">
        <x:v>Shekem, a place in Palestine</x:v>
      </x:c>
      <x:c r="H686" s="20" t="str"/>
      <x:c r="I686" s="21" t="str">
        <x:v>自編延伸</x:v>
      </x:c>
      <x:c r="J686" s="21"/>
      <x:c r="K686" s="22" t="n">
        <x:v>63</x:v>
      </x:c>
      <x:c r="L686" s="21" t="str">
        <x:v>H7927</x:v>
      </x:c>
      <x:c r="M686" s="21" t="str">
        <x:v>proper_name</x:v>
      </x:c>
      <x:c r="N686" s="21" t="str">
        <x:v>是</x:v>
      </x:c>
      <x:c r="O686" s="21" t="str">
        <x:v>地名</x:v>
      </x:c>
      <x:c r="P686" s="21" t="str">
        <x:v>lemma_frequency_verified</x:v>
      </x:c>
      <x:c r="Q686" s="21" t="str">
        <x:v>rule_generated_exception_review</x:v>
      </x:c>
      <x:c r="R686" s="20" t="str">
        <x:v>https://github.com/openscriptures/morphhb</x:v>
      </x:c>
    </x:row>
    <x:row r="687" ht="28" customHeight="1">
      <x:c r="A687" s="21" t="n">
        <x:v>683</x:v>
      </x:c>
      <x:c r="B687" s="21" t="n">
        <x:f>ROUNDUP(A687/20,0)</x:f>
        <x:v>35</x:v>
      </x:c>
      <x:c r="C687" s="21" t="n">
        <x:f>MOD(A687-1,20)+1</x:f>
        <x:v>3</x:v>
      </x:c>
      <x:c r="D687" s="18" t="str">
        <x:v>אַבְנֵר</x:v>
      </x:c>
      <x:c r="E687" s="19" t="str">
        <x:v>ʾaḇnēr</x:v>
      </x:c>
      <x:c r="F687" s="16" t="str">
        <x:v>אבנר</x:v>
      </x:c>
      <x:c r="G687" s="20" t="str">
        <x:v>Abner, an Israelite</x:v>
      </x:c>
      <x:c r="H687" s="20" t="str"/>
      <x:c r="I687" s="21" t="str">
        <x:v>自編延伸</x:v>
      </x:c>
      <x:c r="J687" s="21"/>
      <x:c r="K687" s="22" t="n">
        <x:v>63</x:v>
      </x:c>
      <x:c r="L687" s="21" t="str">
        <x:v>H74</x:v>
      </x:c>
      <x:c r="M687" s="21" t="str">
        <x:v>proper_name</x:v>
      </x:c>
      <x:c r="N687" s="21" t="str">
        <x:v>是</x:v>
      </x:c>
      <x:c r="O687" s="21" t="str">
        <x:v>人名</x:v>
      </x:c>
      <x:c r="P687" s="21" t="str">
        <x:v>lemma_frequency_verified</x:v>
      </x:c>
      <x:c r="Q687" s="21" t="str">
        <x:v>rule_generated_exception_review</x:v>
      </x:c>
      <x:c r="R687" s="20" t="str">
        <x:v>https://github.com/openscriptures/morphhb</x:v>
      </x:c>
    </x:row>
    <x:row r="688" ht="28" customHeight="1">
      <x:c r="A688" s="21" t="n">
        <x:v>684</x:v>
      </x:c>
      <x:c r="B688" s="21" t="n">
        <x:f>ROUNDUP(A688/20,0)</x:f>
        <x:v>35</x:v>
      </x:c>
      <x:c r="C688" s="21" t="n">
        <x:f>MOD(A688-1,20)+1</x:f>
        <x:v>4</x:v>
      </x:c>
      <x:c r="D688" s="18" t="str">
        <x:v>קָרַע</x:v>
      </x:c>
      <x:c r="E688" s="19" t="str">
        <x:v>qāraʿ</x:v>
      </x:c>
      <x:c r="F688" s="16" t="str">
        <x:v>קרע</x:v>
      </x:c>
      <x:c r="G688" s="20" t="str">
        <x:v>to rend, literally or figuratively (revile, paint the eyes, as if enlarging them)</x:v>
      </x:c>
      <x:c r="H688" s="20" t="str"/>
      <x:c r="I688" s="21" t="str">
        <x:v>自編延伸</x:v>
      </x:c>
      <x:c r="J688" s="21"/>
      <x:c r="K688" s="22" t="n">
        <x:v>63</x:v>
      </x:c>
      <x:c r="L688" s="21" t="str">
        <x:v>H7167</x:v>
      </x:c>
      <x:c r="M688" s="21" t="str">
        <x:v>verb</x:v>
      </x:c>
      <x:c r="N688" s="21" t="str">
        <x:v>否</x:v>
      </x:c>
      <x:c r="O688" s="21" t="str"/>
      <x:c r="P688" s="21" t="str">
        <x:v>lemma_frequency_verified</x:v>
      </x:c>
      <x:c r="Q688" s="21" t="str">
        <x:v>rule_generated_exception_review</x:v>
      </x:c>
      <x:c r="R688" s="20" t="str">
        <x:v>https://github.com/openscriptures/morphhb</x:v>
      </x:c>
    </x:row>
    <x:row r="689" ht="28" customHeight="1">
      <x:c r="A689" s="21" t="n">
        <x:v>685</x:v>
      </x:c>
      <x:c r="B689" s="21" t="n">
        <x:f>ROUNDUP(A689/20,0)</x:f>
        <x:v>35</x:v>
      </x:c>
      <x:c r="C689" s="21" t="n">
        <x:f>MOD(A689-1,20)+1</x:f>
        <x:v>5</x:v>
      </x:c>
      <x:c r="D689" s="18" t="str">
        <x:v>שִׁפְחָה</x:v>
      </x:c>
      <x:c r="E689" s="19" t="str">
        <x:v>šip̄ḥâ</x:v>
      </x:c>
      <x:c r="F689" s="16" t="str">
        <x:v>שפחה</x:v>
      </x:c>
      <x:c r="G689" s="20" t="str">
        <x:v>a female slave (as a member of the household)</x:v>
      </x:c>
      <x:c r="H689" s="20" t="str"/>
      <x:c r="I689" s="21" t="str">
        <x:v>自編延伸</x:v>
      </x:c>
      <x:c r="J689" s="21"/>
      <x:c r="K689" s="22" t="n">
        <x:v>63</x:v>
      </x:c>
      <x:c r="L689" s="21" t="str">
        <x:v>H8198</x:v>
      </x:c>
      <x:c r="M689" s="21" t="str">
        <x:v>noun</x:v>
      </x:c>
      <x:c r="N689" s="21" t="str">
        <x:v>否</x:v>
      </x:c>
      <x:c r="O689" s="21" t="str"/>
      <x:c r="P689" s="21" t="str">
        <x:v>lemma_frequency_verified</x:v>
      </x:c>
      <x:c r="Q689" s="21" t="str">
        <x:v>rule_generated_exception_review</x:v>
      </x:c>
      <x:c r="R689" s="20" t="str">
        <x:v>https://github.com/openscriptures/morphhb</x:v>
      </x:c>
    </x:row>
    <x:row r="690" ht="28" customHeight="1">
      <x:c r="A690" s="21" t="n">
        <x:v>686</x:v>
      </x:c>
      <x:c r="B690" s="21" t="n">
        <x:f>ROUNDUP(A690/20,0)</x:f>
        <x:v>35</x:v>
      </x:c>
      <x:c r="C690" s="21" t="n">
        <x:f>MOD(A690-1,20)+1</x:f>
        <x:v>6</x:v>
      </x:c>
      <x:c r="D690" s="18" t="str">
        <x:v>גַּיְא</x:v>
      </x:c>
      <x:c r="E690" s="19" t="str">
        <x:v>gayʾ</x:v>
      </x:c>
      <x:c r="F690" s="16" t="str">
        <x:v>גיא</x:v>
      </x:c>
      <x:c r="G690" s="20" t="str">
        <x:v>a gorge (from its lofty sides; hence, narrow, but not a gully or winter-torrent)</x:v>
      </x:c>
      <x:c r="H690" s="20" t="str"/>
      <x:c r="I690" s="21" t="str">
        <x:v>自編延伸</x:v>
      </x:c>
      <x:c r="J690" s="21"/>
      <x:c r="K690" s="22" t="n">
        <x:v>62</x:v>
      </x:c>
      <x:c r="L690" s="21" t="str">
        <x:v>H1516</x:v>
      </x:c>
      <x:c r="M690" s="21" t="str">
        <x:v>noun</x:v>
      </x:c>
      <x:c r="N690" s="21" t="str">
        <x:v>否</x:v>
      </x:c>
      <x:c r="O690" s="21" t="str"/>
      <x:c r="P690" s="21" t="str">
        <x:v>lemma_frequency_verified</x:v>
      </x:c>
      <x:c r="Q690" s="21" t="str">
        <x:v>rule_generated_exception_review</x:v>
      </x:c>
      <x:c r="R690" s="20" t="str">
        <x:v>https://github.com/openscriptures/morphhb</x:v>
      </x:c>
    </x:row>
    <x:row r="691" ht="28" customHeight="1">
      <x:c r="A691" s="21" t="n">
        <x:v>687</x:v>
      </x:c>
      <x:c r="B691" s="21" t="n">
        <x:f>ROUNDUP(A691/20,0)</x:f>
        <x:v>35</x:v>
      </x:c>
      <x:c r="C691" s="21" t="n">
        <x:f>MOD(A691-1,20)+1</x:f>
        <x:v>7</x:v>
      </x:c>
      <x:c r="D691" s="18" t="str">
        <x:v>שָׁקָה</x:v>
      </x:c>
      <x:c r="E691" s="19" t="str">
        <x:v>šāqâ</x:v>
      </x:c>
      <x:c r="F691" s="16" t="str">
        <x:v>שקה</x:v>
      </x:c>
      <x:c r="G691" s="20" t="str">
        <x:v>to quaff, i.e. (causatively) to irrigate or furnish apotion to</x:v>
      </x:c>
      <x:c r="H691" s="20" t="str"/>
      <x:c r="I691" s="21" t="str">
        <x:v>自編延伸</x:v>
      </x:c>
      <x:c r="J691" s="21"/>
      <x:c r="K691" s="22" t="n">
        <x:v>62</x:v>
      </x:c>
      <x:c r="L691" s="21" t="str">
        <x:v>H8248</x:v>
      </x:c>
      <x:c r="M691" s="21" t="str">
        <x:v>verb</x:v>
      </x:c>
      <x:c r="N691" s="21" t="str">
        <x:v>否</x:v>
      </x:c>
      <x:c r="O691" s="21" t="str"/>
      <x:c r="P691" s="21" t="str">
        <x:v>lemma_frequency_verified</x:v>
      </x:c>
      <x:c r="Q691" s="21" t="str">
        <x:v>rule_generated_exception_review</x:v>
      </x:c>
      <x:c r="R691" s="20" t="str">
        <x:v>https://github.com/openscriptures/morphhb</x:v>
      </x:c>
    </x:row>
    <x:row r="692" ht="28" customHeight="1">
      <x:c r="A692" s="21" t="n">
        <x:v>688</x:v>
      </x:c>
      <x:c r="B692" s="21" t="n">
        <x:f>ROUNDUP(A692/20,0)</x:f>
        <x:v>35</x:v>
      </x:c>
      <x:c r="C692" s="21" t="n">
        <x:f>MOD(A692-1,20)+1</x:f>
        <x:v>8</x:v>
      </x:c>
      <x:c r="D692" s="18" t="str">
        <x:v>חֶבֶל</x:v>
      </x:c>
      <x:c r="E692" s="19" t="str">
        <x:v>ḥeḇel</x:v>
      </x:c>
      <x:c r="F692" s="16" t="str">
        <x:v>חבל</x:v>
      </x:c>
      <x:c r="G692" s="20" t="str">
        <x:v>a rope (as twisted), especially a measuring line; by implication, a district or inheritance (as measured); or a noose (as of cords); figuratively, a company (as if tied together); also a throe (especially of parturition); also ruin</x:v>
      </x:c>
      <x:c r="H692" s="20" t="str"/>
      <x:c r="I692" s="21" t="str">
        <x:v>自編延伸</x:v>
      </x:c>
      <x:c r="J692" s="21"/>
      <x:c r="K692" s="22" t="n">
        <x:v>62</x:v>
      </x:c>
      <x:c r="L692" s="21" t="str">
        <x:v>H2256</x:v>
      </x:c>
      <x:c r="M692" s="21" t="str">
        <x:v>noun</x:v>
      </x:c>
      <x:c r="N692" s="21" t="str">
        <x:v>否</x:v>
      </x:c>
      <x:c r="O692" s="21" t="str"/>
      <x:c r="P692" s="21" t="str">
        <x:v>lemma_frequency_verified</x:v>
      </x:c>
      <x:c r="Q692" s="21" t="str">
        <x:v>rule_generated_exception_review</x:v>
      </x:c>
      <x:c r="R692" s="20" t="str">
        <x:v>https://github.com/openscriptures/morphhb</x:v>
      </x:c>
    </x:row>
    <x:row r="693" ht="28" customHeight="1">
      <x:c r="A693" s="21" t="n">
        <x:v>689</x:v>
      </x:c>
      <x:c r="B693" s="21" t="n">
        <x:f>ROUNDUP(A693/20,0)</x:f>
        <x:v>35</x:v>
      </x:c>
      <x:c r="C693" s="21" t="n">
        <x:f>MOD(A693-1,20)+1</x:f>
        <x:v>9</x:v>
      </x:c>
      <x:c r="D693" s="18" t="str">
        <x:v>גְּבוּרָה</x:v>
      </x:c>
      <x:c r="E693" s="19" t="str">
        <x:v>gəḇûrâ</x:v>
      </x:c>
      <x:c r="F693" s="16" t="str">
        <x:v>גבורה</x:v>
      </x:c>
      <x:c r="G693" s="20" t="str">
        <x:v>force (literally or figuratively); by implication, valor, victory</x:v>
      </x:c>
      <x:c r="H693" s="20" t="str"/>
      <x:c r="I693" s="21" t="str">
        <x:v>自編延伸</x:v>
      </x:c>
      <x:c r="J693" s="21"/>
      <x:c r="K693" s="22" t="n">
        <x:v>62</x:v>
      </x:c>
      <x:c r="L693" s="21" t="str">
        <x:v>H1369</x:v>
      </x:c>
      <x:c r="M693" s="21" t="str">
        <x:v>noun</x:v>
      </x:c>
      <x:c r="N693" s="21" t="str">
        <x:v>否</x:v>
      </x:c>
      <x:c r="O693" s="21" t="str"/>
      <x:c r="P693" s="21" t="str">
        <x:v>lemma_frequency_verified</x:v>
      </x:c>
      <x:c r="Q693" s="21" t="str">
        <x:v>rule_generated_exception_review</x:v>
      </x:c>
      <x:c r="R693" s="20" t="str">
        <x:v>https://github.com/openscriptures/morphhb</x:v>
      </x:c>
    </x:row>
    <x:row r="694" ht="28" customHeight="1">
      <x:c r="A694" s="21" t="n">
        <x:v>690</x:v>
      </x:c>
      <x:c r="B694" s="21" t="n">
        <x:f>ROUNDUP(A694/20,0)</x:f>
        <x:v>35</x:v>
      </x:c>
      <x:c r="C694" s="21" t="n">
        <x:f>MOD(A694-1,20)+1</x:f>
        <x:v>10</x:v>
      </x:c>
      <x:c r="D694" s="18" t="str">
        <x:v>חַג</x:v>
      </x:c>
      <x:c r="E694" s="19" t="str">
        <x:v>ḥag̅</x:v>
      </x:c>
      <x:c r="F694" s="16" t="str">
        <x:v>חג</x:v>
      </x:c>
      <x:c r="G694" s="20" t="str">
        <x:v>a festival, or a victim therefor</x:v>
      </x:c>
      <x:c r="H694" s="20" t="str"/>
      <x:c r="I694" s="21" t="str">
        <x:v>自編延伸</x:v>
      </x:c>
      <x:c r="J694" s="21"/>
      <x:c r="K694" s="22" t="n">
        <x:v>62</x:v>
      </x:c>
      <x:c r="L694" s="21" t="str">
        <x:v>H2282</x:v>
      </x:c>
      <x:c r="M694" s="21" t="str">
        <x:v>noun</x:v>
      </x:c>
      <x:c r="N694" s="21" t="str">
        <x:v>否</x:v>
      </x:c>
      <x:c r="O694" s="21" t="str"/>
      <x:c r="P694" s="21" t="str">
        <x:v>lemma_frequency_verified</x:v>
      </x:c>
      <x:c r="Q694" s="21" t="str">
        <x:v>rule_generated_exception_review</x:v>
      </x:c>
      <x:c r="R694" s="20" t="str">
        <x:v>https://github.com/openscriptures/morphhb</x:v>
      </x:c>
    </x:row>
    <x:row r="695" ht="28" customHeight="1">
      <x:c r="A695" s="21" t="n">
        <x:v>691</x:v>
      </x:c>
      <x:c r="B695" s="21" t="n">
        <x:f>ROUNDUP(A695/20,0)</x:f>
        <x:v>35</x:v>
      </x:c>
      <x:c r="C695" s="21" t="n">
        <x:f>MOD(A695-1,20)+1</x:f>
        <x:v>11</x:v>
      </x:c>
      <x:c r="D695" s="18" t="str">
        <x:v>קָנֶה</x:v>
      </x:c>
      <x:c r="E695" s="19" t="str">
        <x:v>qānê</x:v>
      </x:c>
      <x:c r="F695" s="16" t="str">
        <x:v>קנה</x:v>
      </x:c>
      <x:c r="G695" s="20" t="str">
        <x:v>a reed (as erect); by resemblance a rod (especially for measuring), shaft, tube, stem, the radius (of the arm), beam (of a steelyard)</x:v>
      </x:c>
      <x:c r="H695" s="20" t="str"/>
      <x:c r="I695" s="21" t="str">
        <x:v>自編延伸</x:v>
      </x:c>
      <x:c r="J695" s="21"/>
      <x:c r="K695" s="22" t="n">
        <x:v>62</x:v>
      </x:c>
      <x:c r="L695" s="21" t="str">
        <x:v>H7070</x:v>
      </x:c>
      <x:c r="M695" s="21" t="str">
        <x:v>noun</x:v>
      </x:c>
      <x:c r="N695" s="21" t="str">
        <x:v>否</x:v>
      </x:c>
      <x:c r="O695" s="21" t="str"/>
      <x:c r="P695" s="21" t="str">
        <x:v>lemma_frequency_verified</x:v>
      </x:c>
      <x:c r="Q695" s="21" t="str">
        <x:v>rule_generated_exception_review</x:v>
      </x:c>
      <x:c r="R695" s="20" t="str">
        <x:v>https://github.com/openscriptures/morphhb</x:v>
      </x:c>
    </x:row>
    <x:row r="696" ht="28" customHeight="1">
      <x:c r="A696" s="21" t="n">
        <x:v>692</x:v>
      </x:c>
      <x:c r="B696" s="21" t="n">
        <x:f>ROUNDUP(A696/20,0)</x:f>
        <x:v>35</x:v>
      </x:c>
      <x:c r="C696" s="21" t="n">
        <x:f>MOD(A696-1,20)+1</x:f>
        <x:v>12</x:v>
      </x:c>
      <x:c r="D696" s="18" t="str">
        <x:v>אַבְרָם</x:v>
      </x:c>
      <x:c r="E696" s="19" t="str">
        <x:v>ʾaḇrām</x:v>
      </x:c>
      <x:c r="F696" s="16" t="str">
        <x:v>אברם</x:v>
      </x:c>
      <x:c r="G696" s="20" t="str">
        <x:v>Abram, the original name of Abraham</x:v>
      </x:c>
      <x:c r="H696" s="20" t="str"/>
      <x:c r="I696" s="21" t="str">
        <x:v>自編延伸</x:v>
      </x:c>
      <x:c r="J696" s="21"/>
      <x:c r="K696" s="22" t="n">
        <x:v>61</x:v>
      </x:c>
      <x:c r="L696" s="21" t="str">
        <x:v>H87</x:v>
      </x:c>
      <x:c r="M696" s="21" t="str">
        <x:v>proper_name</x:v>
      </x:c>
      <x:c r="N696" s="21" t="str">
        <x:v>是</x:v>
      </x:c>
      <x:c r="O696" s="21" t="str">
        <x:v>人名</x:v>
      </x:c>
      <x:c r="P696" s="21" t="str">
        <x:v>lemma_frequency_verified</x:v>
      </x:c>
      <x:c r="Q696" s="21" t="str">
        <x:v>rule_generated_exception_review</x:v>
      </x:c>
      <x:c r="R696" s="20" t="str">
        <x:v>https://github.com/openscriptures/morphhb</x:v>
      </x:c>
    </x:row>
    <x:row r="697" ht="28" customHeight="1">
      <x:c r="A697" s="21" t="n">
        <x:v>693</x:v>
      </x:c>
      <x:c r="B697" s="21" t="n">
        <x:f>ROUNDUP(A697/20,0)</x:f>
        <x:v>35</x:v>
      </x:c>
      <x:c r="C697" s="21" t="n">
        <x:f>MOD(A697-1,20)+1</x:f>
        <x:v>13</x:v>
      </x:c>
      <x:c r="D697" s="18" t="str">
        <x:v>בִּלְעָם</x:v>
      </x:c>
      <x:c r="E697" s="19" t="str">
        <x:v>bilʿām</x:v>
      </x:c>
      <x:c r="F697" s="16" t="str">
        <x:v>בלעם</x:v>
      </x:c>
      <x:c r="G697" s="20" t="str">
        <x:v>Bilam, a Mesopotamian prophet; also a place in Palestine</x:v>
      </x:c>
      <x:c r="H697" s="20" t="str"/>
      <x:c r="I697" s="21" t="str">
        <x:v>自編延伸</x:v>
      </x:c>
      <x:c r="J697" s="21"/>
      <x:c r="K697" s="22" t="n">
        <x:v>61</x:v>
      </x:c>
      <x:c r="L697" s="21" t="str">
        <x:v>H1109</x:v>
      </x:c>
      <x:c r="M697" s="21" t="str">
        <x:v>proper_name</x:v>
      </x:c>
      <x:c r="N697" s="21" t="str">
        <x:v>是</x:v>
      </x:c>
      <x:c r="O697" s="21" t="str">
        <x:v>地名、人名</x:v>
      </x:c>
      <x:c r="P697" s="21" t="str">
        <x:v>lemma_frequency_verified</x:v>
      </x:c>
      <x:c r="Q697" s="21" t="str">
        <x:v>rule_generated_exception_review</x:v>
      </x:c>
      <x:c r="R697" s="20" t="str">
        <x:v>https://github.com/openscriptures/morphhb</x:v>
      </x:c>
    </x:row>
    <x:row r="698" ht="28" customHeight="1">
      <x:c r="A698" s="21" t="n">
        <x:v>694</x:v>
      </x:c>
      <x:c r="B698" s="21" t="n">
        <x:f>ROUNDUP(A698/20,0)</x:f>
        <x:v>35</x:v>
      </x:c>
      <x:c r="C698" s="21" t="n">
        <x:f>MOD(A698-1,20)+1</x:f>
        <x:v>14</x:v>
      </x:c>
      <x:c r="D698" s="18" t="str">
        <x:v>חוּל</x:v>
      </x:c>
      <x:c r="E698" s="19" t="str">
        <x:v>ḥûl</x:v>
      </x:c>
      <x:c r="F698" s="16" t="str">
        <x:v>חול</x:v>
      </x:c>
      <x:c r="G698" s="20" t="str">
        <x:v>properly, to twist or whirl (in a circular or spiral manner), i.e. (specifically) to dance, to writhe in pain (especially of parturition) or fear; figuratively, to wait, to pervert</x:v>
      </x:c>
      <x:c r="H698" s="20" t="str"/>
      <x:c r="I698" s="21" t="str">
        <x:v>自編延伸</x:v>
      </x:c>
      <x:c r="J698" s="21"/>
      <x:c r="K698" s="22" t="n">
        <x:v>61</x:v>
      </x:c>
      <x:c r="L698" s="21" t="str">
        <x:v>H2342</x:v>
      </x:c>
      <x:c r="M698" s="21" t="str">
        <x:v>verb</x:v>
      </x:c>
      <x:c r="N698" s="21" t="str">
        <x:v>否</x:v>
      </x:c>
      <x:c r="O698" s="21" t="str"/>
      <x:c r="P698" s="21" t="str">
        <x:v>lemma_frequency_verified</x:v>
      </x:c>
      <x:c r="Q698" s="21" t="str">
        <x:v>rule_generated_exception_review</x:v>
      </x:c>
      <x:c r="R698" s="20" t="str">
        <x:v>https://github.com/openscriptures/morphhb</x:v>
      </x:c>
    </x:row>
    <x:row r="699" ht="28" customHeight="1">
      <x:c r="A699" s="21" t="n">
        <x:v>695</x:v>
      </x:c>
      <x:c r="B699" s="21" t="n">
        <x:f>ROUNDUP(A699/20,0)</x:f>
        <x:v>35</x:v>
      </x:c>
      <x:c r="C699" s="21" t="n">
        <x:f>MOD(A699-1,20)+1</x:f>
        <x:v>15</x:v>
      </x:c>
      <x:c r="D699" s="18" t="str">
        <x:v>דּוֹד</x:v>
      </x:c>
      <x:c r="E699" s="19" t="str">
        <x:v>dôḏ</x:v>
      </x:c>
      <x:c r="F699" s="16" t="str">
        <x:v>דוד</x:v>
      </x:c>
      <x:c r="G699" s="20" t="str">
        <x:v>(figuratively) to love; by implication, a love-token, lover, friend; specifically an uncle</x:v>
      </x:c>
      <x:c r="H699" s="20" t="str"/>
      <x:c r="I699" s="21" t="str">
        <x:v>自編延伸</x:v>
      </x:c>
      <x:c r="J699" s="21"/>
      <x:c r="K699" s="22" t="n">
        <x:v>61</x:v>
      </x:c>
      <x:c r="L699" s="21" t="str">
        <x:v>H1730</x:v>
      </x:c>
      <x:c r="M699" s="21" t="str">
        <x:v>noun</x:v>
      </x:c>
      <x:c r="N699" s="21" t="str">
        <x:v>否</x:v>
      </x:c>
      <x:c r="O699" s="21" t="str"/>
      <x:c r="P699" s="21" t="str">
        <x:v>lemma_frequency_verified</x:v>
      </x:c>
      <x:c r="Q699" s="21" t="str">
        <x:v>rule_generated_exception_review</x:v>
      </x:c>
      <x:c r="R699" s="20" t="str">
        <x:v>https://github.com/openscriptures/morphhb</x:v>
      </x:c>
    </x:row>
    <x:row r="700" ht="28" customHeight="1">
      <x:c r="A700" s="21" t="n">
        <x:v>696</x:v>
      </x:c>
      <x:c r="B700" s="21" t="n">
        <x:f>ROUNDUP(A700/20,0)</x:f>
        <x:v>35</x:v>
      </x:c>
      <x:c r="C700" s="21" t="n">
        <x:f>MOD(A700-1,20)+1</x:f>
        <x:v>16</x:v>
      </x:c>
      <x:c r="D700" s="18" t="str">
        <x:v>אֵצֶל</x:v>
      </x:c>
      <x:c r="E700" s="19" t="str">
        <x:v>ʾēṣel</x:v>
      </x:c>
      <x:c r="F700" s="16" t="str">
        <x:v>אצל</x:v>
      </x:c>
      <x:c r="G700" s="20" t="str">
        <x:v>a side; (as a preposition) near</x:v>
      </x:c>
      <x:c r="H700" s="20" t="str"/>
      <x:c r="I700" s="21" t="str">
        <x:v>自編延伸</x:v>
      </x:c>
      <x:c r="J700" s="21"/>
      <x:c r="K700" s="22" t="n">
        <x:v>61</x:v>
      </x:c>
      <x:c r="L700" s="21" t="str">
        <x:v>H681</x:v>
      </x:c>
      <x:c r="M700" s="21" t="str">
        <x:v>preposition</x:v>
      </x:c>
      <x:c r="N700" s="21" t="str">
        <x:v>否</x:v>
      </x:c>
      <x:c r="O700" s="21" t="str"/>
      <x:c r="P700" s="21" t="str">
        <x:v>lemma_frequency_verified</x:v>
      </x:c>
      <x:c r="Q700" s="21" t="str">
        <x:v>rule_generated_exception_review</x:v>
      </x:c>
      <x:c r="R700" s="20" t="str">
        <x:v>https://github.com/openscriptures/morphhb</x:v>
      </x:c>
    </x:row>
    <x:row r="701" ht="28" customHeight="1">
      <x:c r="A701" s="21" t="n">
        <x:v>697</x:v>
      </x:c>
      <x:c r="B701" s="21" t="n">
        <x:f>ROUNDUP(A701/20,0)</x:f>
        <x:v>35</x:v>
      </x:c>
      <x:c r="C701" s="21" t="n">
        <x:f>MOD(A701-1,20)+1</x:f>
        <x:v>17</x:v>
      </x:c>
      <x:c r="D701" s="18" t="str">
        <x:v>אֶבְיוֹן</x:v>
      </x:c>
      <x:c r="E701" s="19" t="str">
        <x:v>ʾeḇyôn</x:v>
      </x:c>
      <x:c r="F701" s="16" t="str">
        <x:v>אביון</x:v>
      </x:c>
      <x:c r="G701" s="20" t="str">
        <x:v>destitute</x:v>
      </x:c>
      <x:c r="H701" s="20" t="str"/>
      <x:c r="I701" s="21" t="str">
        <x:v>自編延伸</x:v>
      </x:c>
      <x:c r="J701" s="21"/>
      <x:c r="K701" s="22" t="n">
        <x:v>61</x:v>
      </x:c>
      <x:c r="L701" s="21" t="str">
        <x:v>H34</x:v>
      </x:c>
      <x:c r="M701" s="21" t="str">
        <x:v>adjective</x:v>
      </x:c>
      <x:c r="N701" s="21" t="str">
        <x:v>否</x:v>
      </x:c>
      <x:c r="O701" s="21" t="str"/>
      <x:c r="P701" s="21" t="str">
        <x:v>lemma_frequency_verified</x:v>
      </x:c>
      <x:c r="Q701" s="21" t="str">
        <x:v>rule_generated_exception_review</x:v>
      </x:c>
      <x:c r="R701" s="20" t="str">
        <x:v>https://github.com/openscriptures/morphhb</x:v>
      </x:c>
    </x:row>
    <x:row r="702" ht="28" customHeight="1">
      <x:c r="A702" s="21" t="n">
        <x:v>698</x:v>
      </x:c>
      <x:c r="B702" s="21" t="n">
        <x:f>ROUNDUP(A702/20,0)</x:f>
        <x:v>35</x:v>
      </x:c>
      <x:c r="C702" s="21" t="n">
        <x:f>MOD(A702-1,20)+1</x:f>
        <x:v>18</x:v>
      </x:c>
      <x:c r="D702" s="18" t="str">
        <x:v>עֲרָבָה</x:v>
      </x:c>
      <x:c r="E702" s="19" t="str">
        <x:v>ʿărāḇâ</x:v>
      </x:c>
      <x:c r="F702" s="16" t="str">
        <x:v>ערבה</x:v>
      </x:c>
      <x:c r="G702" s="20" t="str">
        <x:v>a desert; especially (with the article prefix) the (generally) sterile valley of the Jordan and its continuation to the Red Sea</x:v>
      </x:c>
      <x:c r="H702" s="20" t="str"/>
      <x:c r="I702" s="21" t="str">
        <x:v>自編延伸</x:v>
      </x:c>
      <x:c r="J702" s="21"/>
      <x:c r="K702" s="22" t="n">
        <x:v>61</x:v>
      </x:c>
      <x:c r="L702" s="21" t="str">
        <x:v>H6160</x:v>
      </x:c>
      <x:c r="M702" s="21" t="str">
        <x:v>noun</x:v>
      </x:c>
      <x:c r="N702" s="21" t="str">
        <x:v>否</x:v>
      </x:c>
      <x:c r="O702" s="21" t="str"/>
      <x:c r="P702" s="21" t="str">
        <x:v>lemma_frequency_verified</x:v>
      </x:c>
      <x:c r="Q702" s="21" t="str">
        <x:v>rule_generated_exception_review</x:v>
      </x:c>
      <x:c r="R702" s="20" t="str">
        <x:v>https://github.com/openscriptures/morphhb</x:v>
      </x:c>
    </x:row>
    <x:row r="703" ht="28" customHeight="1">
      <x:c r="A703" s="21" t="n">
        <x:v>699</x:v>
      </x:c>
      <x:c r="B703" s="21" t="n">
        <x:f>ROUNDUP(A703/20,0)</x:f>
        <x:v>35</x:v>
      </x:c>
      <x:c r="C703" s="21" t="n">
        <x:f>MOD(A703-1,20)+1</x:f>
        <x:v>19</x:v>
      </x:c>
      <x:c r="D703" s="18" t="str">
        <x:v>רִיב</x:v>
      </x:c>
      <x:c r="E703" s="19" t="str">
        <x:v>rîḇ</x:v>
      </x:c>
      <x:c r="F703" s="16" t="str">
        <x:v>ריב</x:v>
      </x:c>
      <x:c r="G703" s="20" t="str">
        <x:v>a contest (personal or legal)</x:v>
      </x:c>
      <x:c r="H703" s="20" t="str"/>
      <x:c r="I703" s="21" t="str">
        <x:v>自編延伸</x:v>
      </x:c>
      <x:c r="J703" s="21"/>
      <x:c r="K703" s="22" t="n">
        <x:v>61</x:v>
      </x:c>
      <x:c r="L703" s="21" t="str">
        <x:v>H7379</x:v>
      </x:c>
      <x:c r="M703" s="21" t="str">
        <x:v>noun</x:v>
      </x:c>
      <x:c r="N703" s="21" t="str">
        <x:v>否</x:v>
      </x:c>
      <x:c r="O703" s="21" t="str"/>
      <x:c r="P703" s="21" t="str">
        <x:v>lemma_frequency_verified</x:v>
      </x:c>
      <x:c r="Q703" s="21" t="str">
        <x:v>rule_generated_exception_review</x:v>
      </x:c>
      <x:c r="R703" s="20" t="str">
        <x:v>https://github.com/openscriptures/morphhb</x:v>
      </x:c>
    </x:row>
    <x:row r="704" ht="28" customHeight="1">
      <x:c r="A704" s="21" t="n">
        <x:v>700</x:v>
      </x:c>
      <x:c r="B704" s="21" t="n">
        <x:f>ROUNDUP(A704/20,0)</x:f>
        <x:v>35</x:v>
      </x:c>
      <x:c r="C704" s="21" t="n">
        <x:f>MOD(A704-1,20)+1</x:f>
        <x:v>20</x:v>
      </x:c>
      <x:c r="D704" s="18" t="str">
        <x:v>אַחֲרִית</x:v>
      </x:c>
      <x:c r="E704" s="19" t="str">
        <x:v>ʾaḥărîṯ</x:v>
      </x:c>
      <x:c r="F704" s="16" t="str">
        <x:v>אחרית</x:v>
      </x:c>
      <x:c r="G704" s="20" t="str">
        <x:v>the last or end, hence, the future; also posterity</x:v>
      </x:c>
      <x:c r="H704" s="20" t="str"/>
      <x:c r="I704" s="21" t="str">
        <x:v>自編延伸</x:v>
      </x:c>
      <x:c r="J704" s="21"/>
      <x:c r="K704" s="22" t="n">
        <x:v>61</x:v>
      </x:c>
      <x:c r="L704" s="21" t="str">
        <x:v>H319</x:v>
      </x:c>
      <x:c r="M704" s="21" t="str">
        <x:v>noun</x:v>
      </x:c>
      <x:c r="N704" s="21" t="str">
        <x:v>否</x:v>
      </x:c>
      <x:c r="O704" s="21" t="str"/>
      <x:c r="P704" s="21" t="str">
        <x:v>lemma_frequency_verified</x:v>
      </x:c>
      <x:c r="Q704" s="21" t="str">
        <x:v>rule_generated_exception_review</x:v>
      </x:c>
      <x:c r="R704" s="20" t="str">
        <x:v>https://github.com/openscriptures/morphhb</x:v>
      </x:c>
    </x:row>
    <x:row r="705" ht="28" customHeight="1">
      <x:c r="A705" s="21" t="n">
        <x:v>701</x:v>
      </x:c>
      <x:c r="B705" s="21" t="n">
        <x:f>ROUNDUP(A705/20,0)</x:f>
        <x:v>36</x:v>
      </x:c>
      <x:c r="C705" s="21" t="n">
        <x:f>MOD(A705-1,20)+1</x:f>
        <x:v>1</x:v>
      </x:c>
      <x:c r="D705" s="18" t="str">
        <x:v>בָּשָׁן</x:v>
      </x:c>
      <x:c r="E705" s="19" t="str">
        <x:v>bāšān</x:v>
      </x:c>
      <x:c r="F705" s="16" t="str">
        <x:v>בשן</x:v>
      </x:c>
      <x:c r="G705" s="20" t="str">
        <x:v>Bashan (often with the article), a region East of the Jordan</x:v>
      </x:c>
      <x:c r="H705" s="20" t="str"/>
      <x:c r="I705" s="21" t="str">
        <x:v>自編延伸</x:v>
      </x:c>
      <x:c r="J705" s="21"/>
      <x:c r="K705" s="22" t="n">
        <x:v>60</x:v>
      </x:c>
      <x:c r="L705" s="21" t="str">
        <x:v>H1316</x:v>
      </x:c>
      <x:c r="M705" s="21" t="str">
        <x:v>proper_name</x:v>
      </x:c>
      <x:c r="N705" s="21" t="str">
        <x:v>是</x:v>
      </x:c>
      <x:c r="O705" s="21" t="str">
        <x:v>地名</x:v>
      </x:c>
      <x:c r="P705" s="21" t="str">
        <x:v>lemma_frequency_verified</x:v>
      </x:c>
      <x:c r="Q705" s="21" t="str">
        <x:v>rule_generated_exception_review</x:v>
      </x:c>
      <x:c r="R705" s="20" t="str">
        <x:v>https://github.com/openscriptures/morphhb</x:v>
      </x:c>
    </x:row>
    <x:row r="706" ht="28" customHeight="1">
      <x:c r="A706" s="21" t="n">
        <x:v>702</x:v>
      </x:c>
      <x:c r="B706" s="21" t="n">
        <x:f>ROUNDUP(A706/20,0)</x:f>
        <x:v>36</x:v>
      </x:c>
      <x:c r="C706" s="21" t="n">
        <x:f>MOD(A706-1,20)+1</x:f>
        <x:v>2</x:v>
      </x:c>
      <x:c r="D706" s="18" t="str">
        <x:v>נְבוּכַדְנֶאצַּר</x:v>
      </x:c>
      <x:c r="E706" s="19" t="str">
        <x:v>nəḇûḵaḏneʾṣṣar</x:v>
      </x:c>
      <x:c r="F706" s="16" t="str">
        <x:v>נבוכדנאצר</x:v>
      </x:c>
      <x:c r="G706" s="20" t="str">
        <x:v>Nebukadnetstsar (or -retstsar, or -retstsor), king of Babylon</x:v>
      </x:c>
      <x:c r="H706" s="20" t="str"/>
      <x:c r="I706" s="21" t="str">
        <x:v>自編延伸</x:v>
      </x:c>
      <x:c r="J706" s="21"/>
      <x:c r="K706" s="22" t="n">
        <x:v>60</x:v>
      </x:c>
      <x:c r="L706" s="21" t="str">
        <x:v>H5019</x:v>
      </x:c>
      <x:c r="M706" s="21" t="str">
        <x:v>proper_name</x:v>
      </x:c>
      <x:c r="N706" s="21" t="str">
        <x:v>是</x:v>
      </x:c>
      <x:c r="O706" s="21" t="str">
        <x:v>人名</x:v>
      </x:c>
      <x:c r="P706" s="21" t="str">
        <x:v>lemma_frequency_verified</x:v>
      </x:c>
      <x:c r="Q706" s="21" t="str">
        <x:v>rule_generated_exception_review</x:v>
      </x:c>
      <x:c r="R706" s="20" t="str">
        <x:v>https://github.com/openscriptures/morphhb</x:v>
      </x:c>
    </x:row>
    <x:row r="707" ht="28" customHeight="1">
      <x:c r="A707" s="21" t="n">
        <x:v>703</x:v>
      </x:c>
      <x:c r="B707" s="21" t="n">
        <x:f>ROUNDUP(A707/20,0)</x:f>
        <x:v>36</x:v>
      </x:c>
      <x:c r="C707" s="21" t="n">
        <x:f>MOD(A707-1,20)+1</x:f>
        <x:v>3</x:v>
      </x:c>
      <x:c r="D707" s="18" t="str">
        <x:v>קְטֹרֶת</x:v>
      </x:c>
      <x:c r="E707" s="19" t="str">
        <x:v>qəṭōreṯ</x:v>
      </x:c>
      <x:c r="F707" s="16" t="str">
        <x:v>קטרת</x:v>
      </x:c>
      <x:c r="G707" s="20" t="str">
        <x:v>a fumigation</x:v>
      </x:c>
      <x:c r="H707" s="20" t="str"/>
      <x:c r="I707" s="21" t="str">
        <x:v>自編延伸</x:v>
      </x:c>
      <x:c r="J707" s="21"/>
      <x:c r="K707" s="22" t="n">
        <x:v>60</x:v>
      </x:c>
      <x:c r="L707" s="21" t="str">
        <x:v>H7004</x:v>
      </x:c>
      <x:c r="M707" s="21" t="str">
        <x:v>noun</x:v>
      </x:c>
      <x:c r="N707" s="21" t="str">
        <x:v>否</x:v>
      </x:c>
      <x:c r="O707" s="21" t="str"/>
      <x:c r="P707" s="21" t="str">
        <x:v>lemma_frequency_verified</x:v>
      </x:c>
      <x:c r="Q707" s="21" t="str">
        <x:v>rule_generated_exception_review</x:v>
      </x:c>
      <x:c r="R707" s="20" t="str">
        <x:v>https://github.com/openscriptures/morphhb</x:v>
      </x:c>
    </x:row>
    <x:row r="708" ht="28" customHeight="1">
      <x:c r="A708" s="21" t="n">
        <x:v>704</x:v>
      </x:c>
      <x:c r="B708" s="21" t="n">
        <x:f>ROUNDUP(A708/20,0)</x:f>
        <x:v>36</x:v>
      </x:c>
      <x:c r="C708" s="21" t="n">
        <x:f>MOD(A708-1,20)+1</x:f>
        <x:v>4</x:v>
      </x:c>
      <x:c r="D708" s="18" t="str">
        <x:v>חָמָס</x:v>
      </x:c>
      <x:c r="E708" s="19" t="str">
        <x:v>ḥāmās</x:v>
      </x:c>
      <x:c r="F708" s="16" t="str">
        <x:v>חמס</x:v>
      </x:c>
      <x:c r="G708" s="20" t="str">
        <x:v>violence; by implication, wrong; by meton. unjust gain</x:v>
      </x:c>
      <x:c r="H708" s="20" t="str"/>
      <x:c r="I708" s="21" t="str">
        <x:v>自編延伸</x:v>
      </x:c>
      <x:c r="J708" s="21"/>
      <x:c r="K708" s="22" t="n">
        <x:v>60</x:v>
      </x:c>
      <x:c r="L708" s="21" t="str">
        <x:v>H2555</x:v>
      </x:c>
      <x:c r="M708" s="21" t="str">
        <x:v>noun</x:v>
      </x:c>
      <x:c r="N708" s="21" t="str">
        <x:v>否</x:v>
      </x:c>
      <x:c r="O708" s="21" t="str"/>
      <x:c r="P708" s="21" t="str">
        <x:v>lemma_frequency_verified</x:v>
      </x:c>
      <x:c r="Q708" s="21" t="str">
        <x:v>rule_generated_exception_review</x:v>
      </x:c>
      <x:c r="R708" s="20" t="str">
        <x:v>https://github.com/openscriptures/morphhb</x:v>
      </x:c>
    </x:row>
    <x:row r="709" ht="28" customHeight="1">
      <x:c r="A709" s="21" t="n">
        <x:v>705</x:v>
      </x:c>
      <x:c r="B709" s="21" t="n">
        <x:f>ROUNDUP(A709/20,0)</x:f>
        <x:v>36</x:v>
      </x:c>
      <x:c r="C709" s="21" t="n">
        <x:f>MOD(A709-1,20)+1</x:f>
        <x:v>5</x:v>
      </x:c>
      <x:c r="D709" s="18" t="str">
        <x:v>נֶדֶר</x:v>
      </x:c>
      <x:c r="E709" s="19" t="str">
        <x:v>neḏer</x:v>
      </x:c>
      <x:c r="F709" s="16" t="str">
        <x:v>נדר</x:v>
      </x:c>
      <x:c r="G709" s="20" t="str">
        <x:v>a promise (to God); also (concretely) a thing promised</x:v>
      </x:c>
      <x:c r="H709" s="20" t="str"/>
      <x:c r="I709" s="21" t="str">
        <x:v>自編延伸</x:v>
      </x:c>
      <x:c r="J709" s="21"/>
      <x:c r="K709" s="22" t="n">
        <x:v>60</x:v>
      </x:c>
      <x:c r="L709" s="21" t="str">
        <x:v>H5088</x:v>
      </x:c>
      <x:c r="M709" s="21" t="str">
        <x:v>noun</x:v>
      </x:c>
      <x:c r="N709" s="21" t="str">
        <x:v>否</x:v>
      </x:c>
      <x:c r="O709" s="21" t="str"/>
      <x:c r="P709" s="21" t="str">
        <x:v>lemma_frequency_verified</x:v>
      </x:c>
      <x:c r="Q709" s="21" t="str">
        <x:v>rule_generated_exception_review</x:v>
      </x:c>
      <x:c r="R709" s="20" t="str">
        <x:v>https://github.com/openscriptures/morphhb</x:v>
      </x:c>
    </x:row>
    <x:row r="710" ht="28" customHeight="1">
      <x:c r="A710" s="21" t="n">
        <x:v>706</x:v>
      </x:c>
      <x:c r="B710" s="21" t="n">
        <x:f>ROUNDUP(A710/20,0)</x:f>
        <x:v>36</x:v>
      </x:c>
      <x:c r="C710" s="21" t="n">
        <x:f>MOD(A710-1,20)+1</x:f>
        <x:v>6</x:v>
      </x:c>
      <x:c r="D710" s="18" t="str">
        <x:v>אֱלוֹהַּ</x:v>
      </x:c>
      <x:c r="E710" s="19" t="str">
        <x:v>ʾĕlôah</x:v>
      </x:c>
      <x:c r="F710" s="16" t="str">
        <x:v>אלוה</x:v>
      </x:c>
      <x:c r="G710" s="20" t="str">
        <x:v>a deity or the Deity</x:v>
      </x:c>
      <x:c r="H710" s="20" t="str"/>
      <x:c r="I710" s="21" t="str">
        <x:v>自編延伸</x:v>
      </x:c>
      <x:c r="J710" s="21"/>
      <x:c r="K710" s="22" t="n">
        <x:v>60</x:v>
      </x:c>
      <x:c r="L710" s="21" t="str">
        <x:v>H433</x:v>
      </x:c>
      <x:c r="M710" s="21" t="str">
        <x:v>noun</x:v>
      </x:c>
      <x:c r="N710" s="21" t="str">
        <x:v>否</x:v>
      </x:c>
      <x:c r="O710" s="21" t="str"/>
      <x:c r="P710" s="21" t="str">
        <x:v>lemma_frequency_verified</x:v>
      </x:c>
      <x:c r="Q710" s="21" t="str">
        <x:v>rule_generated_exception_review</x:v>
      </x:c>
      <x:c r="R710" s="20" t="str">
        <x:v>https://github.com/openscriptures/morphhb</x:v>
      </x:c>
    </x:row>
    <x:row r="711" ht="28" customHeight="1">
      <x:c r="A711" s="21" t="n">
        <x:v>707</x:v>
      </x:c>
      <x:c r="B711" s="21" t="n">
        <x:f>ROUNDUP(A711/20,0)</x:f>
        <x:v>36</x:v>
      </x:c>
      <x:c r="C711" s="21" t="n">
        <x:f>MOD(A711-1,20)+1</x:f>
        <x:v>7</x:v>
      </x:c>
      <x:c r="D711" s="18" t="str">
        <x:v>מׇרְדְּכַי</x:v>
      </x:c>
      <x:c r="E711" s="19" t="str">
        <x:v>mordəḵay</x:v>
      </x:c>
      <x:c r="F711" s="16" t="str">
        <x:v>מרדכי</x:v>
      </x:c>
      <x:c r="G711" s="20" t="str">
        <x:v>Mordecai, an Israelite</x:v>
      </x:c>
      <x:c r="H711" s="20" t="str"/>
      <x:c r="I711" s="21" t="str">
        <x:v>自編延伸</x:v>
      </x:c>
      <x:c r="J711" s="21"/>
      <x:c r="K711" s="22" t="n">
        <x:v>60</x:v>
      </x:c>
      <x:c r="L711" s="21" t="str">
        <x:v>H4782</x:v>
      </x:c>
      <x:c r="M711" s="21" t="str">
        <x:v>proper_name</x:v>
      </x:c>
      <x:c r="N711" s="21" t="str">
        <x:v>是</x:v>
      </x:c>
      <x:c r="O711" s="21" t="str">
        <x:v>人名</x:v>
      </x:c>
      <x:c r="P711" s="21" t="str">
        <x:v>lemma_frequency_verified</x:v>
      </x:c>
      <x:c r="Q711" s="21" t="str">
        <x:v>rule_generated_exception_review</x:v>
      </x:c>
      <x:c r="R711" s="20" t="str">
        <x:v>https://github.com/openscriptures/morphhb</x:v>
      </x:c>
    </x:row>
    <x:row r="712" ht="28" customHeight="1">
      <x:c r="A712" s="21" t="n">
        <x:v>708</x:v>
      </x:c>
      <x:c r="B712" s="21" t="n">
        <x:f>ROUNDUP(A712/20,0)</x:f>
        <x:v>36</x:v>
      </x:c>
      <x:c r="C712" s="21" t="n">
        <x:f>MOD(A712-1,20)+1</x:f>
        <x:v>8</x:v>
      </x:c>
      <x:c r="D712" s="18" t="str">
        <x:v>אֹרַח</x:v>
      </x:c>
      <x:c r="E712" s="19" t="str">
        <x:v>ʾōraḥ</x:v>
      </x:c>
      <x:c r="F712" s="16" t="str">
        <x:v>ארח</x:v>
      </x:c>
      <x:c r="G712" s="20" t="str">
        <x:v>a well-trodden road (literally or figuratively); also a caravan</x:v>
      </x:c>
      <x:c r="H712" s="20" t="str"/>
      <x:c r="I712" s="21" t="str">
        <x:v>自編延伸</x:v>
      </x:c>
      <x:c r="J712" s="21"/>
      <x:c r="K712" s="22" t="n">
        <x:v>60</x:v>
      </x:c>
      <x:c r="L712" s="21" t="str">
        <x:v>H734</x:v>
      </x:c>
      <x:c r="M712" s="21" t="str">
        <x:v>noun</x:v>
      </x:c>
      <x:c r="N712" s="21" t="str">
        <x:v>否</x:v>
      </x:c>
      <x:c r="O712" s="21" t="str"/>
      <x:c r="P712" s="21" t="str">
        <x:v>lemma_frequency_verified</x:v>
      </x:c>
      <x:c r="Q712" s="21" t="str">
        <x:v>rule_generated_exception_review</x:v>
      </x:c>
      <x:c r="R712" s="20" t="str">
        <x:v>https://github.com/openscriptures/morphhb</x:v>
      </x:c>
    </x:row>
    <x:row r="713" ht="28" customHeight="1">
      <x:c r="A713" s="21" t="n">
        <x:v>709</x:v>
      </x:c>
      <x:c r="B713" s="21" t="n">
        <x:f>ROUNDUP(A713/20,0)</x:f>
        <x:v>36</x:v>
      </x:c>
      <x:c r="C713" s="21" t="n">
        <x:f>MOD(A713-1,20)+1</x:f>
        <x:v>9</x:v>
      </x:c>
      <x:c r="D713" s="18" t="str">
        <x:v>מִדְיָן</x:v>
      </x:c>
      <x:c r="E713" s="19" t="str">
        <x:v>miḏyān</x:v>
      </x:c>
      <x:c r="F713" s="16" t="str">
        <x:v>מדין</x:v>
      </x:c>
      <x:c r="G713" s="20" t="str">
        <x:v>Midjan, a son of Abraham; also his country and (collectively) his descendants</x:v>
      </x:c>
      <x:c r="H713" s="20" t="str"/>
      <x:c r="I713" s="21" t="str">
        <x:v>自編延伸</x:v>
      </x:c>
      <x:c r="J713" s="21"/>
      <x:c r="K713" s="22" t="n">
        <x:v>59</x:v>
      </x:c>
      <x:c r="L713" s="21" t="str">
        <x:v>H4080</x:v>
      </x:c>
      <x:c r="M713" s="21" t="str">
        <x:v>proper_name</x:v>
      </x:c>
      <x:c r="N713" s="21" t="str">
        <x:v>是</x:v>
      </x:c>
      <x:c r="O713" s="21" t="str">
        <x:v>人名、地名、民族／國族</x:v>
      </x:c>
      <x:c r="P713" s="21" t="str">
        <x:v>lemma_frequency_verified</x:v>
      </x:c>
      <x:c r="Q713" s="21" t="str">
        <x:v>rule_generated_exception_review</x:v>
      </x:c>
      <x:c r="R713" s="20" t="str">
        <x:v>https://github.com/openscriptures/morphhb</x:v>
      </x:c>
    </x:row>
    <x:row r="714" ht="28" customHeight="1">
      <x:c r="A714" s="21" t="n">
        <x:v>710</x:v>
      </x:c>
      <x:c r="B714" s="21" t="n">
        <x:f>ROUNDUP(A714/20,0)</x:f>
        <x:v>36</x:v>
      </x:c>
      <x:c r="C714" s="21" t="n">
        <x:f>MOD(A714-1,20)+1</x:f>
        <x:v>10</x:v>
      </x:c>
      <x:c r="D714" s="18" t="str">
        <x:v>שִׁשִּׁים</x:v>
      </x:c>
      <x:c r="E714" s="19" t="str">
        <x:v>šiššîm</x:v>
      </x:c>
      <x:c r="F714" s="16" t="str">
        <x:v>ששים</x:v>
      </x:c>
      <x:c r="G714" s="20" t="str">
        <x:v>sixty</x:v>
      </x:c>
      <x:c r="H714" s="20" t="str"/>
      <x:c r="I714" s="21" t="str">
        <x:v>自編延伸</x:v>
      </x:c>
      <x:c r="J714" s="21"/>
      <x:c r="K714" s="22" t="n">
        <x:v>59</x:v>
      </x:c>
      <x:c r="L714" s="21" t="str">
        <x:v>H8346</x:v>
      </x:c>
      <x:c r="M714" s="21" t="str">
        <x:v>adjective</x:v>
      </x:c>
      <x:c r="N714" s="21" t="str">
        <x:v>否</x:v>
      </x:c>
      <x:c r="O714" s="21" t="str"/>
      <x:c r="P714" s="21" t="str">
        <x:v>lemma_frequency_verified</x:v>
      </x:c>
      <x:c r="Q714" s="21" t="str">
        <x:v>rule_generated_exception_review</x:v>
      </x:c>
      <x:c r="R714" s="20" t="str">
        <x:v>https://github.com/openscriptures/morphhb</x:v>
      </x:c>
    </x:row>
    <x:row r="715" ht="28" customHeight="1">
      <x:c r="A715" s="21" t="n">
        <x:v>711</x:v>
      </x:c>
      <x:c r="B715" s="21" t="n">
        <x:f>ROUNDUP(A715/20,0)</x:f>
        <x:v>36</x:v>
      </x:c>
      <x:c r="C715" s="21" t="n">
        <x:f>MOD(A715-1,20)+1</x:f>
        <x:v>11</x:v>
      </x:c>
      <x:c r="D715" s="18" t="str">
        <x:v>יָכַח</x:v>
      </x:c>
      <x:c r="E715" s="19" t="str">
        <x:v>yāḵaḥ</x:v>
      </x:c>
      <x:c r="F715" s="16" t="str">
        <x:v>יכח</x:v>
      </x:c>
      <x:c r="G715" s="20" t="str">
        <x:v>to be right (i.e. correct); reciprocal, to argue; causatively, to decide, justify or convict</x:v>
      </x:c>
      <x:c r="H715" s="20" t="str"/>
      <x:c r="I715" s="21" t="str">
        <x:v>自編延伸</x:v>
      </x:c>
      <x:c r="J715" s="21"/>
      <x:c r="K715" s="22" t="n">
        <x:v>59</x:v>
      </x:c>
      <x:c r="L715" s="21" t="str">
        <x:v>H3198</x:v>
      </x:c>
      <x:c r="M715" s="21" t="str">
        <x:v>verb</x:v>
      </x:c>
      <x:c r="N715" s="21" t="str">
        <x:v>否</x:v>
      </x:c>
      <x:c r="O715" s="21" t="str"/>
      <x:c r="P715" s="21" t="str">
        <x:v>lemma_frequency_verified</x:v>
      </x:c>
      <x:c r="Q715" s="21" t="str">
        <x:v>rule_generated_exception_review</x:v>
      </x:c>
      <x:c r="R715" s="20" t="str">
        <x:v>https://github.com/openscriptures/morphhb</x:v>
      </x:c>
    </x:row>
    <x:row r="716" ht="28" customHeight="1">
      <x:c r="A716" s="21" t="n">
        <x:v>712</x:v>
      </x:c>
      <x:c r="B716" s="21" t="n">
        <x:f>ROUNDUP(A716/20,0)</x:f>
        <x:v>36</x:v>
      </x:c>
      <x:c r="C716" s="21" t="n">
        <x:f>MOD(A716-1,20)+1</x:f>
        <x:v>12</x:v>
      </x:c>
      <x:c r="D716" s="18" t="str">
        <x:v>יַעַר</x:v>
      </x:c>
      <x:c r="E716" s="19" t="str">
        <x:v>yaʿar</x:v>
      </x:c>
      <x:c r="F716" s="16" t="str">
        <x:v>יער</x:v>
      </x:c>
      <x:c r="G716" s="20" t="str">
        <x:v>a copse of bushes; hence, a forest; hence, honey in the comb (as hived in trees)</x:v>
      </x:c>
      <x:c r="H716" s="20" t="str"/>
      <x:c r="I716" s="21" t="str">
        <x:v>自編延伸</x:v>
      </x:c>
      <x:c r="J716" s="21"/>
      <x:c r="K716" s="22" t="n">
        <x:v>59</x:v>
      </x:c>
      <x:c r="L716" s="21" t="str">
        <x:v>H3293</x:v>
      </x:c>
      <x:c r="M716" s="21" t="str">
        <x:v>noun</x:v>
      </x:c>
      <x:c r="N716" s="21" t="str">
        <x:v>否</x:v>
      </x:c>
      <x:c r="O716" s="21" t="str"/>
      <x:c r="P716" s="21" t="str">
        <x:v>lemma_frequency_verified</x:v>
      </x:c>
      <x:c r="Q716" s="21" t="str">
        <x:v>rule_generated_exception_review</x:v>
      </x:c>
      <x:c r="R716" s="20" t="str">
        <x:v>https://github.com/openscriptures/morphhb</x:v>
      </x:c>
    </x:row>
    <x:row r="717" ht="28" customHeight="1">
      <x:c r="A717" s="21" t="n">
        <x:v>713</x:v>
      </x:c>
      <x:c r="B717" s="21" t="n">
        <x:f>ROUNDUP(A717/20,0)</x:f>
        <x:v>36</x:v>
      </x:c>
      <x:c r="C717" s="21" t="n">
        <x:f>MOD(A717-1,20)+1</x:f>
        <x:v>13</x:v>
      </x:c>
      <x:c r="D717" s="18" t="str">
        <x:v>נָטַע</x:v>
      </x:c>
      <x:c r="E717" s="19" t="str">
        <x:v>nāṭaʿ</x:v>
      </x:c>
      <x:c r="F717" s="16" t="str">
        <x:v>נטע</x:v>
      </x:c>
      <x:c r="G717" s="20" t="str">
        <x:v>properly, to strike in, i.e. fix; specifically, to plant (literally or figuratively)</x:v>
      </x:c>
      <x:c r="H717" s="20" t="str"/>
      <x:c r="I717" s="21" t="str">
        <x:v>自編延伸</x:v>
      </x:c>
      <x:c r="J717" s="21"/>
      <x:c r="K717" s="22" t="n">
        <x:v>59</x:v>
      </x:c>
      <x:c r="L717" s="21" t="str">
        <x:v>H5193</x:v>
      </x:c>
      <x:c r="M717" s="21" t="str">
        <x:v>verb</x:v>
      </x:c>
      <x:c r="N717" s="21" t="str">
        <x:v>否</x:v>
      </x:c>
      <x:c r="O717" s="21" t="str"/>
      <x:c r="P717" s="21" t="str">
        <x:v>lemma_frequency_verified</x:v>
      </x:c>
      <x:c r="Q717" s="21" t="str">
        <x:v>rule_generated_exception_review</x:v>
      </x:c>
      <x:c r="R717" s="20" t="str">
        <x:v>https://github.com/openscriptures/morphhb</x:v>
      </x:c>
    </x:row>
    <x:row r="718" ht="28" customHeight="1">
      <x:c r="A718" s="21" t="n">
        <x:v>714</x:v>
      </x:c>
      <x:c r="B718" s="21" t="n">
        <x:f>ROUNDUP(A718/20,0)</x:f>
        <x:v>36</x:v>
      </x:c>
      <x:c r="C718" s="21" t="n">
        <x:f>MOD(A718-1,20)+1</x:f>
        <x:v>14</x:v>
      </x:c>
      <x:c r="D718" s="18" t="str">
        <x:v>פָּדָה</x:v>
      </x:c>
      <x:c r="E718" s="19" t="str">
        <x:v>pāḏâ</x:v>
      </x:c>
      <x:c r="F718" s="16" t="str">
        <x:v>פדה</x:v>
      </x:c>
      <x:c r="G718" s="20" t="str">
        <x:v>to sever, i.e. ransom; gener. to release, preserve</x:v>
      </x:c>
      <x:c r="H718" s="20" t="str"/>
      <x:c r="I718" s="21" t="str">
        <x:v>自編延伸</x:v>
      </x:c>
      <x:c r="J718" s="21"/>
      <x:c r="K718" s="22" t="n">
        <x:v>59</x:v>
      </x:c>
      <x:c r="L718" s="21" t="str">
        <x:v>H6299</x:v>
      </x:c>
      <x:c r="M718" s="21" t="str">
        <x:v>verb</x:v>
      </x:c>
      <x:c r="N718" s="21" t="str">
        <x:v>否</x:v>
      </x:c>
      <x:c r="O718" s="21" t="str"/>
      <x:c r="P718" s="21" t="str">
        <x:v>lemma_frequency_verified</x:v>
      </x:c>
      <x:c r="Q718" s="21" t="str">
        <x:v>rule_generated_exception_review</x:v>
      </x:c>
      <x:c r="R718" s="20" t="str">
        <x:v>https://github.com/openscriptures/morphhb</x:v>
      </x:c>
    </x:row>
    <x:row r="719" ht="28" customHeight="1">
      <x:c r="A719" s="21" t="n">
        <x:v>715</x:v>
      </x:c>
      <x:c r="B719" s="21" t="n">
        <x:f>ROUNDUP(A719/20,0)</x:f>
        <x:v>36</x:v>
      </x:c>
      <x:c r="C719" s="21" t="n">
        <x:f>MOD(A719-1,20)+1</x:f>
        <x:v>15</x:v>
      </x:c>
      <x:c r="D719" s="18" t="str">
        <x:v>נָחַל</x:v>
      </x:c>
      <x:c r="E719" s="19" t="str">
        <x:v>nāḥal</x:v>
      </x:c>
      <x:c r="F719" s="16" t="str">
        <x:v>נחל</x:v>
      </x:c>
      <x:c r="G719" s="20" t="str">
        <x:v>to inherit (as a (figurative) mode of descent), or (generally) to occupy; causatively, to bequeath, or (generally) distribute, instate</x:v>
      </x:c>
      <x:c r="H719" s="20" t="str"/>
      <x:c r="I719" s="21" t="str">
        <x:v>自編延伸</x:v>
      </x:c>
      <x:c r="J719" s="21"/>
      <x:c r="K719" s="22" t="n">
        <x:v>59</x:v>
      </x:c>
      <x:c r="L719" s="21" t="str">
        <x:v>H5157</x:v>
      </x:c>
      <x:c r="M719" s="21" t="str">
        <x:v>verb</x:v>
      </x:c>
      <x:c r="N719" s="21" t="str">
        <x:v>否</x:v>
      </x:c>
      <x:c r="O719" s="21" t="str"/>
      <x:c r="P719" s="21" t="str">
        <x:v>lemma_frequency_verified</x:v>
      </x:c>
      <x:c r="Q719" s="21" t="str">
        <x:v>rule_generated_exception_review</x:v>
      </x:c>
      <x:c r="R719" s="20" t="str">
        <x:v>https://github.com/openscriptures/morphhb</x:v>
      </x:c>
    </x:row>
    <x:row r="720" ht="28" customHeight="1">
      <x:c r="A720" s="21" t="n">
        <x:v>716</x:v>
      </x:c>
      <x:c r="B720" s="21" t="n">
        <x:f>ROUNDUP(A720/20,0)</x:f>
        <x:v>36</x:v>
      </x:c>
      <x:c r="C720" s="21" t="n">
        <x:f>MOD(A720-1,20)+1</x:f>
        <x:v>16</x:v>
      </x:c>
      <x:c r="D720" s="18" t="str">
        <x:v>עֵדוּת</x:v>
      </x:c>
      <x:c r="E720" s="19" t="str">
        <x:v>ʿēḏûṯ</x:v>
      </x:c>
      <x:c r="F720" s="16" t="str">
        <x:v>עדות</x:v>
      </x:c>
      <x:c r="G720" s="20" t="str">
        <x:v>testimony</x:v>
      </x:c>
      <x:c r="H720" s="20" t="str"/>
      <x:c r="I720" s="21" t="str">
        <x:v>自編延伸</x:v>
      </x:c>
      <x:c r="J720" s="21"/>
      <x:c r="K720" s="22" t="n">
        <x:v>59</x:v>
      </x:c>
      <x:c r="L720" s="21" t="str">
        <x:v>H5715</x:v>
      </x:c>
      <x:c r="M720" s="21" t="str">
        <x:v>noun</x:v>
      </x:c>
      <x:c r="N720" s="21" t="str">
        <x:v>否</x:v>
      </x:c>
      <x:c r="O720" s="21" t="str"/>
      <x:c r="P720" s="21" t="str">
        <x:v>lemma_frequency_verified</x:v>
      </x:c>
      <x:c r="Q720" s="21" t="str">
        <x:v>rule_generated_exception_review</x:v>
      </x:c>
      <x:c r="R720" s="20" t="str">
        <x:v>https://github.com/openscriptures/morphhb</x:v>
      </x:c>
    </x:row>
    <x:row r="721" ht="28" customHeight="1">
      <x:c r="A721" s="21" t="n">
        <x:v>717</x:v>
      </x:c>
      <x:c r="B721" s="21" t="n">
        <x:f>ROUNDUP(A721/20,0)</x:f>
        <x:v>36</x:v>
      </x:c>
      <x:c r="C721" s="21" t="n">
        <x:f>MOD(A721-1,20)+1</x:f>
        <x:v>17</x:v>
      </x:c>
      <x:c r="D721" s="18" t="str">
        <x:v>חָדַל</x:v>
      </x:c>
      <x:c r="E721" s="19" t="str">
        <x:v>ḥāḏal</x:v>
      </x:c>
      <x:c r="F721" s="16" t="str">
        <x:v>חדל</x:v>
      </x:c>
      <x:c r="G721" s="20" t="str">
        <x:v>properly, to be flabby, i.e. (by implication) desist; (figuratively) be lacking or idle</x:v>
      </x:c>
      <x:c r="H721" s="20" t="str"/>
      <x:c r="I721" s="21" t="str">
        <x:v>自編延伸</x:v>
      </x:c>
      <x:c r="J721" s="21"/>
      <x:c r="K721" s="22" t="n">
        <x:v>59</x:v>
      </x:c>
      <x:c r="L721" s="21" t="str">
        <x:v>H2308</x:v>
      </x:c>
      <x:c r="M721" s="21" t="str">
        <x:v>verb</x:v>
      </x:c>
      <x:c r="N721" s="21" t="str">
        <x:v>否</x:v>
      </x:c>
      <x:c r="O721" s="21" t="str"/>
      <x:c r="P721" s="21" t="str">
        <x:v>lemma_frequency_verified</x:v>
      </x:c>
      <x:c r="Q721" s="21" t="str">
        <x:v>rule_generated_exception_review</x:v>
      </x:c>
      <x:c r="R721" s="20" t="str">
        <x:v>https://github.com/openscriptures/morphhb</x:v>
      </x:c>
    </x:row>
    <x:row r="722" ht="28" customHeight="1">
      <x:c r="A722" s="21" t="n">
        <x:v>718</x:v>
      </x:c>
      <x:c r="B722" s="21" t="n">
        <x:f>ROUNDUP(A722/20,0)</x:f>
        <x:v>36</x:v>
      </x:c>
      <x:c r="C722" s="21" t="n">
        <x:f>MOD(A722-1,20)+1</x:f>
        <x:v>18</x:v>
      </x:c>
      <x:c r="D722" s="18" t="str">
        <x:v>סֶלַע</x:v>
      </x:c>
      <x:c r="E722" s="19" t="str">
        <x:v>selaʿ</x:v>
      </x:c>
      <x:c r="F722" s="16" t="str">
        <x:v>סלע</x:v>
      </x:c>
      <x:c r="G722" s="20" t="str">
        <x:v>a craggy rock, literally or figuratively (a fortress)</x:v>
      </x:c>
      <x:c r="H722" s="20" t="str"/>
      <x:c r="I722" s="21" t="str">
        <x:v>自編延伸</x:v>
      </x:c>
      <x:c r="J722" s="21"/>
      <x:c r="K722" s="22" t="n">
        <x:v>59</x:v>
      </x:c>
      <x:c r="L722" s="21" t="str">
        <x:v>H5553</x:v>
      </x:c>
      <x:c r="M722" s="21" t="str">
        <x:v>noun</x:v>
      </x:c>
      <x:c r="N722" s="21" t="str">
        <x:v>否</x:v>
      </x:c>
      <x:c r="O722" s="21" t="str"/>
      <x:c r="P722" s="21" t="str">
        <x:v>lemma_frequency_verified</x:v>
      </x:c>
      <x:c r="Q722" s="21" t="str">
        <x:v>rule_generated_exception_review</x:v>
      </x:c>
      <x:c r="R722" s="20" t="str">
        <x:v>https://github.com/openscriptures/morphhb</x:v>
      </x:c>
    </x:row>
    <x:row r="723" ht="28" customHeight="1">
      <x:c r="A723" s="21" t="n">
        <x:v>719</x:v>
      </x:c>
      <x:c r="B723" s="21" t="n">
        <x:f>ROUNDUP(A723/20,0)</x:f>
        <x:v>36</x:v>
      </x:c>
      <x:c r="C723" s="21" t="n">
        <x:f>MOD(A723-1,20)+1</x:f>
        <x:v>19</x:v>
      </x:c>
      <x:c r="D723" s="18" t="str">
        <x:v>שָׂעִיר</x:v>
      </x:c>
      <x:c r="E723" s="19" t="str">
        <x:v>śāʿîr</x:v>
      </x:c>
      <x:c r="F723" s="16" t="str">
        <x:v>שעיר</x:v>
      </x:c>
      <x:c r="G723" s="20" t="str">
        <x:v>shaggy; as noun, a he-goat; by analogy, a faun</x:v>
      </x:c>
      <x:c r="H723" s="20" t="str"/>
      <x:c r="I723" s="21" t="str">
        <x:v>自編延伸</x:v>
      </x:c>
      <x:c r="J723" s="21"/>
      <x:c r="K723" s="22" t="n">
        <x:v>59</x:v>
      </x:c>
      <x:c r="L723" s="21" t="str">
        <x:v>H8163</x:v>
      </x:c>
      <x:c r="M723" s="21" t="str">
        <x:v>noun</x:v>
      </x:c>
      <x:c r="N723" s="21" t="str">
        <x:v>否</x:v>
      </x:c>
      <x:c r="O723" s="21" t="str"/>
      <x:c r="P723" s="21" t="str">
        <x:v>lemma_frequency_verified</x:v>
      </x:c>
      <x:c r="Q723" s="21" t="str">
        <x:v>rule_generated_exception_review</x:v>
      </x:c>
      <x:c r="R723" s="20" t="str">
        <x:v>https://github.com/openscriptures/morphhb</x:v>
      </x:c>
    </x:row>
    <x:row r="724" ht="28" customHeight="1">
      <x:c r="A724" s="21" t="n">
        <x:v>720</x:v>
      </x:c>
      <x:c r="B724" s="21" t="n">
        <x:f>ROUNDUP(A724/20,0)</x:f>
        <x:v>36</x:v>
      </x:c>
      <x:c r="C724" s="21" t="n">
        <x:f>MOD(A724-1,20)+1</x:f>
        <x:v>20</x:v>
      </x:c>
      <x:c r="D724" s="18" t="str">
        <x:v>יֵהוּא</x:v>
      </x:c>
      <x:c r="E724" s="19" t="str">
        <x:v>yēhûʾ</x:v>
      </x:c>
      <x:c r="F724" s="16" t="str">
        <x:v>יהוא</x:v>
      </x:c>
      <x:c r="G724" s="20" t="str">
        <x:v>Jehu, the name of five Israelites</x:v>
      </x:c>
      <x:c r="H724" s="20" t="str"/>
      <x:c r="I724" s="21" t="str">
        <x:v>自編延伸</x:v>
      </x:c>
      <x:c r="J724" s="21"/>
      <x:c r="K724" s="22" t="n">
        <x:v>58</x:v>
      </x:c>
      <x:c r="L724" s="21" t="str">
        <x:v>H3058</x:v>
      </x:c>
      <x:c r="M724" s="21" t="str">
        <x:v>proper_name</x:v>
      </x:c>
      <x:c r="N724" s="21" t="str">
        <x:v>是</x:v>
      </x:c>
      <x:c r="O724" s="21" t="str">
        <x:v>人名</x:v>
      </x:c>
      <x:c r="P724" s="21" t="str">
        <x:v>lemma_frequency_verified</x:v>
      </x:c>
      <x:c r="Q724" s="21" t="str">
        <x:v>rule_generated_exception_review</x:v>
      </x:c>
      <x:c r="R724" s="20" t="str">
        <x:v>https://github.com/openscriptures/morphhb</x:v>
      </x:c>
    </x:row>
    <x:row r="725" ht="28" customHeight="1">
      <x:c r="A725" s="21" t="n">
        <x:v>721</x:v>
      </x:c>
      <x:c r="B725" s="21" t="n">
        <x:f>ROUNDUP(A725/20,0)</x:f>
        <x:v>37</x:v>
      </x:c>
      <x:c r="C725" s="21" t="n">
        <x:f>MOD(A725-1,20)+1</x:f>
        <x:v>1</x:v>
      </x:c>
      <x:c r="D725" s="18" t="str">
        <x:v>תֵּשַׁע</x:v>
      </x:c>
      <x:c r="E725" s="19" t="str">
        <x:v>tēšaʿ</x:v>
      </x:c>
      <x:c r="F725" s="16" t="str">
        <x:v>תשע</x:v>
      </x:c>
      <x:c r="G725" s="20" t="str">
        <x:v>nine or (ordinal) ninth</x:v>
      </x:c>
      <x:c r="H725" s="20" t="str"/>
      <x:c r="I725" s="21" t="str">
        <x:v>自編延伸</x:v>
      </x:c>
      <x:c r="J725" s="21"/>
      <x:c r="K725" s="22" t="n">
        <x:v>58</x:v>
      </x:c>
      <x:c r="L725" s="21" t="str">
        <x:v>H8672</x:v>
      </x:c>
      <x:c r="M725" s="21" t="str">
        <x:v>adjective</x:v>
      </x:c>
      <x:c r="N725" s="21" t="str">
        <x:v>否</x:v>
      </x:c>
      <x:c r="O725" s="21" t="str"/>
      <x:c r="P725" s="21" t="str">
        <x:v>lemma_frequency_verified</x:v>
      </x:c>
      <x:c r="Q725" s="21" t="str">
        <x:v>rule_generated_exception_review</x:v>
      </x:c>
      <x:c r="R725" s="20" t="str">
        <x:v>https://github.com/openscriptures/morphhb</x:v>
      </x:c>
    </x:row>
    <x:row r="726" ht="28" customHeight="1">
      <x:c r="A726" s="21" t="n">
        <x:v>722</x:v>
      </x:c>
      <x:c r="B726" s="21" t="n">
        <x:f>ROUNDUP(A726/20,0)</x:f>
        <x:v>37</x:v>
      </x:c>
      <x:c r="C726" s="21" t="n">
        <x:f>MOD(A726-1,20)+1</x:f>
        <x:v>2</x:v>
      </x:c>
      <x:c r="D726" s="18" t="str">
        <x:v>אָסָא</x:v>
      </x:c>
      <x:c r="E726" s="19" t="str">
        <x:v>ʾāsāʾ</x:v>
      </x:c>
      <x:c r="F726" s="16" t="str">
        <x:v>אסא</x:v>
      </x:c>
      <x:c r="G726" s="20" t="str">
        <x:v>Asa, the name of a king and of a Levite</x:v>
      </x:c>
      <x:c r="H726" s="20" t="str"/>
      <x:c r="I726" s="21" t="str">
        <x:v>自編延伸</x:v>
      </x:c>
      <x:c r="J726" s="21"/>
      <x:c r="K726" s="22" t="n">
        <x:v>58</x:v>
      </x:c>
      <x:c r="L726" s="21" t="str">
        <x:v>H609</x:v>
      </x:c>
      <x:c r="M726" s="21" t="str">
        <x:v>proper_name</x:v>
      </x:c>
      <x:c r="N726" s="21" t="str">
        <x:v>是</x:v>
      </x:c>
      <x:c r="O726" s="21" t="str">
        <x:v>人名</x:v>
      </x:c>
      <x:c r="P726" s="21" t="str">
        <x:v>lemma_frequency_verified</x:v>
      </x:c>
      <x:c r="Q726" s="21" t="str">
        <x:v>rule_generated_exception_review</x:v>
      </x:c>
      <x:c r="R726" s="20" t="str">
        <x:v>https://github.com/openscriptures/morphhb</x:v>
      </x:c>
    </x:row>
    <x:row r="727" ht="28" customHeight="1">
      <x:c r="A727" s="21" t="n">
        <x:v>723</x:v>
      </x:c>
      <x:c r="B727" s="21" t="n">
        <x:f>ROUNDUP(A727/20,0)</x:f>
        <x:v>37</x:v>
      </x:c>
      <x:c r="C727" s="21" t="n">
        <x:f>MOD(A727-1,20)+1</x:f>
        <x:v>3</x:v>
      </x:c>
      <x:c r="D727" s="18" t="str">
        <x:v>מָלֵא</x:v>
      </x:c>
      <x:c r="E727" s="19" t="str">
        <x:v>mālēʾ</x:v>
      </x:c>
      <x:c r="F727" s="16" t="str">
        <x:v>מלא</x:v>
      </x:c>
      <x:c r="G727" s="20" t="str">
        <x:v>full (literally or figuratively) or filling (literally); also (concretely) fulness; adverbially, fully</x:v>
      </x:c>
      <x:c r="H727" s="20" t="str"/>
      <x:c r="I727" s="21" t="str">
        <x:v>自編延伸</x:v>
      </x:c>
      <x:c r="J727" s="21"/>
      <x:c r="K727" s="22" t="n">
        <x:v>58</x:v>
      </x:c>
      <x:c r="L727" s="21" t="str">
        <x:v>H4392</x:v>
      </x:c>
      <x:c r="M727" s="21" t="str">
        <x:v>adjective</x:v>
      </x:c>
      <x:c r="N727" s="21" t="str">
        <x:v>否</x:v>
      </x:c>
      <x:c r="O727" s="21" t="str"/>
      <x:c r="P727" s="21" t="str">
        <x:v>lemma_frequency_verified</x:v>
      </x:c>
      <x:c r="Q727" s="21" t="str">
        <x:v>rule_generated_exception_review</x:v>
      </x:c>
      <x:c r="R727" s="20" t="str">
        <x:v>https://github.com/openscriptures/morphhb</x:v>
      </x:c>
    </x:row>
    <x:row r="728" ht="28" customHeight="1">
      <x:c r="A728" s="21" t="n">
        <x:v>724</x:v>
      </x:c>
      <x:c r="B728" s="21" t="n">
        <x:f>ROUNDUP(A728/20,0)</x:f>
        <x:v>37</x:v>
      </x:c>
      <x:c r="C728" s="21" t="n">
        <x:f>MOD(A728-1,20)+1</x:f>
        <x:v>4</x:v>
      </x:c>
      <x:c r="D728" s="18" t="str">
        <x:v>תְּהִלָּה</x:v>
      </x:c>
      <x:c r="E728" s="19" t="str">
        <x:v>təhillâ</x:v>
      </x:c>
      <x:c r="F728" s="16" t="str">
        <x:v>תהלה</x:v>
      </x:c>
      <x:c r="G728" s="20" t="str">
        <x:v>laudation; specifically (concretely) a hymn</x:v>
      </x:c>
      <x:c r="H728" s="20" t="str"/>
      <x:c r="I728" s="21" t="str">
        <x:v>自編延伸</x:v>
      </x:c>
      <x:c r="J728" s="21"/>
      <x:c r="K728" s="22" t="n">
        <x:v>58</x:v>
      </x:c>
      <x:c r="L728" s="21" t="str">
        <x:v>H8416</x:v>
      </x:c>
      <x:c r="M728" s="21" t="str">
        <x:v>noun</x:v>
      </x:c>
      <x:c r="N728" s="21" t="str">
        <x:v>否</x:v>
      </x:c>
      <x:c r="O728" s="21" t="str"/>
      <x:c r="P728" s="21" t="str">
        <x:v>lemma_frequency_verified</x:v>
      </x:c>
      <x:c r="Q728" s="21" t="str">
        <x:v>rule_generated_exception_review</x:v>
      </x:c>
      <x:c r="R728" s="20" t="str">
        <x:v>https://github.com/openscriptures/morphhb</x:v>
      </x:c>
    </x:row>
    <x:row r="729" ht="28" customHeight="1">
      <x:c r="A729" s="21" t="n">
        <x:v>725</x:v>
      </x:c>
      <x:c r="B729" s="21" t="n">
        <x:f>ROUNDUP(A729/20,0)</x:f>
        <x:v>37</x:v>
      </x:c>
      <x:c r="C729" s="21" t="n">
        <x:f>MOD(A729-1,20)+1</x:f>
        <x:v>5</x:v>
      </x:c>
      <x:c r="D729" s="18" t="str">
        <x:v>אֱלִישָׁע</x:v>
      </x:c>
      <x:c r="E729" s="19" t="str">
        <x:v>ʾĕlîšāʿ</x:v>
      </x:c>
      <x:c r="F729" s="16" t="str">
        <x:v>אלישע</x:v>
      </x:c>
      <x:c r="G729" s="20" t="str">
        <x:v>Elisha, the famous prophet</x:v>
      </x:c>
      <x:c r="H729" s="20" t="str"/>
      <x:c r="I729" s="21" t="str">
        <x:v>自編延伸</x:v>
      </x:c>
      <x:c r="J729" s="21"/>
      <x:c r="K729" s="22" t="n">
        <x:v>58</x:v>
      </x:c>
      <x:c r="L729" s="21" t="str">
        <x:v>H477</x:v>
      </x:c>
      <x:c r="M729" s="21" t="str">
        <x:v>proper_name</x:v>
      </x:c>
      <x:c r="N729" s="21" t="str">
        <x:v>是</x:v>
      </x:c>
      <x:c r="O729" s="21" t="str">
        <x:v>人名</x:v>
      </x:c>
      <x:c r="P729" s="21" t="str">
        <x:v>lemma_frequency_verified</x:v>
      </x:c>
      <x:c r="Q729" s="21" t="str">
        <x:v>rule_generated_exception_review</x:v>
      </x:c>
      <x:c r="R729" s="20" t="str">
        <x:v>https://github.com/openscriptures/morphhb</x:v>
      </x:c>
    </x:row>
    <x:row r="730" ht="28" customHeight="1">
      <x:c r="A730" s="21" t="n">
        <x:v>726</x:v>
      </x:c>
      <x:c r="B730" s="21" t="n">
        <x:f>ROUNDUP(A730/20,0)</x:f>
        <x:v>37</x:v>
      </x:c>
      <x:c r="C730" s="21" t="n">
        <x:f>MOD(A730-1,20)+1</x:f>
        <x:v>6</x:v>
      </x:c>
      <x:c r="D730" s="18" t="str">
        <x:v>בְּלִי</x:v>
      </x:c>
      <x:c r="E730" s="19" t="str">
        <x:v>bəlî</x:v>
      </x:c>
      <x:c r="F730" s="16" t="str">
        <x:v>בלי</x:v>
      </x:c>
      <x:c r="G730" s="20" t="str">
        <x:v>properly, failure, i.e. nothing or destruction; usually (with preposition) without, not yet, because not, as long as, etc.</x:v>
      </x:c>
      <x:c r="H730" s="20" t="str"/>
      <x:c r="I730" s="21" t="str">
        <x:v>自編延伸</x:v>
      </x:c>
      <x:c r="J730" s="21"/>
      <x:c r="K730" s="22" t="n">
        <x:v>58</x:v>
      </x:c>
      <x:c r="L730" s="21" t="str">
        <x:v>H1097</x:v>
      </x:c>
      <x:c r="M730" s="21" t="str">
        <x:v>particle</x:v>
      </x:c>
      <x:c r="N730" s="21" t="str">
        <x:v>否</x:v>
      </x:c>
      <x:c r="O730" s="21" t="str"/>
      <x:c r="P730" s="21" t="str">
        <x:v>lemma_frequency_verified</x:v>
      </x:c>
      <x:c r="Q730" s="21" t="str">
        <x:v>rule_generated_exception_review</x:v>
      </x:c>
      <x:c r="R730" s="20" t="str">
        <x:v>https://github.com/openscriptures/morphhb</x:v>
      </x:c>
    </x:row>
    <x:row r="731" ht="28" customHeight="1">
      <x:c r="A731" s="21" t="n">
        <x:v>727</x:v>
      </x:c>
      <x:c r="B731" s="21" t="n">
        <x:f>ROUNDUP(A731/20,0)</x:f>
        <x:v>37</x:v>
      </x:c>
      <x:c r="C731" s="21" t="n">
        <x:f>MOD(A731-1,20)+1</x:f>
        <x:v>7</x:v>
      </x:c>
      <x:c r="D731" s="18" t="str">
        <x:v>שְׁמָמָה</x:v>
      </x:c>
      <x:c r="E731" s="19" t="str">
        <x:v>šəmāmâ</x:v>
      </x:c>
      <x:c r="F731" s="16" t="str">
        <x:v>שממה</x:v>
      </x:c>
      <x:c r="G731" s="20" t="str">
        <x:v>devastation; figuratively, astonishment</x:v>
      </x:c>
      <x:c r="H731" s="20" t="str"/>
      <x:c r="I731" s="21" t="str">
        <x:v>自編延伸</x:v>
      </x:c>
      <x:c r="J731" s="21"/>
      <x:c r="K731" s="22" t="n">
        <x:v>58</x:v>
      </x:c>
      <x:c r="L731" s="21" t="str">
        <x:v>H8077</x:v>
      </x:c>
      <x:c r="M731" s="21" t="str">
        <x:v>noun</x:v>
      </x:c>
      <x:c r="N731" s="21" t="str">
        <x:v>否</x:v>
      </x:c>
      <x:c r="O731" s="21" t="str"/>
      <x:c r="P731" s="21" t="str">
        <x:v>lemma_frequency_verified</x:v>
      </x:c>
      <x:c r="Q731" s="21" t="str">
        <x:v>rule_generated_exception_review</x:v>
      </x:c>
      <x:c r="R731" s="20" t="str">
        <x:v>https://github.com/openscriptures/morphhb</x:v>
      </x:c>
    </x:row>
    <x:row r="732" ht="28" customHeight="1">
      <x:c r="A732" s="21" t="n">
        <x:v>728</x:v>
      </x:c>
      <x:c r="B732" s="21" t="n">
        <x:f>ROUNDUP(A732/20,0)</x:f>
        <x:v>37</x:v>
      </x:c>
      <x:c r="C732" s="21" t="n">
        <x:f>MOD(A732-1,20)+1</x:f>
        <x:v>8</x:v>
      </x:c>
      <x:c r="D732" s="18" t="str">
        <x:v>רָחַק</x:v>
      </x:c>
      <x:c r="E732" s="19" t="str">
        <x:v>rāḥaq</x:v>
      </x:c>
      <x:c r="F732" s="16" t="str">
        <x:v>רחק</x:v>
      </x:c>
      <x:c r="G732" s="20" t="str">
        <x:v>to widen (in any direction), i.e. (intransitively) recede or (transitively) remove (literally or figuratively, of place or relation)</x:v>
      </x:c>
      <x:c r="H732" s="20" t="str"/>
      <x:c r="I732" s="21" t="str">
        <x:v>自編延伸</x:v>
      </x:c>
      <x:c r="J732" s="21"/>
      <x:c r="K732" s="22" t="n">
        <x:v>58</x:v>
      </x:c>
      <x:c r="L732" s="21" t="str">
        <x:v>H7368</x:v>
      </x:c>
      <x:c r="M732" s="21" t="str">
        <x:v>verb</x:v>
      </x:c>
      <x:c r="N732" s="21" t="str">
        <x:v>否</x:v>
      </x:c>
      <x:c r="O732" s="21" t="str"/>
      <x:c r="P732" s="21" t="str">
        <x:v>lemma_frequency_verified</x:v>
      </x:c>
      <x:c r="Q732" s="21" t="str">
        <x:v>rule_generated_exception_review</x:v>
      </x:c>
      <x:c r="R732" s="20" t="str">
        <x:v>https://github.com/openscriptures/morphhb</x:v>
      </x:c>
    </x:row>
    <x:row r="733" ht="28" customHeight="1">
      <x:c r="A733" s="21" t="n">
        <x:v>729</x:v>
      </x:c>
      <x:c r="B733" s="21" t="n">
        <x:f>ROUNDUP(A733/20,0)</x:f>
        <x:v>37</x:v>
      </x:c>
      <x:c r="C733" s="21" t="n">
        <x:f>MOD(A733-1,20)+1</x:f>
        <x:v>9</x:v>
      </x:c>
      <x:c r="D733" s="18" t="str">
        <x:v>רֵיחַ</x:v>
      </x:c>
      <x:c r="E733" s="19" t="str">
        <x:v>rêaḥ</x:v>
      </x:c>
      <x:c r="F733" s="16" t="str">
        <x:v>ריח</x:v>
      </x:c>
      <x:c r="G733" s="20" t="str">
        <x:v>odor (as if blown)</x:v>
      </x:c>
      <x:c r="H733" s="20" t="str"/>
      <x:c r="I733" s="21" t="str">
        <x:v>自編延伸</x:v>
      </x:c>
      <x:c r="J733" s="21"/>
      <x:c r="K733" s="22" t="n">
        <x:v>58</x:v>
      </x:c>
      <x:c r="L733" s="21" t="str">
        <x:v>H7381</x:v>
      </x:c>
      <x:c r="M733" s="21" t="str">
        <x:v>noun</x:v>
      </x:c>
      <x:c r="N733" s="21" t="str">
        <x:v>否</x:v>
      </x:c>
      <x:c r="O733" s="21" t="str"/>
      <x:c r="P733" s="21" t="str">
        <x:v>lemma_frequency_verified</x:v>
      </x:c>
      <x:c r="Q733" s="21" t="str">
        <x:v>rule_generated_exception_review</x:v>
      </x:c>
      <x:c r="R733" s="20" t="str">
        <x:v>https://github.com/openscriptures/morphhb</x:v>
      </x:c>
    </x:row>
    <x:row r="734" ht="28" customHeight="1">
      <x:c r="A734" s="21" t="n">
        <x:v>730</x:v>
      </x:c>
      <x:c r="B734" s="21" t="n">
        <x:f>ROUNDUP(A734/20,0)</x:f>
        <x:v>37</x:v>
      </x:c>
      <x:c r="C734" s="21" t="n">
        <x:f>MOD(A734-1,20)+1</x:f>
        <x:v>10</x:v>
      </x:c>
      <x:c r="D734" s="18" t="str">
        <x:v>אִיּוֹב</x:v>
      </x:c>
      <x:c r="E734" s="19" t="str">
        <x:v>ʾîôḇ</x:v>
      </x:c>
      <x:c r="F734" s="16" t="str">
        <x:v>איוב</x:v>
      </x:c>
      <x:c r="G734" s="20" t="str">
        <x:v>Ijob, the patriarch famous for his patience</x:v>
      </x:c>
      <x:c r="H734" s="20" t="str"/>
      <x:c r="I734" s="21" t="str">
        <x:v>自編延伸</x:v>
      </x:c>
      <x:c r="J734" s="21"/>
      <x:c r="K734" s="22" t="n">
        <x:v>58</x:v>
      </x:c>
      <x:c r="L734" s="21" t="str">
        <x:v>H347</x:v>
      </x:c>
      <x:c r="M734" s="21" t="str">
        <x:v>proper_name</x:v>
      </x:c>
      <x:c r="N734" s="21" t="str">
        <x:v>是</x:v>
      </x:c>
      <x:c r="O734" s="21" t="str">
        <x:v>人名</x:v>
      </x:c>
      <x:c r="P734" s="21" t="str">
        <x:v>lemma_frequency_verified</x:v>
      </x:c>
      <x:c r="Q734" s="21" t="str">
        <x:v>rule_generated_exception_review</x:v>
      </x:c>
      <x:c r="R734" s="20" t="str">
        <x:v>https://github.com/openscriptures/morphhb</x:v>
      </x:c>
    </x:row>
    <x:row r="735" ht="28" customHeight="1">
      <x:c r="A735" s="21" t="n">
        <x:v>731</x:v>
      </x:c>
      <x:c r="B735" s="21" t="n">
        <x:f>ROUNDUP(A735/20,0)</x:f>
        <x:v>37</x:v>
      </x:c>
      <x:c r="C735" s="21" t="n">
        <x:f>MOD(A735-1,20)+1</x:f>
        <x:v>11</x:v>
      </x:c>
      <x:c r="D735" s="18" t="str">
        <x:v>שָׁדַד</x:v>
      </x:c>
      <x:c r="E735" s="19" t="str">
        <x:v>šāḏaḏ</x:v>
      </x:c>
      <x:c r="F735" s="16" t="str">
        <x:v>שדד</x:v>
      </x:c>
      <x:c r="G735" s="20" t="str">
        <x:v>properly, to be burly, i.e. (figuratively) powerful (passively, impregnable); by implication, to ravage</x:v>
      </x:c>
      <x:c r="H735" s="20" t="str"/>
      <x:c r="I735" s="21" t="str">
        <x:v>自編延伸</x:v>
      </x:c>
      <x:c r="J735" s="21"/>
      <x:c r="K735" s="22" t="n">
        <x:v>58</x:v>
      </x:c>
      <x:c r="L735" s="21" t="str">
        <x:v>H7703</x:v>
      </x:c>
      <x:c r="M735" s="21" t="str">
        <x:v>verb</x:v>
      </x:c>
      <x:c r="N735" s="21" t="str">
        <x:v>否</x:v>
      </x:c>
      <x:c r="O735" s="21" t="str"/>
      <x:c r="P735" s="21" t="str">
        <x:v>lemma_frequency_verified</x:v>
      </x:c>
      <x:c r="Q735" s="21" t="str">
        <x:v>rule_generated_exception_review</x:v>
      </x:c>
      <x:c r="R735" s="20" t="str">
        <x:v>https://github.com/openscriptures/morphhb</x:v>
      </x:c>
    </x:row>
    <x:row r="736" ht="28" customHeight="1">
      <x:c r="A736" s="21" t="n">
        <x:v>732</x:v>
      </x:c>
      <x:c r="B736" s="21" t="n">
        <x:f>ROUNDUP(A736/20,0)</x:f>
        <x:v>37</x:v>
      </x:c>
      <x:c r="C736" s="21" t="n">
        <x:f>MOD(A736-1,20)+1</x:f>
        <x:v>12</x:v>
      </x:c>
      <x:c r="D736" s="18" t="str">
        <x:v>יְרִיחוֹ</x:v>
      </x:c>
      <x:c r="E736" s="19" t="str">
        <x:v>yərîḥô</x:v>
      </x:c>
      <x:c r="F736" s="16" t="str">
        <x:v>יריחו</x:v>
      </x:c>
      <x:c r="G736" s="20" t="str">
        <x:v>Jericho or Jerecho, a place in Palestine</x:v>
      </x:c>
      <x:c r="H736" s="20" t="str"/>
      <x:c r="I736" s="21" t="str">
        <x:v>自編延伸</x:v>
      </x:c>
      <x:c r="J736" s="21"/>
      <x:c r="K736" s="22" t="n">
        <x:v>57</x:v>
      </x:c>
      <x:c r="L736" s="21" t="str">
        <x:v>H3405</x:v>
      </x:c>
      <x:c r="M736" s="21" t="str">
        <x:v>proper_name</x:v>
      </x:c>
      <x:c r="N736" s="21" t="str">
        <x:v>是</x:v>
      </x:c>
      <x:c r="O736" s="21" t="str">
        <x:v>地名</x:v>
      </x:c>
      <x:c r="P736" s="21" t="str">
        <x:v>lemma_frequency_verified</x:v>
      </x:c>
      <x:c r="Q736" s="21" t="str">
        <x:v>rule_generated_exception_review</x:v>
      </x:c>
      <x:c r="R736" s="20" t="str">
        <x:v>https://github.com/openscriptures/morphhb</x:v>
      </x:c>
    </x:row>
    <x:row r="737" ht="28" customHeight="1">
      <x:c r="A737" s="21" t="n">
        <x:v>733</x:v>
      </x:c>
      <x:c r="B737" s="21" t="n">
        <x:f>ROUNDUP(A737/20,0)</x:f>
        <x:v>37</x:v>
      </x:c>
      <x:c r="C737" s="21" t="n">
        <x:f>MOD(A737-1,20)+1</x:f>
        <x:v>13</x:v>
      </x:c>
      <x:c r="D737" s="18" t="str">
        <x:v>פָּרָשׁ</x:v>
      </x:c>
      <x:c r="E737" s="19" t="str">
        <x:v>pārāš</x:v>
      </x:c>
      <x:c r="F737" s="16" t="str">
        <x:v>פרש</x:v>
      </x:c>
      <x:c r="G737" s="20" t="str">
        <x:v>a steed (as stretched out to a vehicle, not single nor for mounting ); also (by implication) a driver (in a chariot), i.e. (collectively) cavalry</x:v>
      </x:c>
      <x:c r="H737" s="20" t="str"/>
      <x:c r="I737" s="21" t="str">
        <x:v>自編延伸</x:v>
      </x:c>
      <x:c r="J737" s="21"/>
      <x:c r="K737" s="22" t="n">
        <x:v>57</x:v>
      </x:c>
      <x:c r="L737" s="21" t="str">
        <x:v>H6571</x:v>
      </x:c>
      <x:c r="M737" s="21" t="str">
        <x:v>noun</x:v>
      </x:c>
      <x:c r="N737" s="21" t="str">
        <x:v>否</x:v>
      </x:c>
      <x:c r="O737" s="21" t="str"/>
      <x:c r="P737" s="21" t="str">
        <x:v>lemma_frequency_verified</x:v>
      </x:c>
      <x:c r="Q737" s="21" t="str">
        <x:v>rule_generated_exception_review</x:v>
      </x:c>
      <x:c r="R737" s="20" t="str">
        <x:v>https://github.com/openscriptures/morphhb</x:v>
      </x:c>
    </x:row>
    <x:row r="738" ht="28" customHeight="1">
      <x:c r="A738" s="21" t="n">
        <x:v>734</x:v>
      </x:c>
      <x:c r="B738" s="21" t="n">
        <x:f>ROUNDUP(A738/20,0)</x:f>
        <x:v>37</x:v>
      </x:c>
      <x:c r="C738" s="21" t="n">
        <x:f>MOD(A738-1,20)+1</x:f>
        <x:v>14</x:v>
      </x:c>
      <x:c r="D738" s="18" t="str">
        <x:v>רָצָה</x:v>
      </x:c>
      <x:c r="E738" s="19" t="str">
        <x:v>rāṣâ</x:v>
      </x:c>
      <x:c r="F738" s="16" t="str">
        <x:v>רצה</x:v>
      </x:c>
      <x:c r="G738" s="20" t="str">
        <x:v>to be pleased with; specifically, to satisfy adebt</x:v>
      </x:c>
      <x:c r="H738" s="20" t="str"/>
      <x:c r="I738" s="21" t="str">
        <x:v>自編延伸</x:v>
      </x:c>
      <x:c r="J738" s="21"/>
      <x:c r="K738" s="22" t="n">
        <x:v>57</x:v>
      </x:c>
      <x:c r="L738" s="21" t="str">
        <x:v>H7521</x:v>
      </x:c>
      <x:c r="M738" s="21" t="str">
        <x:v>verb</x:v>
      </x:c>
      <x:c r="N738" s="21" t="str">
        <x:v>否</x:v>
      </x:c>
      <x:c r="O738" s="21" t="str"/>
      <x:c r="P738" s="21" t="str">
        <x:v>lemma_frequency_verified</x:v>
      </x:c>
      <x:c r="Q738" s="21" t="str">
        <x:v>rule_generated_exception_review</x:v>
      </x:c>
      <x:c r="R738" s="20" t="str">
        <x:v>https://github.com/openscriptures/morphhb</x:v>
      </x:c>
    </x:row>
    <x:row r="739" ht="28" customHeight="1">
      <x:c r="A739" s="21" t="n">
        <x:v>735</x:v>
      </x:c>
      <x:c r="B739" s="21" t="n">
        <x:f>ROUNDUP(A739/20,0)</x:f>
        <x:v>37</x:v>
      </x:c>
      <x:c r="C739" s="21" t="n">
        <x:f>MOD(A739-1,20)+1</x:f>
        <x:v>15</x:v>
      </x:c>
      <x:c r="D739" s="18" t="str">
        <x:v>טֶרֶם</x:v>
      </x:c>
      <x:c r="E739" s="19" t="str">
        <x:v>ṭerem</x:v>
      </x:c>
      <x:c r="F739" s="16" t="str">
        <x:v>טרם</x:v>
      </x:c>
      <x:c r="G739" s="20" t="str">
        <x:v>properly, non-occurrence; used adverbially, not yet or before</x:v>
      </x:c>
      <x:c r="H739" s="20" t="str"/>
      <x:c r="I739" s="21" t="str">
        <x:v>自編延伸</x:v>
      </x:c>
      <x:c r="J739" s="21"/>
      <x:c r="K739" s="22" t="n">
        <x:v>57</x:v>
      </x:c>
      <x:c r="L739" s="21" t="str">
        <x:v>H2962</x:v>
      </x:c>
      <x:c r="M739" s="21" t="str">
        <x:v>adverb</x:v>
      </x:c>
      <x:c r="N739" s="21" t="str">
        <x:v>否</x:v>
      </x:c>
      <x:c r="O739" s="21" t="str"/>
      <x:c r="P739" s="21" t="str">
        <x:v>lemma_frequency_verified</x:v>
      </x:c>
      <x:c r="Q739" s="21" t="str">
        <x:v>rule_generated_exception_review</x:v>
      </x:c>
      <x:c r="R739" s="20" t="str">
        <x:v>https://github.com/openscriptures/morphhb</x:v>
      </x:c>
    </x:row>
    <x:row r="740" ht="28" customHeight="1">
      <x:c r="A740" s="21" t="n">
        <x:v>736</x:v>
      </x:c>
      <x:c r="B740" s="21" t="n">
        <x:f>ROUNDUP(A740/20,0)</x:f>
        <x:v>37</x:v>
      </x:c>
      <x:c r="C740" s="21" t="n">
        <x:f>MOD(A740-1,20)+1</x:f>
        <x:v>16</x:v>
      </x:c>
      <x:c r="D740" s="18" t="str">
        <x:v>אֶדֶן</x:v>
      </x:c>
      <x:c r="E740" s="19" t="str">
        <x:v>ʾeḏen</x:v>
      </x:c>
      <x:c r="F740" s="16" t="str">
        <x:v>אדן</x:v>
      </x:c>
      <x:c r="G740" s="20" t="str">
        <x:v>a basis (of a building, a column, etc.)</x:v>
      </x:c>
      <x:c r="H740" s="20" t="str"/>
      <x:c r="I740" s="21" t="str">
        <x:v>自編延伸</x:v>
      </x:c>
      <x:c r="J740" s="21"/>
      <x:c r="K740" s="22" t="n">
        <x:v>57</x:v>
      </x:c>
      <x:c r="L740" s="21" t="str">
        <x:v>H134</x:v>
      </x:c>
      <x:c r="M740" s="21" t="str">
        <x:v>noun</x:v>
      </x:c>
      <x:c r="N740" s="21" t="str">
        <x:v>否</x:v>
      </x:c>
      <x:c r="O740" s="21" t="str"/>
      <x:c r="P740" s="21" t="str">
        <x:v>lemma_frequency_verified</x:v>
      </x:c>
      <x:c r="Q740" s="21" t="str">
        <x:v>rule_generated_exception_review</x:v>
      </x:c>
      <x:c r="R740" s="20" t="str">
        <x:v>https://github.com/openscriptures/morphhb</x:v>
      </x:c>
    </x:row>
    <x:row r="741" ht="28" customHeight="1">
      <x:c r="A741" s="21" t="n">
        <x:v>737</x:v>
      </x:c>
      <x:c r="B741" s="21" t="n">
        <x:f>ROUNDUP(A741/20,0)</x:f>
        <x:v>37</x:v>
      </x:c>
      <x:c r="C741" s="21" t="n">
        <x:f>MOD(A741-1,20)+1</x:f>
        <x:v>17</x:v>
      </x:c>
      <x:c r="D741" s="18" t="str">
        <x:v>מִזְמוֹר</x:v>
      </x:c>
      <x:c r="E741" s="19" t="str">
        <x:v>mizmôr</x:v>
      </x:c>
      <x:c r="F741" s="16" t="str">
        <x:v>מזמור</x:v>
      </x:c>
      <x:c r="G741" s="20" t="str">
        <x:v>properly, instrumental music; by implication, a poem set to notes</x:v>
      </x:c>
      <x:c r="H741" s="20" t="str"/>
      <x:c r="I741" s="21" t="str">
        <x:v>自編延伸</x:v>
      </x:c>
      <x:c r="J741" s="21"/>
      <x:c r="K741" s="22" t="n">
        <x:v>57</x:v>
      </x:c>
      <x:c r="L741" s="21" t="str">
        <x:v>H4210</x:v>
      </x:c>
      <x:c r="M741" s="21" t="str">
        <x:v>noun</x:v>
      </x:c>
      <x:c r="N741" s="21" t="str">
        <x:v>否</x:v>
      </x:c>
      <x:c r="O741" s="21" t="str"/>
      <x:c r="P741" s="21" t="str">
        <x:v>lemma_frequency_verified</x:v>
      </x:c>
      <x:c r="Q741" s="21" t="str">
        <x:v>rule_generated_exception_review</x:v>
      </x:c>
      <x:c r="R741" s="20" t="str">
        <x:v>https://github.com/openscriptures/morphhb</x:v>
      </x:c>
    </x:row>
    <x:row r="742" ht="28" customHeight="1">
      <x:c r="A742" s="21" t="n">
        <x:v>738</x:v>
      </x:c>
      <x:c r="B742" s="21" t="n">
        <x:f>ROUNDUP(A742/20,0)</x:f>
        <x:v>37</x:v>
      </x:c>
      <x:c r="C742" s="21" t="n">
        <x:f>MOD(A742-1,20)+1</x:f>
        <x:v>18</x:v>
      </x:c>
      <x:c r="D742" s="18" t="str">
        <x:v>מַחֲשָׁבָה</x:v>
      </x:c>
      <x:c r="E742" s="19" t="str">
        <x:v>maḥăšāḇâ</x:v>
      </x:c>
      <x:c r="F742" s="16" t="str">
        <x:v>מחשבה</x:v>
      </x:c>
      <x:c r="G742" s="20" t="str">
        <x:v>a contrivance, i.e. (concretely) a texture, machine, or (abstractly) intention, plan (whether bad, a plot; or good, advice)</x:v>
      </x:c>
      <x:c r="H742" s="20" t="str"/>
      <x:c r="I742" s="21" t="str">
        <x:v>自編延伸</x:v>
      </x:c>
      <x:c r="J742" s="21"/>
      <x:c r="K742" s="22" t="n">
        <x:v>56</x:v>
      </x:c>
      <x:c r="L742" s="21" t="str">
        <x:v>H4284</x:v>
      </x:c>
      <x:c r="M742" s="21" t="str">
        <x:v>noun</x:v>
      </x:c>
      <x:c r="N742" s="21" t="str">
        <x:v>否</x:v>
      </x:c>
      <x:c r="O742" s="21" t="str"/>
      <x:c r="P742" s="21" t="str">
        <x:v>lemma_frequency_verified</x:v>
      </x:c>
      <x:c r="Q742" s="21" t="str">
        <x:v>rule_generated_exception_review</x:v>
      </x:c>
      <x:c r="R742" s="20" t="str">
        <x:v>https://github.com/openscriptures/morphhb</x:v>
      </x:c>
    </x:row>
    <x:row r="743" ht="28" customHeight="1">
      <x:c r="A743" s="21" t="n">
        <x:v>739</x:v>
      </x:c>
      <x:c r="B743" s="21" t="n">
        <x:f>ROUNDUP(A743/20,0)</x:f>
        <x:v>37</x:v>
      </x:c>
      <x:c r="C743" s="21" t="n">
        <x:f>MOD(A743-1,20)+1</x:f>
        <x:v>19</x:v>
      </x:c>
      <x:c r="D743" s="18" t="str">
        <x:v>אָמָה</x:v>
      </x:c>
      <x:c r="E743" s="19" t="str">
        <x:v>ʾāmâ</x:v>
      </x:c>
      <x:c r="F743" s="16" t="str">
        <x:v>אמה</x:v>
      </x:c>
      <x:c r="G743" s="20" t="str">
        <x:v>a maidservant or female slave</x:v>
      </x:c>
      <x:c r="H743" s="20" t="str"/>
      <x:c r="I743" s="21" t="str">
        <x:v>自編延伸</x:v>
      </x:c>
      <x:c r="J743" s="21"/>
      <x:c r="K743" s="22" t="n">
        <x:v>56</x:v>
      </x:c>
      <x:c r="L743" s="21" t="str">
        <x:v>H519</x:v>
      </x:c>
      <x:c r="M743" s="21" t="str">
        <x:v>noun</x:v>
      </x:c>
      <x:c r="N743" s="21" t="str">
        <x:v>否</x:v>
      </x:c>
      <x:c r="O743" s="21" t="str"/>
      <x:c r="P743" s="21" t="str">
        <x:v>lemma_frequency_verified</x:v>
      </x:c>
      <x:c r="Q743" s="21" t="str">
        <x:v>rule_generated_exception_review</x:v>
      </x:c>
      <x:c r="R743" s="20" t="str">
        <x:v>https://github.com/openscriptures/morphhb</x:v>
      </x:c>
    </x:row>
    <x:row r="744" ht="28" customHeight="1">
      <x:c r="A744" s="21" t="n">
        <x:v>740</x:v>
      </x:c>
      <x:c r="B744" s="21" t="n">
        <x:f>ROUNDUP(A744/20,0)</x:f>
        <x:v>37</x:v>
      </x:c>
      <x:c r="C744" s="21" t="n">
        <x:f>MOD(A744-1,20)+1</x:f>
        <x:v>20</x:v>
      </x:c>
      <x:c r="D744" s="18" t="str">
        <x:v>אַלְמָנָה</x:v>
      </x:c>
      <x:c r="E744" s="19" t="str">
        <x:v>ʾalmānâ</x:v>
      </x:c>
      <x:c r="F744" s="16" t="str">
        <x:v>אלמנה</x:v>
      </x:c>
      <x:c r="G744" s="20" t="str">
        <x:v>a widow; also a desolate place</x:v>
      </x:c>
      <x:c r="H744" s="20" t="str"/>
      <x:c r="I744" s="21" t="str">
        <x:v>自編延伸</x:v>
      </x:c>
      <x:c r="J744" s="21"/>
      <x:c r="K744" s="22" t="n">
        <x:v>56</x:v>
      </x:c>
      <x:c r="L744" s="21" t="str">
        <x:v>H490</x:v>
      </x:c>
      <x:c r="M744" s="21" t="str">
        <x:v>noun</x:v>
      </x:c>
      <x:c r="N744" s="21" t="str">
        <x:v>否</x:v>
      </x:c>
      <x:c r="O744" s="21" t="str"/>
      <x:c r="P744" s="21" t="str">
        <x:v>lemma_frequency_verified</x:v>
      </x:c>
      <x:c r="Q744" s="21" t="str">
        <x:v>rule_generated_exception_review</x:v>
      </x:c>
      <x:c r="R744" s="20" t="str">
        <x:v>https://github.com/openscriptures/morphhb</x:v>
      </x:c>
    </x:row>
    <x:row r="745" ht="28" customHeight="1">
      <x:c r="A745" s="21" t="n">
        <x:v>741</x:v>
      </x:c>
      <x:c r="B745" s="21" t="n">
        <x:f>ROUNDUP(A745/20,0)</x:f>
        <x:v>38</x:v>
      </x:c>
      <x:c r="C745" s="21" t="n">
        <x:f>MOD(A745-1,20)+1</x:f>
        <x:v>1</x:v>
      </x:c>
      <x:c r="D745" s="18" t="str">
        <x:v>חָזָק</x:v>
      </x:c>
      <x:c r="E745" s="19" t="str">
        <x:v>ḥāzāq</x:v>
      </x:c>
      <x:c r="F745" s="16" t="str">
        <x:v>חזק</x:v>
      </x:c>
      <x:c r="G745" s="20" t="str">
        <x:v>strong (usu. in a bad sense, hard, bold, violent)</x:v>
      </x:c>
      <x:c r="H745" s="20" t="str"/>
      <x:c r="I745" s="21" t="str">
        <x:v>自編延伸</x:v>
      </x:c>
      <x:c r="J745" s="21"/>
      <x:c r="K745" s="22" t="n">
        <x:v>56</x:v>
      </x:c>
      <x:c r="L745" s="21" t="str">
        <x:v>H2389</x:v>
      </x:c>
      <x:c r="M745" s="21" t="str">
        <x:v>adjective</x:v>
      </x:c>
      <x:c r="N745" s="21" t="str">
        <x:v>否</x:v>
      </x:c>
      <x:c r="O745" s="21" t="str"/>
      <x:c r="P745" s="21" t="str">
        <x:v>lemma_frequency_verified</x:v>
      </x:c>
      <x:c r="Q745" s="21" t="str">
        <x:v>rule_generated_exception_review</x:v>
      </x:c>
      <x:c r="R745" s="20" t="str">
        <x:v>https://github.com/openscriptures/morphhb</x:v>
      </x:c>
    </x:row>
    <x:row r="746" ht="28" customHeight="1">
      <x:c r="A746" s="21" t="n">
        <x:v>742</x:v>
      </x:c>
      <x:c r="B746" s="21" t="n">
        <x:f>ROUNDUP(A746/20,0)</x:f>
        <x:v>38</x:v>
      </x:c>
      <x:c r="C746" s="21" t="n">
        <x:f>MOD(A746-1,20)+1</x:f>
        <x:v>2</x:v>
      </x:c>
      <x:c r="D746" s="18" t="str">
        <x:v>רָצוֹן</x:v>
      </x:c>
      <x:c r="E746" s="19" t="str">
        <x:v>rāṣôn</x:v>
      </x:c>
      <x:c r="F746" s="16" t="str">
        <x:v>רצון</x:v>
      </x:c>
      <x:c r="G746" s="20" t="str">
        <x:v>delight (especially as shown)</x:v>
      </x:c>
      <x:c r="H746" s="20" t="str"/>
      <x:c r="I746" s="21" t="str">
        <x:v>自編延伸</x:v>
      </x:c>
      <x:c r="J746" s="21"/>
      <x:c r="K746" s="22" t="n">
        <x:v>56</x:v>
      </x:c>
      <x:c r="L746" s="21" t="str">
        <x:v>H7522</x:v>
      </x:c>
      <x:c r="M746" s="21" t="str">
        <x:v>noun</x:v>
      </x:c>
      <x:c r="N746" s="21" t="str">
        <x:v>否</x:v>
      </x:c>
      <x:c r="O746" s="21" t="str"/>
      <x:c r="P746" s="21" t="str">
        <x:v>lemma_frequency_verified</x:v>
      </x:c>
      <x:c r="Q746" s="21" t="str">
        <x:v>rule_generated_exception_review</x:v>
      </x:c>
      <x:c r="R746" s="20" t="str">
        <x:v>https://github.com/openscriptures/morphhb</x:v>
      </x:c>
    </x:row>
    <x:row r="747" ht="28" customHeight="1">
      <x:c r="A747" s="21" t="n">
        <x:v>743</x:v>
      </x:c>
      <x:c r="B747" s="21" t="n">
        <x:f>ROUNDUP(A747/20,0)</x:f>
        <x:v>38</x:v>
      </x:c>
      <x:c r="C747" s="21" t="n">
        <x:f>MOD(A747-1,20)+1</x:f>
        <x:v>3</x:v>
      </x:c>
      <x:c r="D747" s="18" t="str">
        <x:v>זָרַע</x:v>
      </x:c>
      <x:c r="E747" s="19" t="str">
        <x:v>zāraʿ</x:v>
      </x:c>
      <x:c r="F747" s="16" t="str">
        <x:v>זרע</x:v>
      </x:c>
      <x:c r="G747" s="20" t="str">
        <x:v>to sow; figuratively, to disseminate, plant, fructify</x:v>
      </x:c>
      <x:c r="H747" s="20" t="str"/>
      <x:c r="I747" s="21" t="str">
        <x:v>自編延伸</x:v>
      </x:c>
      <x:c r="J747" s="21"/>
      <x:c r="K747" s="22" t="n">
        <x:v>56</x:v>
      </x:c>
      <x:c r="L747" s="21" t="str">
        <x:v>H2232</x:v>
      </x:c>
      <x:c r="M747" s="21" t="str">
        <x:v>verb</x:v>
      </x:c>
      <x:c r="N747" s="21" t="str">
        <x:v>否</x:v>
      </x:c>
      <x:c r="O747" s="21" t="str"/>
      <x:c r="P747" s="21" t="str">
        <x:v>lemma_frequency_verified</x:v>
      </x:c>
      <x:c r="Q747" s="21" t="str">
        <x:v>rule_generated_exception_review</x:v>
      </x:c>
      <x:c r="R747" s="20" t="str">
        <x:v>https://github.com/openscriptures/morphhb</x:v>
      </x:c>
    </x:row>
    <x:row r="748" ht="28" customHeight="1">
      <x:c r="A748" s="21" t="n">
        <x:v>744</x:v>
      </x:c>
      <x:c r="B748" s="21" t="n">
        <x:f>ROUNDUP(A748/20,0)</x:f>
        <x:v>38</x:v>
      </x:c>
      <x:c r="C748" s="21" t="n">
        <x:f>MOD(A748-1,20)+1</x:f>
        <x:v>4</x:v>
      </x:c>
      <x:c r="D748" s="18" t="str">
        <x:v>פָּעַל</x:v>
      </x:c>
      <x:c r="E748" s="19" t="str">
        <x:v>pāʿal</x:v>
      </x:c>
      <x:c r="F748" s="16" t="str">
        <x:v>פעל</x:v>
      </x:c>
      <x:c r="G748" s="20" t="str">
        <x:v>to do or make (systematically and habitually), especially to practise</x:v>
      </x:c>
      <x:c r="H748" s="20" t="str"/>
      <x:c r="I748" s="21" t="str">
        <x:v>自編延伸</x:v>
      </x:c>
      <x:c r="J748" s="21"/>
      <x:c r="K748" s="22" t="n">
        <x:v>56</x:v>
      </x:c>
      <x:c r="L748" s="21" t="str">
        <x:v>H6466</x:v>
      </x:c>
      <x:c r="M748" s="21" t="str">
        <x:v>verb</x:v>
      </x:c>
      <x:c r="N748" s="21" t="str">
        <x:v>否</x:v>
      </x:c>
      <x:c r="O748" s="21" t="str"/>
      <x:c r="P748" s="21" t="str">
        <x:v>lemma_frequency_verified</x:v>
      </x:c>
      <x:c r="Q748" s="21" t="str">
        <x:v>rule_generated_exception_review</x:v>
      </x:c>
      <x:c r="R748" s="20" t="str">
        <x:v>https://github.com/openscriptures/morphhb</x:v>
      </x:c>
    </x:row>
    <x:row r="749" ht="28" customHeight="1">
      <x:c r="A749" s="21" t="n">
        <x:v>745</x:v>
      </x:c>
      <x:c r="B749" s="21" t="n">
        <x:f>ROUNDUP(A749/20,0)</x:f>
        <x:v>38</x:v>
      </x:c>
      <x:c r="C749" s="21" t="n">
        <x:f>MOD(A749-1,20)+1</x:f>
        <x:v>5</x:v>
      </x:c>
      <x:c r="D749" s="18" t="str">
        <x:v>רְבִיעִי</x:v>
      </x:c>
      <x:c r="E749" s="19" t="str">
        <x:v>rəḇîʿî</x:v>
      </x:c>
      <x:c r="F749" s="16" t="str">
        <x:v>רביעי</x:v>
      </x:c>
      <x:c r="G749" s="20" t="str">
        <x:v>fourth; also (fractionally) a fourth</x:v>
      </x:c>
      <x:c r="H749" s="20" t="str"/>
      <x:c r="I749" s="21" t="str">
        <x:v>自編延伸</x:v>
      </x:c>
      <x:c r="J749" s="21"/>
      <x:c r="K749" s="22" t="n">
        <x:v>55</x:v>
      </x:c>
      <x:c r="L749" s="21" t="str">
        <x:v>H7243</x:v>
      </x:c>
      <x:c r="M749" s="21" t="str">
        <x:v>adjective</x:v>
      </x:c>
      <x:c r="N749" s="21" t="str">
        <x:v>否</x:v>
      </x:c>
      <x:c r="O749" s="21" t="str"/>
      <x:c r="P749" s="21" t="str">
        <x:v>lemma_frequency_verified</x:v>
      </x:c>
      <x:c r="Q749" s="21" t="str">
        <x:v>rule_generated_exception_review</x:v>
      </x:c>
      <x:c r="R749" s="20" t="str">
        <x:v>https://github.com/openscriptures/morphhb</x:v>
      </x:c>
    </x:row>
    <x:row r="750" ht="28" customHeight="1">
      <x:c r="A750" s="21" t="n">
        <x:v>746</x:v>
      </x:c>
      <x:c r="B750" s="21" t="n">
        <x:f>ROUNDUP(A750/20,0)</x:f>
        <x:v>38</x:v>
      </x:c>
      <x:c r="C750" s="21" t="n">
        <x:f>MOD(A750-1,20)+1</x:f>
        <x:v>6</x:v>
      </x:c>
      <x:c r="D750" s="18" t="str">
        <x:v>מִדָּה</x:v>
      </x:c>
      <x:c r="E750" s="19" t="str">
        <x:v>middâ</x:v>
      </x:c>
      <x:c r="F750" s="16" t="str">
        <x:v>מדה</x:v>
      </x:c>
      <x:c r="G750" s="20" t="str">
        <x:v>properly, extension, i.e. height or breadth; also a measure (including its standard); hence a portion (as measured) or a vestment; specifically, tribute (as measured)</x:v>
      </x:c>
      <x:c r="H750" s="20" t="str"/>
      <x:c r="I750" s="21" t="str">
        <x:v>自編延伸</x:v>
      </x:c>
      <x:c r="J750" s="21"/>
      <x:c r="K750" s="22" t="n">
        <x:v>55</x:v>
      </x:c>
      <x:c r="L750" s="21" t="str">
        <x:v>H4060</x:v>
      </x:c>
      <x:c r="M750" s="21" t="str">
        <x:v>noun</x:v>
      </x:c>
      <x:c r="N750" s="21" t="str">
        <x:v>否</x:v>
      </x:c>
      <x:c r="O750" s="21" t="str"/>
      <x:c r="P750" s="21" t="str">
        <x:v>lemma_frequency_verified</x:v>
      </x:c>
      <x:c r="Q750" s="21" t="str">
        <x:v>rule_generated_exception_review</x:v>
      </x:c>
      <x:c r="R750" s="20" t="str">
        <x:v>https://github.com/openscriptures/morphhb</x:v>
      </x:c>
    </x:row>
    <x:row r="751" ht="28" customHeight="1">
      <x:c r="A751" s="21" t="n">
        <x:v>747</x:v>
      </x:c>
      <x:c r="B751" s="21" t="n">
        <x:f>ROUNDUP(A751/20,0)</x:f>
        <x:v>38</x:v>
      </x:c>
      <x:c r="C751" s="21" t="n">
        <x:f>MOD(A751-1,20)+1</x:f>
        <x:v>7</x:v>
      </x:c>
      <x:c r="D751" s="18" t="str">
        <x:v>גֶּפֶן</x:v>
      </x:c>
      <x:c r="E751" s="19" t="str">
        <x:v>gep̄en</x:v>
      </x:c>
      <x:c r="F751" s="16" t="str">
        <x:v>גפן</x:v>
      </x:c>
      <x:c r="G751" s="20" t="str">
        <x:v>a vine (as twining), especially the grape</x:v>
      </x:c>
      <x:c r="H751" s="20" t="str"/>
      <x:c r="I751" s="21" t="str">
        <x:v>自編延伸</x:v>
      </x:c>
      <x:c r="J751" s="21"/>
      <x:c r="K751" s="22" t="n">
        <x:v>55</x:v>
      </x:c>
      <x:c r="L751" s="21" t="str">
        <x:v>H1612</x:v>
      </x:c>
      <x:c r="M751" s="21" t="str">
        <x:v>noun</x:v>
      </x:c>
      <x:c r="N751" s="21" t="str">
        <x:v>否</x:v>
      </x:c>
      <x:c r="O751" s="21" t="str"/>
      <x:c r="P751" s="21" t="str">
        <x:v>lemma_frequency_verified</x:v>
      </x:c>
      <x:c r="Q751" s="21" t="str">
        <x:v>rule_generated_exception_review</x:v>
      </x:c>
      <x:c r="R751" s="20" t="str">
        <x:v>https://github.com/openscriptures/morphhb</x:v>
      </x:c>
    </x:row>
    <x:row r="752" ht="28" customHeight="1">
      <x:c r="A752" s="21" t="n">
        <x:v>748</x:v>
      </x:c>
      <x:c r="B752" s="21" t="n">
        <x:f>ROUNDUP(A752/20,0)</x:f>
        <x:v>38</x:v>
      </x:c>
      <x:c r="C752" s="21" t="n">
        <x:f>MOD(A752-1,20)+1</x:f>
        <x:v>8</x:v>
      </x:c>
      <x:c r="D752" s="18" t="str">
        <x:v>שֵׁן</x:v>
      </x:c>
      <x:c r="E752" s="19" t="str">
        <x:v>šēn</x:v>
      </x:c>
      <x:c r="F752" s="16" t="str">
        <x:v>שן</x:v>
      </x:c>
      <x:c r="G752" s="20" t="str">
        <x:v>a tooth (as sharp); specifically  ivory; figuratively, a cliff</x:v>
      </x:c>
      <x:c r="H752" s="20" t="str"/>
      <x:c r="I752" s="21" t="str">
        <x:v>自編延伸</x:v>
      </x:c>
      <x:c r="J752" s="21"/>
      <x:c r="K752" s="22" t="n">
        <x:v>55</x:v>
      </x:c>
      <x:c r="L752" s="21" t="str">
        <x:v>H8127</x:v>
      </x:c>
      <x:c r="M752" s="21" t="str">
        <x:v>noun</x:v>
      </x:c>
      <x:c r="N752" s="21" t="str">
        <x:v>否</x:v>
      </x:c>
      <x:c r="O752" s="21" t="str"/>
      <x:c r="P752" s="21" t="str">
        <x:v>lemma_frequency_verified</x:v>
      </x:c>
      <x:c r="Q752" s="21" t="str">
        <x:v>rule_generated_exception_review</x:v>
      </x:c>
      <x:c r="R752" s="20" t="str">
        <x:v>https://github.com/openscriptures/morphhb</x:v>
      </x:c>
    </x:row>
    <x:row r="753" ht="28" customHeight="1">
      <x:c r="A753" s="21" t="n">
        <x:v>749</x:v>
      </x:c>
      <x:c r="B753" s="21" t="n">
        <x:f>ROUNDUP(A753/20,0)</x:f>
        <x:v>38</x:v>
      </x:c>
      <x:c r="C753" s="21" t="n">
        <x:f>MOD(A753-1,20)+1</x:f>
        <x:v>9</x:v>
      </x:c>
      <x:c r="D753" s="18" t="str">
        <x:v>כַּעַס</x:v>
      </x:c>
      <x:c r="E753" s="19" t="str">
        <x:v>kaʿas</x:v>
      </x:c>
      <x:c r="F753" s="16" t="str">
        <x:v>כעס</x:v>
      </x:c>
      <x:c r="G753" s="20" t="str">
        <x:v>to trouble; by implication, to grieve, rage, be indignant</x:v>
      </x:c>
      <x:c r="H753" s="20" t="str"/>
      <x:c r="I753" s="21" t="str">
        <x:v>自編延伸</x:v>
      </x:c>
      <x:c r="J753" s="21"/>
      <x:c r="K753" s="22" t="n">
        <x:v>55</x:v>
      </x:c>
      <x:c r="L753" s="21" t="str">
        <x:v>H3707</x:v>
      </x:c>
      <x:c r="M753" s="21" t="str">
        <x:v>verb</x:v>
      </x:c>
      <x:c r="N753" s="21" t="str">
        <x:v>否</x:v>
      </x:c>
      <x:c r="O753" s="21" t="str"/>
      <x:c r="P753" s="21" t="str">
        <x:v>lemma_frequency_verified</x:v>
      </x:c>
      <x:c r="Q753" s="21" t="str">
        <x:v>rule_generated_exception_review</x:v>
      </x:c>
      <x:c r="R753" s="20" t="str">
        <x:v>https://github.com/openscriptures/morphhb</x:v>
      </x:c>
    </x:row>
    <x:row r="754" ht="28" customHeight="1">
      <x:c r="A754" s="21" t="n">
        <x:v>750</x:v>
      </x:c>
      <x:c r="B754" s="21" t="n">
        <x:f>ROUNDUP(A754/20,0)</x:f>
        <x:v>38</x:v>
      </x:c>
      <x:c r="C754" s="21" t="n">
        <x:f>MOD(A754-1,20)+1</x:f>
        <x:v>10</x:v>
      </x:c>
      <x:c r="D754" s="18" t="str">
        <x:v>צָעַק</x:v>
      </x:c>
      <x:c r="E754" s="19" t="str">
        <x:v>ṣāʿaq</x:v>
      </x:c>
      <x:c r="F754" s="16" t="str">
        <x:v>צעק</x:v>
      </x:c>
      <x:c r="G754" s="20" t="str">
        <x:v>to shriek; (by implication) to proclaim (an assembly)</x:v>
      </x:c>
      <x:c r="H754" s="20" t="str"/>
      <x:c r="I754" s="21" t="str">
        <x:v>自編延伸</x:v>
      </x:c>
      <x:c r="J754" s="21"/>
      <x:c r="K754" s="22" t="n">
        <x:v>55</x:v>
      </x:c>
      <x:c r="L754" s="21" t="str">
        <x:v>H6817</x:v>
      </x:c>
      <x:c r="M754" s="21" t="str">
        <x:v>verb</x:v>
      </x:c>
      <x:c r="N754" s="21" t="str">
        <x:v>否</x:v>
      </x:c>
      <x:c r="O754" s="21" t="str"/>
      <x:c r="P754" s="21" t="str">
        <x:v>lemma_frequency_verified</x:v>
      </x:c>
      <x:c r="Q754" s="21" t="str">
        <x:v>rule_generated_exception_review</x:v>
      </x:c>
      <x:c r="R754" s="20" t="str">
        <x:v>https://github.com/openscriptures/morphhb</x:v>
      </x:c>
    </x:row>
    <x:row r="755" ht="28" customHeight="1">
      <x:c r="A755" s="21" t="n">
        <x:v>751</x:v>
      </x:c>
      <x:c r="B755" s="21" t="n">
        <x:f>ROUNDUP(A755/20,0)</x:f>
        <x:v>38</x:v>
      </x:c>
      <x:c r="C755" s="21" t="n">
        <x:f>MOD(A755-1,20)+1</x:f>
        <x:v>11</x:v>
      </x:c>
      <x:c r="D755" s="18" t="str">
        <x:v>לָבָן</x:v>
      </x:c>
      <x:c r="E755" s="19" t="str">
        <x:v>lāḇān</x:v>
      </x:c>
      <x:c r="F755" s="16" t="str">
        <x:v>לבן</x:v>
      </x:c>
      <x:c r="G755" s="20" t="str">
        <x:v>Laban, a Mesopotamian; also a place in the Desert</x:v>
      </x:c>
      <x:c r="H755" s="20" t="str"/>
      <x:c r="I755" s="21" t="str">
        <x:v>自編延伸</x:v>
      </x:c>
      <x:c r="J755" s="21"/>
      <x:c r="K755" s="22" t="n">
        <x:v>55</x:v>
      </x:c>
      <x:c r="L755" s="21" t="str">
        <x:v>H3837</x:v>
      </x:c>
      <x:c r="M755" s="21" t="str">
        <x:v>proper_name</x:v>
      </x:c>
      <x:c r="N755" s="21" t="str">
        <x:v>是</x:v>
      </x:c>
      <x:c r="O755" s="21" t="str">
        <x:v>人名、地名</x:v>
      </x:c>
      <x:c r="P755" s="21" t="str">
        <x:v>lemma_frequency_verified</x:v>
      </x:c>
      <x:c r="Q755" s="21" t="str">
        <x:v>rule_generated_exception_review</x:v>
      </x:c>
      <x:c r="R755" s="20" t="str">
        <x:v>https://github.com/openscriptures/morphhb</x:v>
      </x:c>
    </x:row>
    <x:row r="756" ht="28" customHeight="1">
      <x:c r="A756" s="21" t="n">
        <x:v>752</x:v>
      </x:c>
      <x:c r="B756" s="21" t="n">
        <x:f>ROUNDUP(A756/20,0)</x:f>
        <x:v>38</x:v>
      </x:c>
      <x:c r="C756" s="21" t="n">
        <x:f>MOD(A756-1,20)+1</x:f>
        <x:v>12</x:v>
      </x:c>
      <x:c r="D756" s="18" t="str">
        <x:v>עָמָל</x:v>
      </x:c>
      <x:c r="E756" s="19" t="str">
        <x:v>ʿāmāl</x:v>
      </x:c>
      <x:c r="F756" s="16" t="str">
        <x:v>עמל</x:v>
      </x:c>
      <x:c r="G756" s="20" t="str">
        <x:v>toil, i.e. wearing effort; hence, worry, wheth. of body or mind</x:v>
      </x:c>
      <x:c r="H756" s="20" t="str"/>
      <x:c r="I756" s="21" t="str">
        <x:v>自編延伸</x:v>
      </x:c>
      <x:c r="J756" s="21"/>
      <x:c r="K756" s="22" t="n">
        <x:v>55</x:v>
      </x:c>
      <x:c r="L756" s="21" t="str">
        <x:v>H5999</x:v>
      </x:c>
      <x:c r="M756" s="21" t="str">
        <x:v>noun</x:v>
      </x:c>
      <x:c r="N756" s="21" t="str">
        <x:v>否</x:v>
      </x:c>
      <x:c r="O756" s="21" t="str"/>
      <x:c r="P756" s="21" t="str">
        <x:v>lemma_frequency_verified</x:v>
      </x:c>
      <x:c r="Q756" s="21" t="str">
        <x:v>rule_generated_exception_review</x:v>
      </x:c>
      <x:c r="R756" s="20" t="str">
        <x:v>https://github.com/openscriptures/morphhb</x:v>
      </x:c>
    </x:row>
    <x:row r="757" ht="28" customHeight="1">
      <x:c r="A757" s="21" t="n">
        <x:v>753</x:v>
      </x:c>
      <x:c r="B757" s="21" t="n">
        <x:f>ROUNDUP(A757/20,0)</x:f>
        <x:v>38</x:v>
      </x:c>
      <x:c r="C757" s="21" t="n">
        <x:f>MOD(A757-1,20)+1</x:f>
        <x:v>13</x:v>
      </x:c>
      <x:c r="D757" s="18" t="str">
        <x:v>אֶסְתֵּר</x:v>
      </x:c>
      <x:c r="E757" s="19" t="str">
        <x:v>ʾestēr</x:v>
      </x:c>
      <x:c r="F757" s="16" t="str">
        <x:v>אסתר</x:v>
      </x:c>
      <x:c r="G757" s="20" t="str">
        <x:v>Ester, the Jewish heroine</x:v>
      </x:c>
      <x:c r="H757" s="20" t="str"/>
      <x:c r="I757" s="21" t="str">
        <x:v>自編延伸</x:v>
      </x:c>
      <x:c r="J757" s="21"/>
      <x:c r="K757" s="22" t="n">
        <x:v>55</x:v>
      </x:c>
      <x:c r="L757" s="21" t="str">
        <x:v>H635</x:v>
      </x:c>
      <x:c r="M757" s="21" t="str">
        <x:v>proper_name</x:v>
      </x:c>
      <x:c r="N757" s="21" t="str">
        <x:v>是</x:v>
      </x:c>
      <x:c r="O757" s="21" t="str">
        <x:v>人名</x:v>
      </x:c>
      <x:c r="P757" s="21" t="str">
        <x:v>lemma_frequency_verified</x:v>
      </x:c>
      <x:c r="Q757" s="21" t="str">
        <x:v>rule_generated_exception_review</x:v>
      </x:c>
      <x:c r="R757" s="20" t="str">
        <x:v>https://github.com/openscriptures/morphhb</x:v>
      </x:c>
    </x:row>
    <x:row r="758" ht="28" customHeight="1">
      <x:c r="A758" s="21" t="n">
        <x:v>754</x:v>
      </x:c>
      <x:c r="B758" s="21" t="n">
        <x:f>ROUNDUP(A758/20,0)</x:f>
        <x:v>38</x:v>
      </x:c>
      <x:c r="C758" s="21" t="n">
        <x:f>MOD(A758-1,20)+1</x:f>
        <x:v>14</x:v>
      </x:c>
      <x:c r="D758" s="18" t="str">
        <x:v>גָּמָל</x:v>
      </x:c>
      <x:c r="E758" s="19" t="str">
        <x:v>gāmāl</x:v>
      </x:c>
      <x:c r="F758" s="16" t="str">
        <x:v>גמל</x:v>
      </x:c>
      <x:c r="G758" s="20" t="str">
        <x:v>a camel</x:v>
      </x:c>
      <x:c r="H758" s="20" t="str"/>
      <x:c r="I758" s="21" t="str">
        <x:v>自編延伸</x:v>
      </x:c>
      <x:c r="J758" s="21"/>
      <x:c r="K758" s="22" t="n">
        <x:v>54</x:v>
      </x:c>
      <x:c r="L758" s="21" t="str">
        <x:v>H1581</x:v>
      </x:c>
      <x:c r="M758" s="21" t="str">
        <x:v>noun</x:v>
      </x:c>
      <x:c r="N758" s="21" t="str">
        <x:v>否</x:v>
      </x:c>
      <x:c r="O758" s="21" t="str"/>
      <x:c r="P758" s="21" t="str">
        <x:v>lemma_frequency_verified</x:v>
      </x:c>
      <x:c r="Q758" s="21" t="str">
        <x:v>rule_generated_exception_review</x:v>
      </x:c>
      <x:c r="R758" s="20" t="str">
        <x:v>https://github.com/openscriptures/morphhb</x:v>
      </x:c>
    </x:row>
    <x:row r="759" ht="28" customHeight="1">
      <x:c r="A759" s="21" t="n">
        <x:v>755</x:v>
      </x:c>
      <x:c r="B759" s="21" t="n">
        <x:f>ROUNDUP(A759/20,0)</x:f>
        <x:v>38</x:v>
      </x:c>
      <x:c r="C759" s="21" t="n">
        <x:f>MOD(A759-1,20)+1</x:f>
        <x:v>15</x:v>
      </x:c>
      <x:c r="D759" s="18" t="str">
        <x:v>דָּבַק</x:v>
      </x:c>
      <x:c r="E759" s="19" t="str">
        <x:v>dāḇaq</x:v>
      </x:c>
      <x:c r="F759" s="16" t="str">
        <x:v>דבק</x:v>
      </x:c>
      <x:c r="G759" s="20" t="str">
        <x:v>properly, to impinge, i.e. cling or adhere; figuratively, to catch by pursuit</x:v>
      </x:c>
      <x:c r="H759" s="20" t="str"/>
      <x:c r="I759" s="21" t="str">
        <x:v>自編延伸</x:v>
      </x:c>
      <x:c r="J759" s="21"/>
      <x:c r="K759" s="22" t="n">
        <x:v>54</x:v>
      </x:c>
      <x:c r="L759" s="21" t="str">
        <x:v>H1692</x:v>
      </x:c>
      <x:c r="M759" s="21" t="str">
        <x:v>verb</x:v>
      </x:c>
      <x:c r="N759" s="21" t="str">
        <x:v>否</x:v>
      </x:c>
      <x:c r="O759" s="21" t="str"/>
      <x:c r="P759" s="21" t="str">
        <x:v>lemma_frequency_verified</x:v>
      </x:c>
      <x:c r="Q759" s="21" t="str">
        <x:v>rule_generated_exception_review</x:v>
      </x:c>
      <x:c r="R759" s="20" t="str">
        <x:v>https://github.com/openscriptures/morphhb</x:v>
      </x:c>
    </x:row>
    <x:row r="760" ht="28" customHeight="1">
      <x:c r="A760" s="21" t="n">
        <x:v>756</x:v>
      </x:c>
      <x:c r="B760" s="21" t="n">
        <x:f>ROUNDUP(A760/20,0)</x:f>
        <x:v>38</x:v>
      </x:c>
      <x:c r="C760" s="21" t="n">
        <x:f>MOD(A760-1,20)+1</x:f>
        <x:v>16</x:v>
      </x:c>
      <x:c r="D760" s="18" t="str">
        <x:v>אָבָה</x:v>
      </x:c>
      <x:c r="E760" s="19" t="str">
        <x:v>ʾāḇâ</x:v>
      </x:c>
      <x:c r="F760" s="16" t="str">
        <x:v>אבה</x:v>
      </x:c>
      <x:c r="G760" s="20" t="str">
        <x:v>to breathe after, i.e. (figuratively) to be acquiescent</x:v>
      </x:c>
      <x:c r="H760" s="20" t="str"/>
      <x:c r="I760" s="21" t="str">
        <x:v>自編延伸</x:v>
      </x:c>
      <x:c r="J760" s="21"/>
      <x:c r="K760" s="22" t="n">
        <x:v>54</x:v>
      </x:c>
      <x:c r="L760" s="21" t="str">
        <x:v>H14</x:v>
      </x:c>
      <x:c r="M760" s="21" t="str">
        <x:v>verb</x:v>
      </x:c>
      <x:c r="N760" s="21" t="str">
        <x:v>否</x:v>
      </x:c>
      <x:c r="O760" s="21" t="str"/>
      <x:c r="P760" s="21" t="str">
        <x:v>lemma_frequency_verified</x:v>
      </x:c>
      <x:c r="Q760" s="21" t="str">
        <x:v>rule_generated_exception_review</x:v>
      </x:c>
      <x:c r="R760" s="20" t="str">
        <x:v>https://github.com/openscriptures/morphhb</x:v>
      </x:c>
    </x:row>
    <x:row r="761" ht="28" customHeight="1">
      <x:c r="A761" s="21" t="n">
        <x:v>757</x:v>
      </x:c>
      <x:c r="B761" s="21" t="n">
        <x:f>ROUNDUP(A761/20,0)</x:f>
        <x:v>38</x:v>
      </x:c>
      <x:c r="C761" s="21" t="n">
        <x:f>MOD(A761-1,20)+1</x:f>
        <x:v>17</x:v>
      </x:c>
      <x:c r="D761" s="18" t="str">
        <x:v>יְרִיעָה</x:v>
      </x:c>
      <x:c r="E761" s="19" t="str">
        <x:v>yərîʿâ</x:v>
      </x:c>
      <x:c r="F761" s="16" t="str">
        <x:v>יריעה</x:v>
      </x:c>
      <x:c r="G761" s="20" t="str">
        <x:v>a hanging (as tremulous)</x:v>
      </x:c>
      <x:c r="H761" s="20" t="str"/>
      <x:c r="I761" s="21" t="str">
        <x:v>自編延伸</x:v>
      </x:c>
      <x:c r="J761" s="21"/>
      <x:c r="K761" s="22" t="n">
        <x:v>54</x:v>
      </x:c>
      <x:c r="L761" s="21" t="str">
        <x:v>H3407</x:v>
      </x:c>
      <x:c r="M761" s="21" t="str">
        <x:v>noun</x:v>
      </x:c>
      <x:c r="N761" s="21" t="str">
        <x:v>否</x:v>
      </x:c>
      <x:c r="O761" s="21" t="str"/>
      <x:c r="P761" s="21" t="str">
        <x:v>lemma_frequency_verified</x:v>
      </x:c>
      <x:c r="Q761" s="21" t="str">
        <x:v>rule_generated_exception_review</x:v>
      </x:c>
      <x:c r="R761" s="20" t="str">
        <x:v>https://github.com/openscriptures/morphhb</x:v>
      </x:c>
    </x:row>
    <x:row r="762" ht="28" customHeight="1">
      <x:c r="A762" s="21" t="n">
        <x:v>758</x:v>
      </x:c>
      <x:c r="B762" s="21" t="n">
        <x:f>ROUNDUP(A762/20,0)</x:f>
        <x:v>38</x:v>
      </x:c>
      <x:c r="C762" s="21" t="n">
        <x:f>MOD(A762-1,20)+1</x:f>
        <x:v>18</x:v>
      </x:c>
      <x:c r="D762" s="18" t="str">
        <x:v>עֶוֶל</x:v>
      </x:c>
      <x:c r="E762" s="19" t="str">
        <x:v>ʿewel</x:v>
      </x:c>
      <x:c r="F762" s="16" t="str">
        <x:v>עול</x:v>
      </x:c>
      <x:c r="G762" s="20" t="str">
        <x:v>(moral) evil</x:v>
      </x:c>
      <x:c r="H762" s="20" t="str"/>
      <x:c r="I762" s="21" t="str">
        <x:v>自編延伸</x:v>
      </x:c>
      <x:c r="J762" s="21"/>
      <x:c r="K762" s="22" t="n">
        <x:v>54</x:v>
      </x:c>
      <x:c r="L762" s="21" t="str">
        <x:v>H5766</x:v>
      </x:c>
      <x:c r="M762" s="21" t="str">
        <x:v>noun</x:v>
      </x:c>
      <x:c r="N762" s="21" t="str">
        <x:v>否</x:v>
      </x:c>
      <x:c r="O762" s="21" t="str"/>
      <x:c r="P762" s="21" t="str">
        <x:v>lemma_frequency_verified</x:v>
      </x:c>
      <x:c r="Q762" s="21" t="str">
        <x:v>rule_generated_exception_review</x:v>
      </x:c>
      <x:c r="R762" s="20" t="str">
        <x:v>https://github.com/openscriptures/morphhb</x:v>
      </x:c>
    </x:row>
    <x:row r="763" ht="28" customHeight="1">
      <x:c r="A763" s="21" t="n">
        <x:v>759</x:v>
      </x:c>
      <x:c r="B763" s="21" t="n">
        <x:f>ROUNDUP(A763/20,0)</x:f>
        <x:v>38</x:v>
      </x:c>
      <x:c r="C763" s="21" t="n">
        <x:f>MOD(A763-1,20)+1</x:f>
        <x:v>19</x:v>
      </x:c>
      <x:c r="D763" s="18" t="str">
        <x:v>דְּבַשׁ</x:v>
      </x:c>
      <x:c r="E763" s="19" t="str">
        <x:v>dəḇaš</x:v>
      </x:c>
      <x:c r="F763" s="16" t="str">
        <x:v>דבש</x:v>
      </x:c>
      <x:c r="G763" s="20" t="str">
        <x:v>honey (from its stickiness); by analogy, syrup</x:v>
      </x:c>
      <x:c r="H763" s="20" t="str"/>
      <x:c r="I763" s="21" t="str">
        <x:v>自編延伸</x:v>
      </x:c>
      <x:c r="J763" s="21"/>
      <x:c r="K763" s="22" t="n">
        <x:v>54</x:v>
      </x:c>
      <x:c r="L763" s="21" t="str">
        <x:v>H1706</x:v>
      </x:c>
      <x:c r="M763" s="21" t="str">
        <x:v>noun</x:v>
      </x:c>
      <x:c r="N763" s="21" t="str">
        <x:v>否</x:v>
      </x:c>
      <x:c r="O763" s="21" t="str"/>
      <x:c r="P763" s="21" t="str">
        <x:v>lemma_frequency_verified</x:v>
      </x:c>
      <x:c r="Q763" s="21" t="str">
        <x:v>rule_generated_exception_review</x:v>
      </x:c>
      <x:c r="R763" s="20" t="str">
        <x:v>https://github.com/openscriptures/morphhb</x:v>
      </x:c>
    </x:row>
    <x:row r="764" ht="28" customHeight="1">
      <x:c r="A764" s="21" t="n">
        <x:v>760</x:v>
      </x:c>
      <x:c r="B764" s="21" t="n">
        <x:f>ROUNDUP(A764/20,0)</x:f>
        <x:v>38</x:v>
      </x:c>
      <x:c r="C764" s="21" t="n">
        <x:f>MOD(A764-1,20)+1</x:f>
        <x:v>20</x:v>
      </x:c>
      <x:c r="D764" s="18" t="str">
        <x:v>יָרֵא</x:v>
      </x:c>
      <x:c r="E764" s="19" t="str">
        <x:v>yārēʾ</x:v>
      </x:c>
      <x:c r="F764" s="16" t="str">
        <x:v>ירא</x:v>
      </x:c>
      <x:c r="G764" s="20" t="str">
        <x:v>fearing; morally, reverent</x:v>
      </x:c>
      <x:c r="H764" s="20" t="str"/>
      <x:c r="I764" s="21" t="str">
        <x:v>自編延伸</x:v>
      </x:c>
      <x:c r="J764" s="21"/>
      <x:c r="K764" s="22" t="n">
        <x:v>54</x:v>
      </x:c>
      <x:c r="L764" s="21" t="str">
        <x:v>H3373</x:v>
      </x:c>
      <x:c r="M764" s="21" t="str">
        <x:v>adjective</x:v>
      </x:c>
      <x:c r="N764" s="21" t="str">
        <x:v>否</x:v>
      </x:c>
      <x:c r="O764" s="21" t="str"/>
      <x:c r="P764" s="21" t="str">
        <x:v>lemma_frequency_verified</x:v>
      </x:c>
      <x:c r="Q764" s="21" t="str">
        <x:v>rule_generated_exception_review</x:v>
      </x:c>
      <x:c r="R764" s="20" t="str">
        <x:v>https://github.com/openscriptures/morphhb</x:v>
      </x:c>
    </x:row>
    <x:row r="765" ht="28" customHeight="1">
      <x:c r="A765" s="21" t="n">
        <x:v>761</x:v>
      </x:c>
      <x:c r="B765" s="21" t="n">
        <x:f>ROUNDUP(A765/20,0)</x:f>
        <x:v>39</x:v>
      </x:c>
      <x:c r="C765" s="21" t="n">
        <x:f>MOD(A765-1,20)+1</x:f>
        <x:v>1</x:v>
      </x:c>
      <x:c r="D765" s="18" t="str">
        <x:v>בָּרָא</x:v>
      </x:c>
      <x:c r="E765" s="19" t="str">
        <x:v>bārāʾ</x:v>
      </x:c>
      <x:c r="F765" s="16" t="str">
        <x:v>ברא</x:v>
      </x:c>
      <x:c r="G765" s="20" t="str">
        <x:v>(absolutely) to create; (qualified) to cut down (a wood), select, feed (as formative processes)</x:v>
      </x:c>
      <x:c r="H765" s="20" t="str"/>
      <x:c r="I765" s="21" t="str">
        <x:v>自編延伸</x:v>
      </x:c>
      <x:c r="J765" s="21"/>
      <x:c r="K765" s="22" t="n">
        <x:v>54</x:v>
      </x:c>
      <x:c r="L765" s="21" t="str">
        <x:v>H1254</x:v>
      </x:c>
      <x:c r="M765" s="21" t="str">
        <x:v>verb</x:v>
      </x:c>
      <x:c r="N765" s="21" t="str">
        <x:v>否</x:v>
      </x:c>
      <x:c r="O765" s="21" t="str"/>
      <x:c r="P765" s="21" t="str">
        <x:v>lemma_frequency_verified</x:v>
      </x:c>
      <x:c r="Q765" s="21" t="str">
        <x:v>rule_generated_exception_review</x:v>
      </x:c>
      <x:c r="R765" s="20" t="str">
        <x:v>https://github.com/openscriptures/morphhb</x:v>
      </x:c>
    </x:row>
    <x:row r="766" ht="28" customHeight="1">
      <x:c r="A766" s="21" t="n">
        <x:v>762</x:v>
      </x:c>
      <x:c r="B766" s="21" t="n">
        <x:f>ROUNDUP(A766/20,0)</x:f>
        <x:v>39</x:v>
      </x:c>
      <x:c r="C766" s="21" t="n">
        <x:f>MOD(A766-1,20)+1</x:f>
        <x:v>2</x:v>
      </x:c>
      <x:c r="D766" s="18" t="str">
        <x:v>קָצִיר</x:v>
      </x:c>
      <x:c r="E766" s="19" t="str">
        <x:v>qāṣîr</x:v>
      </x:c>
      <x:c r="F766" s="16" t="str">
        <x:v>קציר</x:v>
      </x:c>
      <x:c r="G766" s="20" t="str">
        <x:v>severed, i.e. harvest (as reaped), the crop, the time, the reaper, or figuratively; also a limb (of a tree, or simply foliage)</x:v>
      </x:c>
      <x:c r="H766" s="20" t="str"/>
      <x:c r="I766" s="21" t="str">
        <x:v>自編延伸</x:v>
      </x:c>
      <x:c r="J766" s="21"/>
      <x:c r="K766" s="22" t="n">
        <x:v>54</x:v>
      </x:c>
      <x:c r="L766" s="21" t="str">
        <x:v>H7105</x:v>
      </x:c>
      <x:c r="M766" s="21" t="str">
        <x:v>noun</x:v>
      </x:c>
      <x:c r="N766" s="21" t="str">
        <x:v>否</x:v>
      </x:c>
      <x:c r="O766" s="21" t="str"/>
      <x:c r="P766" s="21" t="str">
        <x:v>lemma_frequency_verified</x:v>
      </x:c>
      <x:c r="Q766" s="21" t="str">
        <x:v>rule_generated_exception_review</x:v>
      </x:c>
      <x:c r="R766" s="20" t="str">
        <x:v>https://github.com/openscriptures/morphhb</x:v>
      </x:c>
    </x:row>
    <x:row r="767" ht="28" customHeight="1">
      <x:c r="A767" s="21" t="n">
        <x:v>763</x:v>
      </x:c>
      <x:c r="B767" s="21" t="n">
        <x:f>ROUNDUP(A767/20,0)</x:f>
        <x:v>39</x:v>
      </x:c>
      <x:c r="C767" s="21" t="n">
        <x:f>MOD(A767-1,20)+1</x:f>
        <x:v>3</x:v>
      </x:c>
      <x:c r="D767" s="18" t="str">
        <x:v>עֶרְוָה</x:v>
      </x:c>
      <x:c r="E767" s="19" t="str">
        <x:v>ʿerwâ</x:v>
      </x:c>
      <x:c r="F767" s="16" t="str">
        <x:v>ערוה</x:v>
      </x:c>
      <x:c r="G767" s="20" t="str">
        <x:v>nudity, literally (especially the pudenda) or figuratively (disgrace, blemish)</x:v>
      </x:c>
      <x:c r="H767" s="20" t="str"/>
      <x:c r="I767" s="21" t="str">
        <x:v>自編延伸</x:v>
      </x:c>
      <x:c r="J767" s="21"/>
      <x:c r="K767" s="22" t="n">
        <x:v>54</x:v>
      </x:c>
      <x:c r="L767" s="21" t="str">
        <x:v>H6172</x:v>
      </x:c>
      <x:c r="M767" s="21" t="str">
        <x:v>noun</x:v>
      </x:c>
      <x:c r="N767" s="21" t="str">
        <x:v>否</x:v>
      </x:c>
      <x:c r="O767" s="21" t="str"/>
      <x:c r="P767" s="21" t="str">
        <x:v>lemma_frequency_verified</x:v>
      </x:c>
      <x:c r="Q767" s="21" t="str">
        <x:v>rule_generated_exception_review</x:v>
      </x:c>
      <x:c r="R767" s="20" t="str">
        <x:v>https://github.com/openscriptures/morphhb</x:v>
      </x:c>
    </x:row>
    <x:row r="768" ht="28" customHeight="1">
      <x:c r="A768" s="21" t="n">
        <x:v>764</x:v>
      </x:c>
      <x:c r="B768" s="21" t="n">
        <x:f>ROUNDUP(A768/20,0)</x:f>
        <x:v>39</x:v>
      </x:c>
      <x:c r="C768" s="21" t="n">
        <x:f>MOD(A768-1,20)+1</x:f>
        <x:v>4</x:v>
      </x:c>
      <x:c r="D768" s="18" t="str">
        <x:v>מָרוֹם</x:v>
      </x:c>
      <x:c r="E768" s="19" t="str">
        <x:v>mārôm</x:v>
      </x:c>
      <x:c r="F768" s="16" t="str">
        <x:v>מרום</x:v>
      </x:c>
      <x:c r="G768" s="20" t="str">
        <x:v>altitude, i.e. concretely (an elevated place), abstractly (elevation, figuratively (elation), or adverbially (aloft)</x:v>
      </x:c>
      <x:c r="H768" s="20" t="str"/>
      <x:c r="I768" s="21" t="str">
        <x:v>自編延伸</x:v>
      </x:c>
      <x:c r="J768" s="21"/>
      <x:c r="K768" s="22" t="n">
        <x:v>54</x:v>
      </x:c>
      <x:c r="L768" s="21" t="str">
        <x:v>H4791</x:v>
      </x:c>
      <x:c r="M768" s="21" t="str">
        <x:v>noun</x:v>
      </x:c>
      <x:c r="N768" s="21" t="str">
        <x:v>否</x:v>
      </x:c>
      <x:c r="O768" s="21" t="str"/>
      <x:c r="P768" s="21" t="str">
        <x:v>lemma_frequency_verified</x:v>
      </x:c>
      <x:c r="Q768" s="21" t="str">
        <x:v>rule_generated_exception_review</x:v>
      </x:c>
      <x:c r="R768" s="20" t="str">
        <x:v>https://github.com/openscriptures/morphhb</x:v>
      </x:c>
    </x:row>
    <x:row r="769" ht="28" customHeight="1">
      <x:c r="A769" s="21" t="n">
        <x:v>765</x:v>
      </x:c>
      <x:c r="B769" s="21" t="n">
        <x:f>ROUNDUP(A769/20,0)</x:f>
        <x:v>39</x:v>
      </x:c>
      <x:c r="C769" s="21" t="n">
        <x:f>MOD(A769-1,20)+1</x:f>
        <x:v>5</x:v>
      </x:c>
      <x:c r="D769" s="18" t="str">
        <x:v>שָׁוְא</x:v>
      </x:c>
      <x:c r="E769" s="19" t="str">
        <x:v>šāwʾ</x:v>
      </x:c>
      <x:c r="F769" s="16" t="str">
        <x:v>שוא</x:v>
      </x:c>
      <x:c r="G769" s="20" t="str">
        <x:v>evil (as destructive), literally (ruin) or morally (especially guile); figuratively idolatry (as false, subjective), uselessness (as deceptive, objective; also adverbially, in vain)</x:v>
      </x:c>
      <x:c r="H769" s="20" t="str"/>
      <x:c r="I769" s="21" t="str">
        <x:v>自編延伸</x:v>
      </x:c>
      <x:c r="J769" s="21"/>
      <x:c r="K769" s="22" t="n">
        <x:v>54</x:v>
      </x:c>
      <x:c r="L769" s="21" t="str">
        <x:v>H7723</x:v>
      </x:c>
      <x:c r="M769" s="21" t="str">
        <x:v>noun</x:v>
      </x:c>
      <x:c r="N769" s="21" t="str">
        <x:v>否</x:v>
      </x:c>
      <x:c r="O769" s="21" t="str"/>
      <x:c r="P769" s="21" t="str">
        <x:v>lemma_frequency_verified</x:v>
      </x:c>
      <x:c r="Q769" s="21" t="str">
        <x:v>rule_generated_exception_review</x:v>
      </x:c>
      <x:c r="R769" s="20" t="str">
        <x:v>https://github.com/openscriptures/morphhb</x:v>
      </x:c>
    </x:row>
    <x:row r="770" ht="28" customHeight="1">
      <x:c r="A770" s="21" t="n">
        <x:v>766</x:v>
      </x:c>
      <x:c r="B770" s="21" t="n">
        <x:f>ROUNDUP(A770/20,0)</x:f>
        <x:v>39</x:v>
      </x:c>
      <x:c r="C770" s="21" t="n">
        <x:f>MOD(A770-1,20)+1</x:f>
        <x:v>6</x:v>
      </x:c>
      <x:c r="D770" s="18" t="str">
        <x:v>הָמָן</x:v>
      </x:c>
      <x:c r="E770" s="19" t="str">
        <x:v>hāmān</x:v>
      </x:c>
      <x:c r="F770" s="16" t="str">
        <x:v>המן</x:v>
      </x:c>
      <x:c r="G770" s="20" t="str">
        <x:v>Haman, a Persian vizier</x:v>
      </x:c>
      <x:c r="H770" s="20" t="str"/>
      <x:c r="I770" s="21" t="str">
        <x:v>自編延伸</x:v>
      </x:c>
      <x:c r="J770" s="21"/>
      <x:c r="K770" s="22" t="n">
        <x:v>54</x:v>
      </x:c>
      <x:c r="L770" s="21" t="str">
        <x:v>H2001</x:v>
      </x:c>
      <x:c r="M770" s="21" t="str">
        <x:v>proper_name</x:v>
      </x:c>
      <x:c r="N770" s="21" t="str">
        <x:v>是</x:v>
      </x:c>
      <x:c r="O770" s="21" t="str">
        <x:v>人名</x:v>
      </x:c>
      <x:c r="P770" s="21" t="str">
        <x:v>lemma_frequency_verified</x:v>
      </x:c>
      <x:c r="Q770" s="21" t="str">
        <x:v>rule_generated_exception_review</x:v>
      </x:c>
      <x:c r="R770" s="20" t="str">
        <x:v>https://github.com/openscriptures/morphhb</x:v>
      </x:c>
    </x:row>
    <x:row r="771" ht="28" customHeight="1">
      <x:c r="A771" s="21" t="n">
        <x:v>767</x:v>
      </x:c>
      <x:c r="B771" s="21" t="n">
        <x:f>ROUNDUP(A771/20,0)</x:f>
        <x:v>39</x:v>
      </x:c>
      <x:c r="C771" s="21" t="n">
        <x:f>MOD(A771-1,20)+1</x:f>
        <x:v>7</x:v>
      </x:c>
      <x:c r="D771" s="18" t="str">
        <x:v>יֹאשִׁיָּה</x:v>
      </x:c>
      <x:c r="E771" s="19" t="str">
        <x:v>yōʾšiyyâ</x:v>
      </x:c>
      <x:c r="F771" s="16" t="str">
        <x:v>יאשיה</x:v>
      </x:c>
      <x:c r="G771" s="20" t="str">
        <x:v>Joshijah, the name of two Israelites</x:v>
      </x:c>
      <x:c r="H771" s="20" t="str"/>
      <x:c r="I771" s="21" t="str">
        <x:v>自編延伸</x:v>
      </x:c>
      <x:c r="J771" s="21"/>
      <x:c r="K771" s="22" t="n">
        <x:v>53</x:v>
      </x:c>
      <x:c r="L771" s="21" t="str">
        <x:v>H2977</x:v>
      </x:c>
      <x:c r="M771" s="21" t="str">
        <x:v>proper_name</x:v>
      </x:c>
      <x:c r="N771" s="21" t="str">
        <x:v>是</x:v>
      </x:c>
      <x:c r="O771" s="21" t="str">
        <x:v>人名</x:v>
      </x:c>
      <x:c r="P771" s="21" t="str">
        <x:v>lemma_frequency_verified</x:v>
      </x:c>
      <x:c r="Q771" s="21" t="str">
        <x:v>rule_generated_exception_review</x:v>
      </x:c>
      <x:c r="R771" s="20" t="str">
        <x:v>https://github.com/openscriptures/morphhb</x:v>
      </x:c>
    </x:row>
    <x:row r="772" ht="28" customHeight="1">
      <x:c r="A772" s="21" t="n">
        <x:v>768</x:v>
      </x:c>
      <x:c r="B772" s="21" t="n">
        <x:f>ROUNDUP(A772/20,0)</x:f>
        <x:v>39</x:v>
      </x:c>
      <x:c r="C772" s="21" t="n">
        <x:f>MOD(A772-1,20)+1</x:f>
        <x:v>8</x:v>
      </x:c>
      <x:c r="D772" s="18" t="str">
        <x:v>צָדוֹק</x:v>
      </x:c>
      <x:c r="E772" s="19" t="str">
        <x:v>ṣāḏôq</x:v>
      </x:c>
      <x:c r="F772" s="16" t="str">
        <x:v>צדוק</x:v>
      </x:c>
      <x:c r="G772" s="20" t="str">
        <x:v>Tsadok, the name of eight or nine Israelites</x:v>
      </x:c>
      <x:c r="H772" s="20" t="str"/>
      <x:c r="I772" s="21" t="str">
        <x:v>自編延伸</x:v>
      </x:c>
      <x:c r="J772" s="21"/>
      <x:c r="K772" s="22" t="n">
        <x:v>53</x:v>
      </x:c>
      <x:c r="L772" s="21" t="str">
        <x:v>H6659</x:v>
      </x:c>
      <x:c r="M772" s="21" t="str">
        <x:v>proper_name</x:v>
      </x:c>
      <x:c r="N772" s="21" t="str">
        <x:v>是</x:v>
      </x:c>
      <x:c r="O772" s="21" t="str">
        <x:v>人名</x:v>
      </x:c>
      <x:c r="P772" s="21" t="str">
        <x:v>lemma_frequency_verified</x:v>
      </x:c>
      <x:c r="Q772" s="21" t="str">
        <x:v>rule_generated_exception_review</x:v>
      </x:c>
      <x:c r="R772" s="20" t="str">
        <x:v>https://github.com/openscriptures/morphhb</x:v>
      </x:c>
    </x:row>
    <x:row r="773" ht="28" customHeight="1">
      <x:c r="A773" s="21" t="n">
        <x:v>769</x:v>
      </x:c>
      <x:c r="B773" s="21" t="n">
        <x:f>ROUNDUP(A773/20,0)</x:f>
        <x:v>39</x:v>
      </x:c>
      <x:c r="C773" s="21" t="n">
        <x:f>MOD(A773-1,20)+1</x:f>
        <x:v>9</x:v>
      </x:c>
      <x:c r="D773" s="18" t="str">
        <x:v>עֶלְיוֹן</x:v>
      </x:c>
      <x:c r="E773" s="19" t="str">
        <x:v>ʿelyôn</x:v>
      </x:c>
      <x:c r="F773" s="16" t="str">
        <x:v>עליון</x:v>
      </x:c>
      <x:c r="G773" s="20" t="str">
        <x:v>an elevation, i.e. (adj.) lofty (compar.); as title, the Supreme</x:v>
      </x:c>
      <x:c r="H773" s="20" t="str"/>
      <x:c r="I773" s="21" t="str">
        <x:v>自編延伸</x:v>
      </x:c>
      <x:c r="J773" s="21"/>
      <x:c r="K773" s="22" t="n">
        <x:v>53</x:v>
      </x:c>
      <x:c r="L773" s="21" t="str">
        <x:v>H5945</x:v>
      </x:c>
      <x:c r="M773" s="21" t="str">
        <x:v>adjective</x:v>
      </x:c>
      <x:c r="N773" s="21" t="str">
        <x:v>否</x:v>
      </x:c>
      <x:c r="O773" s="21" t="str"/>
      <x:c r="P773" s="21" t="str">
        <x:v>lemma_frequency_verified</x:v>
      </x:c>
      <x:c r="Q773" s="21" t="str">
        <x:v>rule_generated_exception_review</x:v>
      </x:c>
      <x:c r="R773" s="20" t="str">
        <x:v>https://github.com/openscriptures/morphhb</x:v>
      </x:c>
    </x:row>
    <x:row r="774" ht="28" customHeight="1">
      <x:c r="A774" s="21" t="n">
        <x:v>770</x:v>
      </x:c>
      <x:c r="B774" s="21" t="n">
        <x:f>ROUNDUP(A774/20,0)</x:f>
        <x:v>39</x:v>
      </x:c>
      <x:c r="C774" s="21" t="n">
        <x:f>MOD(A774-1,20)+1</x:f>
        <x:v>10</x:v>
      </x:c>
      <x:c r="D774" s="18" t="str">
        <x:v>סֹלֶת</x:v>
      </x:c>
      <x:c r="E774" s="19" t="str">
        <x:v>sōleṯ</x:v>
      </x:c>
      <x:c r="F774" s="16" t="str">
        <x:v>סלת</x:v>
      </x:c>
      <x:c r="G774" s="20" t="str">
        <x:v>flour (as chipped off)</x:v>
      </x:c>
      <x:c r="H774" s="20" t="str"/>
      <x:c r="I774" s="21" t="str">
        <x:v>自編延伸</x:v>
      </x:c>
      <x:c r="J774" s="21"/>
      <x:c r="K774" s="22" t="n">
        <x:v>53</x:v>
      </x:c>
      <x:c r="L774" s="21" t="str">
        <x:v>H5560</x:v>
      </x:c>
      <x:c r="M774" s="21" t="str">
        <x:v>noun</x:v>
      </x:c>
      <x:c r="N774" s="21" t="str">
        <x:v>否</x:v>
      </x:c>
      <x:c r="O774" s="21" t="str"/>
      <x:c r="P774" s="21" t="str">
        <x:v>lemma_frequency_verified</x:v>
      </x:c>
      <x:c r="Q774" s="21" t="str">
        <x:v>rule_generated_exception_review</x:v>
      </x:c>
      <x:c r="R774" s="20" t="str">
        <x:v>https://github.com/openscriptures/morphhb</x:v>
      </x:c>
    </x:row>
    <x:row r="775" ht="28" customHeight="1">
      <x:c r="A775" s="21" t="n">
        <x:v>771</x:v>
      </x:c>
      <x:c r="B775" s="21" t="n">
        <x:f>ROUNDUP(A775/20,0)</x:f>
        <x:v>39</x:v>
      </x:c>
      <x:c r="C775" s="21" t="n">
        <x:f>MOD(A775-1,20)+1</x:f>
        <x:v>11</x:v>
      </x:c>
      <x:c r="D775" s="18" t="str">
        <x:v>חָדָשׁ</x:v>
      </x:c>
      <x:c r="E775" s="19" t="str">
        <x:v>ḥāḏāš</x:v>
      </x:c>
      <x:c r="F775" s="16" t="str">
        <x:v>חדש</x:v>
      </x:c>
      <x:c r="G775" s="20" t="str">
        <x:v>new</x:v>
      </x:c>
      <x:c r="H775" s="20" t="str"/>
      <x:c r="I775" s="21" t="str">
        <x:v>自編延伸</x:v>
      </x:c>
      <x:c r="J775" s="21"/>
      <x:c r="K775" s="22" t="n">
        <x:v>53</x:v>
      </x:c>
      <x:c r="L775" s="21" t="str">
        <x:v>H2319</x:v>
      </x:c>
      <x:c r="M775" s="21" t="str">
        <x:v>adjective</x:v>
      </x:c>
      <x:c r="N775" s="21" t="str">
        <x:v>否</x:v>
      </x:c>
      <x:c r="O775" s="21" t="str"/>
      <x:c r="P775" s="21" t="str">
        <x:v>lemma_frequency_verified</x:v>
      </x:c>
      <x:c r="Q775" s="21" t="str">
        <x:v>rule_generated_exception_review</x:v>
      </x:c>
      <x:c r="R775" s="20" t="str">
        <x:v>https://github.com/openscriptures/morphhb</x:v>
      </x:c>
    </x:row>
    <x:row r="776" ht="28" customHeight="1">
      <x:c r="A776" s="21" t="n">
        <x:v>772</x:v>
      </x:c>
      <x:c r="B776" s="21" t="n">
        <x:f>ROUNDUP(A776/20,0)</x:f>
        <x:v>39</x:v>
      </x:c>
      <x:c r="C776" s="21" t="n">
        <x:f>MOD(A776-1,20)+1</x:f>
        <x:v>12</x:v>
      </x:c>
      <x:c r="D776" s="18" t="str">
        <x:v>רָנַן</x:v>
      </x:c>
      <x:c r="E776" s="19" t="str">
        <x:v>rānan</x:v>
      </x:c>
      <x:c r="F776" s="16" t="str">
        <x:v>רנן</x:v>
      </x:c>
      <x:c r="G776" s="20" t="str">
        <x:v>properly, to creak (or emit a stridulous sound), i.e. to shout (usually for joy)</x:v>
      </x:c>
      <x:c r="H776" s="20" t="str"/>
      <x:c r="I776" s="21" t="str">
        <x:v>自編延伸</x:v>
      </x:c>
      <x:c r="J776" s="21"/>
      <x:c r="K776" s="22" t="n">
        <x:v>53</x:v>
      </x:c>
      <x:c r="L776" s="21" t="str">
        <x:v>H7442</x:v>
      </x:c>
      <x:c r="M776" s="21" t="str">
        <x:v>verb</x:v>
      </x:c>
      <x:c r="N776" s="21" t="str">
        <x:v>否</x:v>
      </x:c>
      <x:c r="O776" s="21" t="str"/>
      <x:c r="P776" s="21" t="str">
        <x:v>lemma_frequency_verified</x:v>
      </x:c>
      <x:c r="Q776" s="21" t="str">
        <x:v>rule_generated_exception_review</x:v>
      </x:c>
      <x:c r="R776" s="20" t="str">
        <x:v>https://github.com/openscriptures/morphhb</x:v>
      </x:c>
    </x:row>
    <x:row r="777" ht="28" customHeight="1">
      <x:c r="A777" s="21" t="n">
        <x:v>773</x:v>
      </x:c>
      <x:c r="B777" s="21" t="n">
        <x:f>ROUNDUP(A777/20,0)</x:f>
        <x:v>39</x:v>
      </x:c>
      <x:c r="C777" s="21" t="n">
        <x:f>MOD(A777-1,20)+1</x:f>
        <x:v>13</x:v>
      </x:c>
      <x:c r="D777" s="18" t="str">
        <x:v>מַצָּה</x:v>
      </x:c>
      <x:c r="E777" s="19" t="str">
        <x:v>maṣṣâ</x:v>
      </x:c>
      <x:c r="F777" s="16" t="str">
        <x:v>מצה</x:v>
      </x:c>
      <x:c r="G777" s="20" t="str">
        <x:v>properly, sweetness; concretely, sweet (i.e. not soured or bittered with yeast); specifically, an unfermented cake or loaf, or (elliptically) the festival of Passover (because no leaven was then used)</x:v>
      </x:c>
      <x:c r="H777" s="20" t="str"/>
      <x:c r="I777" s="21" t="str">
        <x:v>自編延伸</x:v>
      </x:c>
      <x:c r="J777" s="21"/>
      <x:c r="K777" s="22" t="n">
        <x:v>53</x:v>
      </x:c>
      <x:c r="L777" s="21" t="str">
        <x:v>H4682</x:v>
      </x:c>
      <x:c r="M777" s="21" t="str">
        <x:v>noun</x:v>
      </x:c>
      <x:c r="N777" s="21" t="str">
        <x:v>否</x:v>
      </x:c>
      <x:c r="O777" s="21" t="str"/>
      <x:c r="P777" s="21" t="str">
        <x:v>lemma_frequency_verified</x:v>
      </x:c>
      <x:c r="Q777" s="21" t="str">
        <x:v>rule_generated_exception_review</x:v>
      </x:c>
      <x:c r="R777" s="20" t="str">
        <x:v>https://github.com/openscriptures/morphhb</x:v>
      </x:c>
    </x:row>
    <x:row r="778" ht="28" customHeight="1">
      <x:c r="A778" s="21" t="n">
        <x:v>774</x:v>
      </x:c>
      <x:c r="B778" s="21" t="n">
        <x:f>ROUNDUP(A778/20,0)</x:f>
        <x:v>39</x:v>
      </x:c>
      <x:c r="C778" s="21" t="n">
        <x:f>MOD(A778-1,20)+1</x:f>
        <x:v>14</x:v>
      </x:c>
      <x:c r="D778" s="18" t="str">
        <x:v>צָרַר</x:v>
      </x:c>
      <x:c r="E778" s="19" t="str">
        <x:v>ṣārar</x:v>
      </x:c>
      <x:c r="F778" s="16" t="str">
        <x:v>צרר</x:v>
      </x:c>
      <x:c r="G778" s="20" t="str">
        <x:v>to cramp, literally or figuratively, transitive or intransitive</x:v>
      </x:c>
      <x:c r="H778" s="20" t="str"/>
      <x:c r="I778" s="21" t="str">
        <x:v>自編延伸</x:v>
      </x:c>
      <x:c r="J778" s="21"/>
      <x:c r="K778" s="22" t="n">
        <x:v>53</x:v>
      </x:c>
      <x:c r="L778" s="21" t="str">
        <x:v>H6887</x:v>
      </x:c>
      <x:c r="M778" s="21" t="str">
        <x:v>verb</x:v>
      </x:c>
      <x:c r="N778" s="21" t="str">
        <x:v>否</x:v>
      </x:c>
      <x:c r="O778" s="21" t="str"/>
      <x:c r="P778" s="21" t="str">
        <x:v>lemma_frequency_verified</x:v>
      </x:c>
      <x:c r="Q778" s="21" t="str">
        <x:v>rule_generated_exception_review</x:v>
      </x:c>
      <x:c r="R778" s="20" t="str">
        <x:v>https://github.com/openscriptures/morphhb</x:v>
      </x:c>
    </x:row>
    <x:row r="779" ht="28" customHeight="1">
      <x:c r="A779" s="21" t="n">
        <x:v>775</x:v>
      </x:c>
      <x:c r="B779" s="21" t="n">
        <x:f>ROUNDUP(A779/20,0)</x:f>
        <x:v>39</x:v>
      </x:c>
      <x:c r="C779" s="21" t="n">
        <x:f>MOD(A779-1,20)+1</x:f>
        <x:v>15</x:v>
      </x:c>
      <x:c r="D779" s="18" t="str">
        <x:v>מְדִינָה</x:v>
      </x:c>
      <x:c r="E779" s="19" t="str">
        <x:v>məḏînâ</x:v>
      </x:c>
      <x:c r="F779" s="16" t="str">
        <x:v>מדינה</x:v>
      </x:c>
      <x:c r="G779" s="20" t="str">
        <x:v>properly, a judgeship, i.e. jurisdiction; by implication, a district (as ruled by a judge); generally, a region</x:v>
      </x:c>
      <x:c r="H779" s="20" t="str"/>
      <x:c r="I779" s="21" t="str">
        <x:v>自編延伸</x:v>
      </x:c>
      <x:c r="J779" s="21"/>
      <x:c r="K779" s="22" t="n">
        <x:v>53</x:v>
      </x:c>
      <x:c r="L779" s="21" t="str">
        <x:v>H4082</x:v>
      </x:c>
      <x:c r="M779" s="21" t="str">
        <x:v>noun</x:v>
      </x:c>
      <x:c r="N779" s="21" t="str">
        <x:v>否</x:v>
      </x:c>
      <x:c r="O779" s="21" t="str"/>
      <x:c r="P779" s="21" t="str">
        <x:v>lemma_frequency_verified</x:v>
      </x:c>
      <x:c r="Q779" s="21" t="str">
        <x:v>rule_generated_exception_review</x:v>
      </x:c>
      <x:c r="R779" s="20" t="str">
        <x:v>https://github.com/openscriptures/morphhb</x:v>
      </x:c>
    </x:row>
    <x:row r="780" ht="28" customHeight="1">
      <x:c r="A780" s="21" t="n">
        <x:v>776</x:v>
      </x:c>
      <x:c r="B780" s="21" t="n">
        <x:f>ROUNDUP(A780/20,0)</x:f>
        <x:v>39</x:v>
      </x:c>
      <x:c r="C780" s="21" t="n">
        <x:f>MOD(A780-1,20)+1</x:f>
        <x:v>16</x:v>
      </x:c>
      <x:c r="D780" s="18" t="str">
        <x:v>חָרַם</x:v>
      </x:c>
      <x:c r="E780" s="19" t="str">
        <x:v>ḥāram</x:v>
      </x:c>
      <x:c r="F780" s="16" t="str">
        <x:v>חרם</x:v>
      </x:c>
      <x:c r="G780" s="20" t="str">
        <x:v>to seclude; specifically (by a ban) to devote to religious uses (especially destruction); physical and reflexive, to be blunt as to the nose</x:v>
      </x:c>
      <x:c r="H780" s="20" t="str"/>
      <x:c r="I780" s="21" t="str">
        <x:v>自編延伸</x:v>
      </x:c>
      <x:c r="J780" s="21"/>
      <x:c r="K780" s="22" t="n">
        <x:v>52</x:v>
      </x:c>
      <x:c r="L780" s="21" t="str">
        <x:v>H2763</x:v>
      </x:c>
      <x:c r="M780" s="21" t="str">
        <x:v>verb</x:v>
      </x:c>
      <x:c r="N780" s="21" t="str">
        <x:v>否</x:v>
      </x:c>
      <x:c r="O780" s="21" t="str"/>
      <x:c r="P780" s="21" t="str">
        <x:v>lemma_frequency_verified</x:v>
      </x:c>
      <x:c r="Q780" s="21" t="str">
        <x:v>rule_generated_exception_review</x:v>
      </x:c>
      <x:c r="R780" s="20" t="str">
        <x:v>https://github.com/openscriptures/morphhb</x:v>
      </x:c>
    </x:row>
    <x:row r="781" ht="28" customHeight="1">
      <x:c r="A781" s="21" t="n">
        <x:v>777</x:v>
      </x:c>
      <x:c r="B781" s="21" t="n">
        <x:f>ROUNDUP(A781/20,0)</x:f>
        <x:v>39</x:v>
      </x:c>
      <x:c r="C781" s="21" t="n">
        <x:f>MOD(A781-1,20)+1</x:f>
        <x:v>17</x:v>
      </x:c>
      <x:c r="D781" s="18" t="str">
        <x:v>יָצַק</x:v>
      </x:c>
      <x:c r="E781" s="19" t="str">
        <x:v>yāṣaq</x:v>
      </x:c>
      <x:c r="F781" s="16" t="str">
        <x:v>יצק</x:v>
      </x:c>
      <x:c r="G781" s="20" t="str">
        <x:v>properly, to pour out (transitive or intransitive); by implication, to melt or cast as metal; by extension, to place firmly, to stiffen or grow hard</x:v>
      </x:c>
      <x:c r="H781" s="20" t="str"/>
      <x:c r="I781" s="21" t="str">
        <x:v>自編延伸</x:v>
      </x:c>
      <x:c r="J781" s="21"/>
      <x:c r="K781" s="22" t="n">
        <x:v>52</x:v>
      </x:c>
      <x:c r="L781" s="21" t="str">
        <x:v>H3332</x:v>
      </x:c>
      <x:c r="M781" s="21" t="str">
        <x:v>verb</x:v>
      </x:c>
      <x:c r="N781" s="21" t="str">
        <x:v>否</x:v>
      </x:c>
      <x:c r="O781" s="21" t="str"/>
      <x:c r="P781" s="21" t="str">
        <x:v>lemma_frequency_verified</x:v>
      </x:c>
      <x:c r="Q781" s="21" t="str">
        <x:v>rule_generated_exception_review</x:v>
      </x:c>
      <x:c r="R781" s="20" t="str">
        <x:v>https://github.com/openscriptures/morphhb</x:v>
      </x:c>
    </x:row>
    <x:row r="782" ht="28" customHeight="1">
      <x:c r="A782" s="21" t="n">
        <x:v>778</x:v>
      </x:c>
      <x:c r="B782" s="21" t="n">
        <x:f>ROUNDUP(A782/20,0)</x:f>
        <x:v>39</x:v>
      </x:c>
      <x:c r="C782" s="21" t="n">
        <x:f>MOD(A782-1,20)+1</x:f>
        <x:v>18</x:v>
      </x:c>
      <x:c r="D782" s="18" t="str">
        <x:v>מָחָר</x:v>
      </x:c>
      <x:c r="E782" s="19" t="str">
        <x:v>māḥār</x:v>
      </x:c>
      <x:c r="F782" s="16" t="str">
        <x:v>מחר</x:v>
      </x:c>
      <x:c r="G782" s="20" t="str">
        <x:v>properly, deferred, i.e. the morrow; usually (adverbially) tomorrow; indefinitely, hereafter</x:v>
      </x:c>
      <x:c r="H782" s="20" t="str"/>
      <x:c r="I782" s="21" t="str">
        <x:v>自編延伸</x:v>
      </x:c>
      <x:c r="J782" s="21"/>
      <x:c r="K782" s="22" t="n">
        <x:v>52</x:v>
      </x:c>
      <x:c r="L782" s="21" t="str">
        <x:v>H4279</x:v>
      </x:c>
      <x:c r="M782" s="21" t="str">
        <x:v>noun</x:v>
      </x:c>
      <x:c r="N782" s="21" t="str">
        <x:v>否</x:v>
      </x:c>
      <x:c r="O782" s="21" t="str"/>
      <x:c r="P782" s="21" t="str">
        <x:v>lemma_frequency_verified</x:v>
      </x:c>
      <x:c r="Q782" s="21" t="str">
        <x:v>rule_generated_exception_review</x:v>
      </x:c>
      <x:c r="R782" s="20" t="str">
        <x:v>https://github.com/openscriptures/morphhb</x:v>
      </x:c>
    </x:row>
    <x:row r="783" ht="28" customHeight="1">
      <x:c r="A783" s="21" t="n">
        <x:v>779</x:v>
      </x:c>
      <x:c r="B783" s="21" t="n">
        <x:f>ROUNDUP(A783/20,0)</x:f>
        <x:v>39</x:v>
      </x:c>
      <x:c r="C783" s="21" t="n">
        <x:f>MOD(A783-1,20)+1</x:f>
        <x:v>19</x:v>
      </x:c>
      <x:c r="D783" s="18" t="str">
        <x:v>נָדַח</x:v>
      </x:c>
      <x:c r="E783" s="19" t="str">
        <x:v>nāḏaḥ</x:v>
      </x:c>
      <x:c r="F783" s="16" t="str">
        <x:v>נדח</x:v>
      </x:c>
      <x:c r="G783" s="20" t="str">
        <x:v>to push off; used in a great variety of applications, literally and figuratively (to expel, mislead, strike, inflict, etc.)</x:v>
      </x:c>
      <x:c r="H783" s="20" t="str"/>
      <x:c r="I783" s="21" t="str">
        <x:v>自編延伸</x:v>
      </x:c>
      <x:c r="J783" s="21"/>
      <x:c r="K783" s="22" t="n">
        <x:v>52</x:v>
      </x:c>
      <x:c r="L783" s="21" t="str">
        <x:v>H5080</x:v>
      </x:c>
      <x:c r="M783" s="21" t="str">
        <x:v>verb</x:v>
      </x:c>
      <x:c r="N783" s="21" t="str">
        <x:v>否</x:v>
      </x:c>
      <x:c r="O783" s="21" t="str"/>
      <x:c r="P783" s="21" t="str">
        <x:v>lemma_frequency_verified</x:v>
      </x:c>
      <x:c r="Q783" s="21" t="str">
        <x:v>rule_generated_exception_review</x:v>
      </x:c>
      <x:c r="R783" s="20" t="str">
        <x:v>https://github.com/openscriptures/morphhb</x:v>
      </x:c>
    </x:row>
    <x:row r="784" ht="28" customHeight="1">
      <x:c r="A784" s="21" t="n">
        <x:v>780</x:v>
      </x:c>
      <x:c r="B784" s="21" t="n">
        <x:f>ROUNDUP(A784/20,0)</x:f>
        <x:v>39</x:v>
      </x:c>
      <x:c r="C784" s="21" t="n">
        <x:f>MOD(A784-1,20)+1</x:f>
        <x:v>20</x:v>
      </x:c>
      <x:c r="D784" s="18" t="str">
        <x:v>נַפְתָּלִי</x:v>
      </x:c>
      <x:c r="E784" s="19" t="str">
        <x:v>nap̄tālî</x:v>
      </x:c>
      <x:c r="F784" s="16" t="str">
        <x:v>נפתלי</x:v>
      </x:c>
      <x:c r="G784" s="20" t="str">
        <x:v>Naphtali, a son of Jacob, with the tribe descended from him, and its territory</x:v>
      </x:c>
      <x:c r="H784" s="20" t="str"/>
      <x:c r="I784" s="21" t="str">
        <x:v>自編延伸</x:v>
      </x:c>
      <x:c r="J784" s="21"/>
      <x:c r="K784" s="22" t="n">
        <x:v>51</x:v>
      </x:c>
      <x:c r="L784" s="21" t="str">
        <x:v>H5321</x:v>
      </x:c>
      <x:c r="M784" s="21" t="str">
        <x:v>proper_name</x:v>
      </x:c>
      <x:c r="N784" s="21" t="str">
        <x:v>是</x:v>
      </x:c>
      <x:c r="O784" s="21" t="str">
        <x:v>地名、民族／國族、人名</x:v>
      </x:c>
      <x:c r="P784" s="21" t="str">
        <x:v>lemma_frequency_verified</x:v>
      </x:c>
      <x:c r="Q784" s="21" t="str">
        <x:v>rule_generated_exception_review</x:v>
      </x:c>
      <x:c r="R784" s="20" t="str">
        <x:v>https://github.com/openscriptures/morphhb</x:v>
      </x:c>
    </x:row>
    <x:row r="785" ht="28" customHeight="1">
      <x:c r="A785" s="21" t="n">
        <x:v>781</x:v>
      </x:c>
      <x:c r="B785" s="21" t="n">
        <x:f>ROUNDUP(A785/20,0)</x:f>
        <x:v>40</x:v>
      </x:c>
      <x:c r="C785" s="21" t="n">
        <x:f>MOD(A785-1,20)+1</x:f>
        <x:v>1</x:v>
      </x:c>
      <x:c r="D785" s="18" t="str">
        <x:v>יוֹמָם</x:v>
      </x:c>
      <x:c r="E785" s="19" t="str">
        <x:v>yômām</x:v>
      </x:c>
      <x:c r="F785" s="16" t="str">
        <x:v>יומם</x:v>
      </x:c>
      <x:c r="G785" s="20" t="str">
        <x:v>daily</x:v>
      </x:c>
      <x:c r="H785" s="20" t="str"/>
      <x:c r="I785" s="21" t="str">
        <x:v>自編延伸</x:v>
      </x:c>
      <x:c r="J785" s="21"/>
      <x:c r="K785" s="22" t="n">
        <x:v>51</x:v>
      </x:c>
      <x:c r="L785" s="21" t="str">
        <x:v>H3119</x:v>
      </x:c>
      <x:c r="M785" s="21" t="str">
        <x:v>adverb</x:v>
      </x:c>
      <x:c r="N785" s="21" t="str">
        <x:v>否</x:v>
      </x:c>
      <x:c r="O785" s="21" t="str"/>
      <x:c r="P785" s="21" t="str">
        <x:v>lemma_frequency_verified</x:v>
      </x:c>
      <x:c r="Q785" s="21" t="str">
        <x:v>rule_generated_exception_review</x:v>
      </x:c>
      <x:c r="R785" s="20" t="str">
        <x:v>https://github.com/openscriptures/morphhb</x:v>
      </x:c>
    </x:row>
    <x:row r="786" ht="28" customHeight="1">
      <x:c r="A786" s="21" t="n">
        <x:v>782</x:v>
      </x:c>
      <x:c r="B786" s="21" t="n">
        <x:f>ROUNDUP(A786/20,0)</x:f>
        <x:v>40</x:v>
      </x:c>
      <x:c r="C786" s="21" t="n">
        <x:f>MOD(A786-1,20)+1</x:f>
        <x:v>2</x:v>
      </x:c>
      <x:c r="D786" s="18" t="str">
        <x:v>בָּקַע</x:v>
      </x:c>
      <x:c r="E786" s="19" t="str">
        <x:v>bāqaʿ</x:v>
      </x:c>
      <x:c r="F786" s="16" t="str">
        <x:v>בקע</x:v>
      </x:c>
      <x:c r="G786" s="20" t="str">
        <x:v>to cleave; generally, to rend, break, rip or open</x:v>
      </x:c>
      <x:c r="H786" s="20" t="str"/>
      <x:c r="I786" s="21" t="str">
        <x:v>自編延伸</x:v>
      </x:c>
      <x:c r="J786" s="21"/>
      <x:c r="K786" s="22" t="n">
        <x:v>51</x:v>
      </x:c>
      <x:c r="L786" s="21" t="str">
        <x:v>H1234</x:v>
      </x:c>
      <x:c r="M786" s="21" t="str">
        <x:v>verb</x:v>
      </x:c>
      <x:c r="N786" s="21" t="str">
        <x:v>否</x:v>
      </x:c>
      <x:c r="O786" s="21" t="str"/>
      <x:c r="P786" s="21" t="str">
        <x:v>lemma_frequency_verified</x:v>
      </x:c>
      <x:c r="Q786" s="21" t="str">
        <x:v>rule_generated_exception_review</x:v>
      </x:c>
      <x:c r="R786" s="20" t="str">
        <x:v>https://github.com/openscriptures/morphhb</x:v>
      </x:c>
    </x:row>
    <x:row r="787" ht="28" customHeight="1">
      <x:c r="A787" s="21" t="n">
        <x:v>783</x:v>
      </x:c>
      <x:c r="B787" s="21" t="n">
        <x:f>ROUNDUP(A787/20,0)</x:f>
        <x:v>40</x:v>
      </x:c>
      <x:c r="C787" s="21" t="n">
        <x:f>MOD(A787-1,20)+1</x:f>
        <x:v>3</x:v>
      </x:c>
      <x:c r="D787" s="18" t="str">
        <x:v>יְהוֹיָדָע</x:v>
      </x:c>
      <x:c r="E787" s="19" t="str">
        <x:v>yəhôyāḏāʿ</x:v>
      </x:c>
      <x:c r="F787" s="16" t="str">
        <x:v>יהוידע</x:v>
      </x:c>
      <x:c r="G787" s="20" t="str">
        <x:v>Jehojada, the name of three Israelites</x:v>
      </x:c>
      <x:c r="H787" s="20" t="str"/>
      <x:c r="I787" s="21" t="str">
        <x:v>自編延伸</x:v>
      </x:c>
      <x:c r="J787" s="21"/>
      <x:c r="K787" s="22" t="n">
        <x:v>51</x:v>
      </x:c>
      <x:c r="L787" s="21" t="str">
        <x:v>H3077</x:v>
      </x:c>
      <x:c r="M787" s="21" t="str">
        <x:v>proper_name</x:v>
      </x:c>
      <x:c r="N787" s="21" t="str">
        <x:v>是</x:v>
      </x:c>
      <x:c r="O787" s="21" t="str">
        <x:v>人名</x:v>
      </x:c>
      <x:c r="P787" s="21" t="str">
        <x:v>lemma_frequency_verified</x:v>
      </x:c>
      <x:c r="Q787" s="21" t="str">
        <x:v>rule_generated_exception_review</x:v>
      </x:c>
      <x:c r="R787" s="20" t="str">
        <x:v>https://github.com/openscriptures/morphhb</x:v>
      </x:c>
    </x:row>
    <x:row r="788" ht="28" customHeight="1">
      <x:c r="A788" s="21" t="n">
        <x:v>784</x:v>
      </x:c>
      <x:c r="B788" s="21" t="n">
        <x:f>ROUNDUP(A788/20,0)</x:f>
        <x:v>40</x:v>
      </x:c>
      <x:c r="C788" s="21" t="n">
        <x:f>MOD(A788-1,20)+1</x:f>
        <x:v>4</x:v>
      </x:c>
      <x:c r="D788" s="18" t="str">
        <x:v>תִּפְאָרָה</x:v>
      </x:c>
      <x:c r="E788" s="19" t="str">
        <x:v>tip̄ʾārâ</x:v>
      </x:c>
      <x:c r="F788" s="16" t="str">
        <x:v>תפארה</x:v>
      </x:c>
      <x:c r="G788" s="20" t="str">
        <x:v>ornament (abstractly or concretely, literally or figuratively)</x:v>
      </x:c>
      <x:c r="H788" s="20" t="str"/>
      <x:c r="I788" s="21" t="str">
        <x:v>自編延伸</x:v>
      </x:c>
      <x:c r="J788" s="21"/>
      <x:c r="K788" s="22" t="n">
        <x:v>51</x:v>
      </x:c>
      <x:c r="L788" s="21" t="str">
        <x:v>H8597</x:v>
      </x:c>
      <x:c r="M788" s="21" t="str">
        <x:v>noun</x:v>
      </x:c>
      <x:c r="N788" s="21" t="str">
        <x:v>否</x:v>
      </x:c>
      <x:c r="O788" s="21" t="str"/>
      <x:c r="P788" s="21" t="str">
        <x:v>lemma_frequency_verified</x:v>
      </x:c>
      <x:c r="Q788" s="21" t="str">
        <x:v>rule_generated_exception_review</x:v>
      </x:c>
      <x:c r="R788" s="20" t="str">
        <x:v>https://github.com/openscriptures/morphhb</x:v>
      </x:c>
    </x:row>
    <x:row r="789" ht="28" customHeight="1">
      <x:c r="A789" s="21" t="n">
        <x:v>785</x:v>
      </x:c>
      <x:c r="B789" s="21" t="n">
        <x:f>ROUNDUP(A789/20,0)</x:f>
        <x:v>40</x:v>
      </x:c>
      <x:c r="C789" s="21" t="n">
        <x:f>MOD(A789-1,20)+1</x:f>
        <x:v>5</x:v>
      </x:c>
      <x:c r="D789" s="18" t="str">
        <x:v>חָתַת</x:v>
      </x:c>
      <x:c r="E789" s="19" t="str">
        <x:v>ḥāṯaṯ</x:v>
      </x:c>
      <x:c r="F789" s="16" t="str">
        <x:v>חתת</x:v>
      </x:c>
      <x:c r="G789" s="20" t="str">
        <x:v>properly, to prostrate; hence, to break down, either (literally) by violence, or (figuratively) by confusion and fear</x:v>
      </x:c>
      <x:c r="H789" s="20" t="str"/>
      <x:c r="I789" s="21" t="str">
        <x:v>自編延伸</x:v>
      </x:c>
      <x:c r="J789" s="21"/>
      <x:c r="K789" s="22" t="n">
        <x:v>51</x:v>
      </x:c>
      <x:c r="L789" s="21" t="str">
        <x:v>H2865</x:v>
      </x:c>
      <x:c r="M789" s="21" t="str">
        <x:v>verb</x:v>
      </x:c>
      <x:c r="N789" s="21" t="str">
        <x:v>否</x:v>
      </x:c>
      <x:c r="O789" s="21" t="str"/>
      <x:c r="P789" s="21" t="str">
        <x:v>lemma_frequency_verified</x:v>
      </x:c>
      <x:c r="Q789" s="21" t="str">
        <x:v>rule_generated_exception_review</x:v>
      </x:c>
      <x:c r="R789" s="20" t="str">
        <x:v>https://github.com/openscriptures/morphhb</x:v>
      </x:c>
    </x:row>
    <x:row r="790" ht="28" customHeight="1">
      <x:c r="A790" s="21" t="n">
        <x:v>786</x:v>
      </x:c>
      <x:c r="B790" s="21" t="n">
        <x:f>ROUNDUP(A790/20,0)</x:f>
        <x:v>40</x:v>
      </x:c>
      <x:c r="C790" s="21" t="n">
        <x:f>MOD(A790-1,20)+1</x:f>
        <x:v>6</x:v>
      </x:c>
      <x:c r="D790" s="18" t="str">
        <x:v>אַחֲרוֹן</x:v>
      </x:c>
      <x:c r="E790" s="19" t="str">
        <x:v>ʾaḥărôn</x:v>
      </x:c>
      <x:c r="F790" s="16" t="str">
        <x:v>אחרון</x:v>
      </x:c>
      <x:c r="G790" s="20" t="str">
        <x:v>hinder; generally, late or last; specifically (as facing the east) western</x:v>
      </x:c>
      <x:c r="H790" s="20" t="str"/>
      <x:c r="I790" s="21" t="str">
        <x:v>自編延伸</x:v>
      </x:c>
      <x:c r="J790" s="21"/>
      <x:c r="K790" s="22" t="n">
        <x:v>51</x:v>
      </x:c>
      <x:c r="L790" s="21" t="str">
        <x:v>H314</x:v>
      </x:c>
      <x:c r="M790" s="21" t="str">
        <x:v>adjective</x:v>
      </x:c>
      <x:c r="N790" s="21" t="str">
        <x:v>否</x:v>
      </x:c>
      <x:c r="O790" s="21" t="str"/>
      <x:c r="P790" s="21" t="str">
        <x:v>lemma_frequency_verified</x:v>
      </x:c>
      <x:c r="Q790" s="21" t="str">
        <x:v>rule_generated_exception_review</x:v>
      </x:c>
      <x:c r="R790" s="20" t="str">
        <x:v>https://github.com/openscriptures/morphhb</x:v>
      </x:c>
    </x:row>
    <x:row r="791" ht="28" customHeight="1">
      <x:c r="A791" s="21" t="n">
        <x:v>787</x:v>
      </x:c>
      <x:c r="B791" s="21" t="n">
        <x:f>ROUNDUP(A791/20,0)</x:f>
        <x:v>40</x:v>
      </x:c>
      <x:c r="C791" s="21" t="n">
        <x:f>MOD(A791-1,20)+1</x:f>
        <x:v>7</x:v>
      </x:c>
      <x:c r="D791" s="18" t="str">
        <x:v>עַד</x:v>
      </x:c>
      <x:c r="E791" s="19" t="str">
        <x:v>ʿaḏ</x:v>
      </x:c>
      <x:c r="F791" s="16" t="str">
        <x:v>עד</x:v>
      </x:c>
      <x:c r="G791" s="20" t="str">
        <x:v>properly, a (peremptory) terminus, i.e. (by implication) duration, in the sense of advance or perpetuity (substantially as a noun, either with or without a preposition)</x:v>
      </x:c>
      <x:c r="H791" s="20" t="str"/>
      <x:c r="I791" s="21" t="str">
        <x:v>自編延伸</x:v>
      </x:c>
      <x:c r="J791" s="21"/>
      <x:c r="K791" s="22" t="n">
        <x:v>51</x:v>
      </x:c>
      <x:c r="L791" s="21" t="str">
        <x:v>H5703</x:v>
      </x:c>
      <x:c r="M791" s="21" t="str">
        <x:v>noun</x:v>
      </x:c>
      <x:c r="N791" s="21" t="str">
        <x:v>否</x:v>
      </x:c>
      <x:c r="O791" s="21" t="str"/>
      <x:c r="P791" s="21" t="str">
        <x:v>lemma_frequency_verified</x:v>
      </x:c>
      <x:c r="Q791" s="21" t="str">
        <x:v>rule_generated_exception_review</x:v>
      </x:c>
      <x:c r="R791" s="20" t="str">
        <x:v>https://github.com/openscriptures/morphhb</x:v>
      </x:c>
    </x:row>
    <x:row r="792" ht="28" customHeight="1">
      <x:c r="A792" s="21" t="n">
        <x:v>788</x:v>
      </x:c>
      <x:c r="B792" s="21" t="n">
        <x:f>ROUNDUP(A792/20,0)</x:f>
        <x:v>40</x:v>
      </x:c>
      <x:c r="C792" s="21" t="n">
        <x:f>MOD(A792-1,20)+1</x:f>
        <x:v>8</x:v>
      </x:c>
      <x:c r="D792" s="18" t="str">
        <x:v>הוֹי</x:v>
      </x:c>
      <x:c r="E792" s="19" t="str">
        <x:v>hôy</x:v>
      </x:c>
      <x:c r="F792" s="16" t="str">
        <x:v>הוי</x:v>
      </x:c>
      <x:c r="G792" s="20" t="str">
        <x:v>oh!</x:v>
      </x:c>
      <x:c r="H792" s="20" t="str"/>
      <x:c r="I792" s="21" t="str">
        <x:v>自編延伸</x:v>
      </x:c>
      <x:c r="J792" s="21"/>
      <x:c r="K792" s="22" t="n">
        <x:v>51</x:v>
      </x:c>
      <x:c r="L792" s="21" t="str">
        <x:v>H1945</x:v>
      </x:c>
      <x:c r="M792" s="21" t="str">
        <x:v>particle</x:v>
      </x:c>
      <x:c r="N792" s="21" t="str">
        <x:v>否</x:v>
      </x:c>
      <x:c r="O792" s="21" t="str"/>
      <x:c r="P792" s="21" t="str">
        <x:v>lemma_frequency_verified</x:v>
      </x:c>
      <x:c r="Q792" s="21" t="str">
        <x:v>rule_generated_exception_review</x:v>
      </x:c>
      <x:c r="R792" s="20" t="str">
        <x:v>https://github.com/openscriptures/morphhb</x:v>
      </x:c>
    </x:row>
    <x:row r="793" ht="28" customHeight="1">
      <x:c r="A793" s="21" t="n">
        <x:v>789</x:v>
      </x:c>
      <x:c r="B793" s="21" t="n">
        <x:f>ROUNDUP(A793/20,0)</x:f>
        <x:v>40</x:v>
      </x:c>
      <x:c r="C793" s="21" t="n">
        <x:f>MOD(A793-1,20)+1</x:f>
        <x:v>9</x:v>
      </x:c>
      <x:c r="D793" s="18" t="str">
        <x:v>מָדַד</x:v>
      </x:c>
      <x:c r="E793" s="19" t="str">
        <x:v>māḏaḏ</x:v>
      </x:c>
      <x:c r="F793" s="16" t="str">
        <x:v>מדד</x:v>
      </x:c>
      <x:c r="G793" s="20" t="str">
        <x:v>properly, to stretch; by implication, to measure (as if by stretching a line); figuratively, to be extended</x:v>
      </x:c>
      <x:c r="H793" s="20" t="str"/>
      <x:c r="I793" s="21" t="str">
        <x:v>自編延伸</x:v>
      </x:c>
      <x:c r="J793" s="21"/>
      <x:c r="K793" s="22" t="n">
        <x:v>51</x:v>
      </x:c>
      <x:c r="L793" s="21" t="str">
        <x:v>H4058</x:v>
      </x:c>
      <x:c r="M793" s="21" t="str">
        <x:v>verb</x:v>
      </x:c>
      <x:c r="N793" s="21" t="str">
        <x:v>否</x:v>
      </x:c>
      <x:c r="O793" s="21" t="str"/>
      <x:c r="P793" s="21" t="str">
        <x:v>lemma_frequency_verified</x:v>
      </x:c>
      <x:c r="Q793" s="21" t="str">
        <x:v>rule_generated_exception_review</x:v>
      </x:c>
      <x:c r="R793" s="20" t="str">
        <x:v>https://github.com/openscriptures/morphhb</x:v>
      </x:c>
    </x:row>
    <x:row r="794" ht="28" customHeight="1">
      <x:c r="A794" s="21" t="n">
        <x:v>790</x:v>
      </x:c>
      <x:c r="B794" s="21" t="n">
        <x:f>ROUNDUP(A794/20,0)</x:f>
        <x:v>40</x:v>
      </x:c>
      <x:c r="C794" s="21" t="n">
        <x:f>MOD(A794-1,20)+1</x:f>
        <x:v>10</x:v>
      </x:c>
      <x:c r="D794" s="18" t="str">
        <x:v>רֵאשִׁית</x:v>
      </x:c>
      <x:c r="E794" s="19" t="str">
        <x:v>rēʾšîṯ</x:v>
      </x:c>
      <x:c r="F794" s="16" t="str">
        <x:v>ראשית</x:v>
      </x:c>
      <x:c r="G794" s="20" t="str">
        <x:v>the first, in place, time, order or rank (specifically, a firstfruit)</x:v>
      </x:c>
      <x:c r="H794" s="20" t="str"/>
      <x:c r="I794" s="21" t="str">
        <x:v>自編延伸</x:v>
      </x:c>
      <x:c r="J794" s="21"/>
      <x:c r="K794" s="22" t="n">
        <x:v>51</x:v>
      </x:c>
      <x:c r="L794" s="21" t="str">
        <x:v>H7225</x:v>
      </x:c>
      <x:c r="M794" s="21" t="str">
        <x:v>noun</x:v>
      </x:c>
      <x:c r="N794" s="21" t="str">
        <x:v>否</x:v>
      </x:c>
      <x:c r="O794" s="21" t="str"/>
      <x:c r="P794" s="21" t="str">
        <x:v>lemma_frequency_verified</x:v>
      </x:c>
      <x:c r="Q794" s="21" t="str">
        <x:v>rule_generated_exception_review</x:v>
      </x:c>
      <x:c r="R794" s="20" t="str">
        <x:v>https://github.com/openscriptures/morphhb</x:v>
      </x:c>
    </x:row>
    <x:row r="795" ht="28" customHeight="1">
      <x:c r="A795" s="21" t="n">
        <x:v>791</x:v>
      </x:c>
      <x:c r="B795" s="21" t="n">
        <x:f>ROUNDUP(A795/20,0)</x:f>
        <x:v>40</x:v>
      </x:c>
      <x:c r="C795" s="21" t="n">
        <x:f>MOD(A795-1,20)+1</x:f>
        <x:v>11</x:v>
      </x:c>
      <x:c r="D795" s="18" t="str">
        <x:v>קָצַר</x:v>
      </x:c>
      <x:c r="E795" s="19" t="str">
        <x:v>qāṣar</x:v>
      </x:c>
      <x:c r="F795" s="16" t="str">
        <x:v>קצר</x:v>
      </x:c>
      <x:c r="G795" s="20" t="str">
        <x:v>to dock off, i.e. curtail (transitive or intransitive, literal or figurative); especially to harvest (grass or grain)</x:v>
      </x:c>
      <x:c r="H795" s="20" t="str"/>
      <x:c r="I795" s="21" t="str">
        <x:v>自編延伸</x:v>
      </x:c>
      <x:c r="J795" s="21"/>
      <x:c r="K795" s="22" t="n">
        <x:v>51</x:v>
      </x:c>
      <x:c r="L795" s="21" t="str">
        <x:v>H7114</x:v>
      </x:c>
      <x:c r="M795" s="21" t="str">
        <x:v>verb</x:v>
      </x:c>
      <x:c r="N795" s="21" t="str">
        <x:v>否</x:v>
      </x:c>
      <x:c r="O795" s="21" t="str"/>
      <x:c r="P795" s="21" t="str">
        <x:v>lemma_frequency_verified</x:v>
      </x:c>
      <x:c r="Q795" s="21" t="str">
        <x:v>rule_generated_exception_review</x:v>
      </x:c>
      <x:c r="R795" s="20" t="str">
        <x:v>https://github.com/openscriptures/morphhb</x:v>
      </x:c>
    </x:row>
    <x:row r="796" ht="28" customHeight="1">
      <x:c r="A796" s="21" t="n">
        <x:v>792</x:v>
      </x:c>
      <x:c r="B796" s="21" t="n">
        <x:f>ROUNDUP(A796/20,0)</x:f>
        <x:v>40</x:v>
      </x:c>
      <x:c r="C796" s="21" t="n">
        <x:f>MOD(A796-1,20)+1</x:f>
        <x:v>12</x:v>
      </x:c>
      <x:c r="D796" s="18" t="str">
        <x:v>תָּעָה</x:v>
      </x:c>
      <x:c r="E796" s="19" t="str">
        <x:v>tāʿâ</x:v>
      </x:c>
      <x:c r="F796" s="16" t="str">
        <x:v>תעה</x:v>
      </x:c>
      <x:c r="G796" s="20" t="str">
        <x:v>to vacillate, i.e. reel or stray (literally or figuratively); also causative of both</x:v>
      </x:c>
      <x:c r="H796" s="20" t="str"/>
      <x:c r="I796" s="21" t="str">
        <x:v>自編延伸</x:v>
      </x:c>
      <x:c r="J796" s="21"/>
      <x:c r="K796" s="22" t="n">
        <x:v>51</x:v>
      </x:c>
      <x:c r="L796" s="21" t="str">
        <x:v>H8582</x:v>
      </x:c>
      <x:c r="M796" s="21" t="str">
        <x:v>verb</x:v>
      </x:c>
      <x:c r="N796" s="21" t="str">
        <x:v>否</x:v>
      </x:c>
      <x:c r="O796" s="21" t="str"/>
      <x:c r="P796" s="21" t="str">
        <x:v>lemma_frequency_verified</x:v>
      </x:c>
      <x:c r="Q796" s="21" t="str">
        <x:v>rule_generated_exception_review</x:v>
      </x:c>
      <x:c r="R796" s="20" t="str">
        <x:v>https://github.com/openscriptures/morphhb</x:v>
      </x:c>
    </x:row>
    <x:row r="797" ht="28" customHeight="1">
      <x:c r="A797" s="21" t="n">
        <x:v>793</x:v>
      </x:c>
      <x:c r="B797" s="21" t="n">
        <x:f>ROUNDUP(A797/20,0)</x:f>
        <x:v>40</x:v>
      </x:c>
      <x:c r="C797" s="21" t="n">
        <x:f>MOD(A797-1,20)+1</x:f>
        <x:v>13</x:v>
      </x:c>
      <x:c r="D797" s="18" t="str">
        <x:v>כָּבַס</x:v>
      </x:c>
      <x:c r="E797" s="19" t="str">
        <x:v>kāḇas</x:v>
      </x:c>
      <x:c r="F797" s="16" t="str">
        <x:v>כבס</x:v>
      </x:c>
      <x:c r="G797" s="20" t="str">
        <x:v>to trample; hence, to wash (properly, by stamping with the feet), whether literal (including the fulling process) or figurative</x:v>
      </x:c>
      <x:c r="H797" s="20" t="str"/>
      <x:c r="I797" s="21" t="str">
        <x:v>自編延伸</x:v>
      </x:c>
      <x:c r="J797" s="21"/>
      <x:c r="K797" s="22" t="n">
        <x:v>51</x:v>
      </x:c>
      <x:c r="L797" s="21" t="str">
        <x:v>H3526</x:v>
      </x:c>
      <x:c r="M797" s="21" t="str">
        <x:v>verb</x:v>
      </x:c>
      <x:c r="N797" s="21" t="str">
        <x:v>否</x:v>
      </x:c>
      <x:c r="O797" s="21" t="str"/>
      <x:c r="P797" s="21" t="str">
        <x:v>lemma_frequency_verified</x:v>
      </x:c>
      <x:c r="Q797" s="21" t="str">
        <x:v>rule_generated_exception_review</x:v>
      </x:c>
      <x:c r="R797" s="20" t="str">
        <x:v>https://github.com/openscriptures/morphhb</x:v>
      </x:c>
    </x:row>
    <x:row r="798" ht="28" customHeight="1">
      <x:c r="A798" s="21" t="n">
        <x:v>794</x:v>
      </x:c>
      <x:c r="B798" s="21" t="n">
        <x:f>ROUNDUP(A798/20,0)</x:f>
        <x:v>40</x:v>
      </x:c>
      <x:c r="C798" s="21" t="n">
        <x:f>MOD(A798-1,20)+1</x:f>
        <x:v>14</x:v>
      </x:c>
      <x:c r="D798" s="18" t="str">
        <x:v>קֶרֶשׁ</x:v>
      </x:c>
      <x:c r="E798" s="19" t="str">
        <x:v>qereš</x:v>
      </x:c>
      <x:c r="F798" s="16" t="str">
        <x:v>קרש</x:v>
      </x:c>
      <x:c r="G798" s="20" t="str">
        <x:v>a slab or plank; by implication, a deck of aship</x:v>
      </x:c>
      <x:c r="H798" s="20" t="str"/>
      <x:c r="I798" s="21" t="str">
        <x:v>自編延伸</x:v>
      </x:c>
      <x:c r="J798" s="21"/>
      <x:c r="K798" s="22" t="n">
        <x:v>51</x:v>
      </x:c>
      <x:c r="L798" s="21" t="str">
        <x:v>H7175</x:v>
      </x:c>
      <x:c r="M798" s="21" t="str">
        <x:v>noun</x:v>
      </x:c>
      <x:c r="N798" s="21" t="str">
        <x:v>否</x:v>
      </x:c>
      <x:c r="O798" s="21" t="str"/>
      <x:c r="P798" s="21" t="str">
        <x:v>lemma_frequency_verified</x:v>
      </x:c>
      <x:c r="Q798" s="21" t="str">
        <x:v>rule_generated_exception_review</x:v>
      </x:c>
      <x:c r="R798" s="20" t="str">
        <x:v>https://github.com/openscriptures/morphhb</x:v>
      </x:c>
    </x:row>
    <x:row r="799" ht="28" customHeight="1">
      <x:c r="A799" s="21" t="n">
        <x:v>795</x:v>
      </x:c>
      <x:c r="B799" s="21" t="n">
        <x:f>ROUNDUP(A799/20,0)</x:f>
        <x:v>40</x:v>
      </x:c>
      <x:c r="C799" s="21" t="n">
        <x:f>MOD(A799-1,20)+1</x:f>
        <x:v>15</x:v>
      </x:c>
      <x:c r="D799" s="18" t="str">
        <x:v>רְחַבְעָם</x:v>
      </x:c>
      <x:c r="E799" s="19" t="str">
        <x:v>rəḥaḇʿām</x:v>
      </x:c>
      <x:c r="F799" s="16" t="str">
        <x:v>רחבעם</x:v>
      </x:c>
      <x:c r="G799" s="20" t="str">
        <x:v>Rechabam, an Israelite king</x:v>
      </x:c>
      <x:c r="H799" s="20" t="str"/>
      <x:c r="I799" s="21" t="str">
        <x:v>自編延伸</x:v>
      </x:c>
      <x:c r="J799" s="21"/>
      <x:c r="K799" s="22" t="n">
        <x:v>50</x:v>
      </x:c>
      <x:c r="L799" s="21" t="str">
        <x:v>H7346</x:v>
      </x:c>
      <x:c r="M799" s="21" t="str">
        <x:v>proper_name</x:v>
      </x:c>
      <x:c r="N799" s="21" t="str">
        <x:v>是</x:v>
      </x:c>
      <x:c r="O799" s="21" t="str">
        <x:v>人名</x:v>
      </x:c>
      <x:c r="P799" s="21" t="str">
        <x:v>lemma_frequency_verified</x:v>
      </x:c>
      <x:c r="Q799" s="21" t="str">
        <x:v>rule_generated_exception_review</x:v>
      </x:c>
      <x:c r="R799" s="20" t="str">
        <x:v>https://github.com/openscriptures/morphhb</x:v>
      </x:c>
    </x:row>
    <x:row r="800" ht="28" customHeight="1">
      <x:c r="A800" s="21" t="n">
        <x:v>796</x:v>
      </x:c>
      <x:c r="B800" s="21" t="n">
        <x:f>ROUNDUP(A800/20,0)</x:f>
        <x:v>40</x:v>
      </x:c>
      <x:c r="C800" s="21" t="n">
        <x:f>MOD(A800-1,20)+1</x:f>
        <x:v>16</x:v>
      </x:c>
      <x:c r="D800" s="18" t="str">
        <x:v>פָּרַץ</x:v>
      </x:c>
      <x:c r="E800" s="19" t="str">
        <x:v>pāraṣ</x:v>
      </x:c>
      <x:c r="F800" s="16" t="str">
        <x:v>פרץ</x:v>
      </x:c>
      <x:c r="G800" s="20" t="str">
        <x:v>to break out (in many applications, direct and indirect, literal and figurative)</x:v>
      </x:c>
      <x:c r="H800" s="20" t="str"/>
      <x:c r="I800" s="21" t="str">
        <x:v>自編延伸</x:v>
      </x:c>
      <x:c r="J800" s="21"/>
      <x:c r="K800" s="22" t="n">
        <x:v>50</x:v>
      </x:c>
      <x:c r="L800" s="21" t="str">
        <x:v>H6555</x:v>
      </x:c>
      <x:c r="M800" s="21" t="str">
        <x:v>verb</x:v>
      </x:c>
      <x:c r="N800" s="21" t="str">
        <x:v>否</x:v>
      </x:c>
      <x:c r="O800" s="21" t="str"/>
      <x:c r="P800" s="21" t="str">
        <x:v>lemma_frequency_verified</x:v>
      </x:c>
      <x:c r="Q800" s="21" t="str">
        <x:v>rule_generated_exception_review</x:v>
      </x:c>
      <x:c r="R800" s="20" t="str">
        <x:v>https://github.com/openscriptures/morphhb</x:v>
      </x:c>
    </x:row>
    <x:row r="801" ht="28" customHeight="1">
      <x:c r="A801" s="21" t="n">
        <x:v>797</x:v>
      </x:c>
      <x:c r="B801" s="21" t="n">
        <x:f>ROUNDUP(A801/20,0)</x:f>
        <x:v>40</x:v>
      </x:c>
      <x:c r="C801" s="21" t="n">
        <x:f>MOD(A801-1,20)+1</x:f>
        <x:v>17</x:v>
      </x:c>
      <x:c r="D801" s="18" t="str">
        <x:v>הֵנָּה</x:v>
      </x:c>
      <x:c r="E801" s="19" t="str">
        <x:v>hēnnâ</x:v>
      </x:c>
      <x:c r="F801" s="16" t="str">
        <x:v>הנה</x:v>
      </x:c>
      <x:c r="G801" s="20" t="str">
        <x:v>hither or thither (but used both of place and time)</x:v>
      </x:c>
      <x:c r="H801" s="20" t="str"/>
      <x:c r="I801" s="21" t="str">
        <x:v>自編延伸</x:v>
      </x:c>
      <x:c r="J801" s="21"/>
      <x:c r="K801" s="22" t="n">
        <x:v>50</x:v>
      </x:c>
      <x:c r="L801" s="21" t="str">
        <x:v>H2008</x:v>
      </x:c>
      <x:c r="M801" s="21" t="str">
        <x:v>adverb</x:v>
      </x:c>
      <x:c r="N801" s="21" t="str">
        <x:v>否</x:v>
      </x:c>
      <x:c r="O801" s="21" t="str"/>
      <x:c r="P801" s="21" t="str">
        <x:v>lemma_frequency_verified</x:v>
      </x:c>
      <x:c r="Q801" s="21" t="str">
        <x:v>rule_generated_exception_review</x:v>
      </x:c>
      <x:c r="R801" s="20" t="str">
        <x:v>https://github.com/openscriptures/morphhb</x:v>
      </x:c>
    </x:row>
    <x:row r="802" ht="28" customHeight="1">
      <x:c r="A802" s="21" t="n">
        <x:v>798</x:v>
      </x:c>
      <x:c r="B802" s="21" t="n">
        <x:f>ROUNDUP(A802/20,0)</x:f>
        <x:v>40</x:v>
      </x:c>
      <x:c r="C802" s="21" t="n">
        <x:f>MOD(A802-1,20)+1</x:f>
        <x:v>18</x:v>
      </x:c>
      <x:c r="D802" s="18" t="str">
        <x:v>מַעֲלָה</x:v>
      </x:c>
      <x:c r="E802" s="19" t="str">
        <x:v>maʿălâ</x:v>
      </x:c>
      <x:c r="F802" s="16" t="str">
        <x:v>מעלה</x:v>
      </x:c>
      <x:c r="G802" s="20" t="str">
        <x:v>elevation, i.e. the act (literally, a journey to a higher place, figuratively, a thought arising), or (concretely) the condition (literally, a step or grademark, figuratively, a superiority of station); specifically a climactic progression (in certain Psalms)</x:v>
      </x:c>
      <x:c r="H802" s="20" t="str"/>
      <x:c r="I802" s="21" t="str">
        <x:v>自編延伸</x:v>
      </x:c>
      <x:c r="J802" s="21"/>
      <x:c r="K802" s="22" t="n">
        <x:v>50</x:v>
      </x:c>
      <x:c r="L802" s="21" t="str">
        <x:v>H4609</x:v>
      </x:c>
      <x:c r="M802" s="21" t="str">
        <x:v>noun</x:v>
      </x:c>
      <x:c r="N802" s="21" t="str">
        <x:v>否</x:v>
      </x:c>
      <x:c r="O802" s="21" t="str"/>
      <x:c r="P802" s="21" t="str">
        <x:v>lemma_frequency_verified</x:v>
      </x:c>
      <x:c r="Q802" s="21" t="str">
        <x:v>rule_generated_exception_review</x:v>
      </x:c>
      <x:c r="R802" s="20" t="str">
        <x:v>https://github.com/openscriptures/morphhb</x:v>
      </x:c>
    </x:row>
    <x:row r="803" ht="28" customHeight="1">
      <x:c r="A803" s="21" t="n">
        <x:v>799</x:v>
      </x:c>
      <x:c r="B803" s="21" t="n">
        <x:f>ROUNDUP(A803/20,0)</x:f>
        <x:v>40</x:v>
      </x:c>
      <x:c r="C803" s="21" t="n">
        <x:f>MOD(A803-1,20)+1</x:f>
        <x:v>19</x:v>
      </x:c>
      <x:c r="D803" s="18" t="str">
        <x:v>נָשַׂג</x:v>
      </x:c>
      <x:c r="E803" s="19" t="str">
        <x:v>nāśag̅</x:v>
      </x:c>
      <x:c r="F803" s="16" t="str">
        <x:v>נשג</x:v>
      </x:c>
      <x:c r="G803" s="20" t="str">
        <x:v>to reach (literally or figuratively)</x:v>
      </x:c>
      <x:c r="H803" s="20" t="str"/>
      <x:c r="I803" s="21" t="str">
        <x:v>自編延伸</x:v>
      </x:c>
      <x:c r="J803" s="21"/>
      <x:c r="K803" s="22" t="n">
        <x:v>50</x:v>
      </x:c>
      <x:c r="L803" s="21" t="str">
        <x:v>H5381</x:v>
      </x:c>
      <x:c r="M803" s="21" t="str">
        <x:v>verb</x:v>
      </x:c>
      <x:c r="N803" s="21" t="str">
        <x:v>否</x:v>
      </x:c>
      <x:c r="O803" s="21" t="str"/>
      <x:c r="P803" s="21" t="str">
        <x:v>lemma_frequency_verified</x:v>
      </x:c>
      <x:c r="Q803" s="21" t="str">
        <x:v>rule_generated_exception_review</x:v>
      </x:c>
      <x:c r="R803" s="20" t="str">
        <x:v>https://github.com/openscriptures/morphhb</x:v>
      </x:c>
    </x:row>
    <x:row r="804" ht="28" customHeight="1">
      <x:c r="A804" s="21" t="n">
        <x:v>800</x:v>
      </x:c>
      <x:c r="B804" s="21" t="n">
        <x:f>ROUNDUP(A804/20,0)</x:f>
        <x:v>40</x:v>
      </x:c>
      <x:c r="C804" s="21" t="n">
        <x:f>MOD(A804-1,20)+1</x:f>
        <x:v>20</x:v>
      </x:c>
      <x:c r="D804" s="18" t="str">
        <x:v>בְּתוּלָה</x:v>
      </x:c>
      <x:c r="E804" s="19" t="str">
        <x:v>bəṯûlâ</x:v>
      </x:c>
      <x:c r="F804" s="16" t="str">
        <x:v>בתולה</x:v>
      </x:c>
      <x:c r="G804" s="20" t="str">
        <x:v>a virgin (from her privacy); sometimes (by continuation) a bride; also (figuratively) a city or state</x:v>
      </x:c>
      <x:c r="H804" s="20" t="str"/>
      <x:c r="I804" s="21" t="str">
        <x:v>自編延伸</x:v>
      </x:c>
      <x:c r="J804" s="21"/>
      <x:c r="K804" s="22" t="n">
        <x:v>50</x:v>
      </x:c>
      <x:c r="L804" s="21" t="str">
        <x:v>H1330</x:v>
      </x:c>
      <x:c r="M804" s="21" t="str">
        <x:v>noun</x:v>
      </x:c>
      <x:c r="N804" s="21" t="str">
        <x:v>否</x:v>
      </x:c>
      <x:c r="O804" s="21" t="str"/>
      <x:c r="P804" s="21" t="str">
        <x:v>lemma_frequency_verified</x:v>
      </x:c>
      <x:c r="Q804" s="21" t="str">
        <x:v>rule_generated_exception_review</x:v>
      </x:c>
      <x:c r="R804" s="20" t="str">
        <x:v>https://github.com/openscriptures/morphhb</x:v>
      </x:c>
    </x:row>
    <x:row r="805" ht="28" customHeight="1">
      <x:c r="A805" s="21" t="n">
        <x:v>801</x:v>
      </x:c>
      <x:c r="B805" s="21" t="n">
        <x:f>ROUNDUP(A805/20,0)</x:f>
        <x:v>41</x:v>
      </x:c>
      <x:c r="C805" s="21" t="n">
        <x:f>MOD(A805-1,20)+1</x:f>
        <x:v>1</x:v>
      </x:c>
      <x:c r="D805" s="18" t="str">
        <x:v>נָכַר</x:v>
      </x:c>
      <x:c r="E805" s="19" t="str">
        <x:v>nāḵar</x:v>
      </x:c>
      <x:c r="F805" s="16" t="str">
        <x:v>נכר</x:v>
      </x:c>
      <x:c r="G805" s="20" t="str">
        <x:v>properly, to scrutinize, i.e. look intently at; hence (with recognition implied), to acknowledge, be acquainted with, care for, respect, revere, or (with suspicion implied), to disregard, ignore, be strange toward, reject, resign, dissimulate (as if ignorant or disowning)</x:v>
      </x:c>
      <x:c r="H805" s="20" t="str"/>
      <x:c r="I805" s="21" t="str">
        <x:v>自編延伸</x:v>
      </x:c>
      <x:c r="J805" s="21"/>
      <x:c r="K805" s="22" t="n">
        <x:v>50</x:v>
      </x:c>
      <x:c r="L805" s="21" t="str">
        <x:v>H5234</x:v>
      </x:c>
      <x:c r="M805" s="21" t="str">
        <x:v>verb</x:v>
      </x:c>
      <x:c r="N805" s="21" t="str">
        <x:v>否</x:v>
      </x:c>
      <x:c r="O805" s="21" t="str"/>
      <x:c r="P805" s="21" t="str">
        <x:v>lemma_frequency_verified</x:v>
      </x:c>
      <x:c r="Q805" s="21" t="str">
        <x:v>rule_generated_exception_review</x:v>
      </x:c>
      <x:c r="R805" s="20" t="str">
        <x:v>https://github.com/openscriptures/morphhb</x:v>
      </x:c>
    </x:row>
    <x:row r="806" ht="28" customHeight="1">
      <x:c r="A806" s="21" t="n">
        <x:v>802</x:v>
      </x:c>
      <x:c r="B806" s="21" t="n">
        <x:f>ROUNDUP(A806/20,0)</x:f>
        <x:v>41</x:v>
      </x:c>
      <x:c r="C806" s="21" t="n">
        <x:f>MOD(A806-1,20)+1</x:f>
        <x:v>2</x:v>
      </x:c>
      <x:c r="D806" s="18" t="str">
        <x:v>בֶּן־הֲדַד</x:v>
      </x:c>
      <x:c r="E806" s="19" t="str">
        <x:v>ben-hăḏaḏ</x:v>
      </x:c>
      <x:c r="F806" s="16" t="str">
        <x:v>בןהדד</x:v>
      </x:c>
      <x:c r="G806" s="20" t="str">
        <x:v>Ben-Hadad, the name of several Syrian kings</x:v>
      </x:c>
      <x:c r="H806" s="20" t="str"/>
      <x:c r="I806" s="21" t="str">
        <x:v>自編延伸</x:v>
      </x:c>
      <x:c r="J806" s="21"/>
      <x:c r="K806" s="22" t="n">
        <x:v>50</x:v>
      </x:c>
      <x:c r="L806" s="21" t="str">
        <x:v>H1130</x:v>
      </x:c>
      <x:c r="M806" s="21" t="str">
        <x:v>proper_name</x:v>
      </x:c>
      <x:c r="N806" s="21" t="str">
        <x:v>是</x:v>
      </x:c>
      <x:c r="O806" s="21" t="str">
        <x:v>人名</x:v>
      </x:c>
      <x:c r="P806" s="21" t="str">
        <x:v>lemma_frequency_verified</x:v>
      </x:c>
      <x:c r="Q806" s="21" t="str">
        <x:v>rule_generated_exception_review</x:v>
      </x:c>
      <x:c r="R806" s="20" t="str">
        <x:v>https://github.com/openscriptures/morphhb</x:v>
      </x:c>
    </x:row>
    <x:row r="807" ht="28" customHeight="1">
      <x:c r="A807" s="21" t="n">
        <x:v>803</x:v>
      </x:c>
      <x:c r="B807" s="21" t="n">
        <x:f>ROUNDUP(A807/20,0)</x:f>
        <x:v>41</x:v>
      </x:c>
      <x:c r="C807" s="21" t="n">
        <x:f>MOD(A807-1,20)+1</x:f>
        <x:v>3</x:v>
      </x:c>
      <x:c r="D807" s="18" t="str">
        <x:v>פָּרַר</x:v>
      </x:c>
      <x:c r="E807" s="19" t="str">
        <x:v>pārar</x:v>
      </x:c>
      <x:c r="F807" s="16" t="str">
        <x:v>פרר</x:v>
      </x:c>
      <x:c r="G807" s="20" t="str">
        <x:v>to break up (usually figuratively), i.e. to violate, frustrate</x:v>
      </x:c>
      <x:c r="H807" s="20" t="str"/>
      <x:c r="I807" s="21" t="str">
        <x:v>自編延伸</x:v>
      </x:c>
      <x:c r="J807" s="21"/>
      <x:c r="K807" s="22" t="n">
        <x:v>50</x:v>
      </x:c>
      <x:c r="L807" s="21" t="str">
        <x:v>H6565</x:v>
      </x:c>
      <x:c r="M807" s="21" t="str">
        <x:v>verb</x:v>
      </x:c>
      <x:c r="N807" s="21" t="str">
        <x:v>否</x:v>
      </x:c>
      <x:c r="O807" s="21" t="str"/>
      <x:c r="P807" s="21" t="str">
        <x:v>lemma_frequency_verified</x:v>
      </x:c>
      <x:c r="Q807" s="21" t="str">
        <x:v>rule_generated_exception_review</x:v>
      </x:c>
      <x:c r="R807" s="20" t="str">
        <x:v>https://github.com/openscriptures/morphhb</x:v>
      </x:c>
    </x:row>
    <x:row r="808" ht="28" customHeight="1">
      <x:c r="A808" s="21" t="n">
        <x:v>804</x:v>
      </x:c>
      <x:c r="B808" s="21" t="n">
        <x:f>ROUNDUP(A808/20,0)</x:f>
        <x:v>41</x:v>
      </x:c>
      <x:c r="C808" s="21" t="n">
        <x:f>MOD(A808-1,20)+1</x:f>
        <x:v>4</x:v>
      </x:c>
      <x:c r="D808" s="18" t="str">
        <x:v>בָּלַע</x:v>
      </x:c>
      <x:c r="E808" s="19" t="str">
        <x:v>bālaʿ</x:v>
      </x:c>
      <x:c r="F808" s="16" t="str">
        <x:v>בלע</x:v>
      </x:c>
      <x:c r="G808" s="20" t="str">
        <x:v>to make away with (specifically by swallowing); generally, to destroy</x:v>
      </x:c>
      <x:c r="H808" s="20" t="str"/>
      <x:c r="I808" s="21" t="str">
        <x:v>自編延伸</x:v>
      </x:c>
      <x:c r="J808" s="21"/>
      <x:c r="K808" s="22" t="n">
        <x:v>50</x:v>
      </x:c>
      <x:c r="L808" s="21" t="str">
        <x:v>H1104</x:v>
      </x:c>
      <x:c r="M808" s="21" t="str">
        <x:v>verb</x:v>
      </x:c>
      <x:c r="N808" s="21" t="str">
        <x:v>否</x:v>
      </x:c>
      <x:c r="O808" s="21" t="str"/>
      <x:c r="P808" s="21" t="str">
        <x:v>lemma_frequency_verified</x:v>
      </x:c>
      <x:c r="Q808" s="21" t="str">
        <x:v>rule_generated_exception_review</x:v>
      </x:c>
      <x:c r="R808" s="20" t="str">
        <x:v>https://github.com/openscriptures/morphhb</x:v>
      </x:c>
    </x:row>
    <x:row r="809" ht="28" customHeight="1">
      <x:c r="A809" s="21" t="n">
        <x:v>805</x:v>
      </x:c>
      <x:c r="B809" s="21" t="n">
        <x:f>ROUNDUP(A809/20,0)</x:f>
        <x:v>41</x:v>
      </x:c>
      <x:c r="C809" s="21" t="n">
        <x:f>MOD(A809-1,20)+1</x:f>
        <x:v>5</x:v>
      </x:c>
      <x:c r="D809" s="18" t="str">
        <x:v>מוּסָר</x:v>
      </x:c>
      <x:c r="E809" s="19" t="str">
        <x:v>mûsār</x:v>
      </x:c>
      <x:c r="F809" s="16" t="str">
        <x:v>מוסר</x:v>
      </x:c>
      <x:c r="G809" s="20" t="str">
        <x:v>properly, chastisement; figuratively, reproof, warning or instruction; also restraint</x:v>
      </x:c>
      <x:c r="H809" s="20" t="str"/>
      <x:c r="I809" s="21" t="str">
        <x:v>自編延伸</x:v>
      </x:c>
      <x:c r="J809" s="21"/>
      <x:c r="K809" s="22" t="n">
        <x:v>50</x:v>
      </x:c>
      <x:c r="L809" s="21" t="str">
        <x:v>H4148</x:v>
      </x:c>
      <x:c r="M809" s="21" t="str">
        <x:v>noun</x:v>
      </x:c>
      <x:c r="N809" s="21" t="str">
        <x:v>否</x:v>
      </x:c>
      <x:c r="O809" s="21" t="str"/>
      <x:c r="P809" s="21" t="str">
        <x:v>lemma_frequency_verified</x:v>
      </x:c>
      <x:c r="Q809" s="21" t="str">
        <x:v>rule_generated_exception_review</x:v>
      </x:c>
      <x:c r="R809" s="20" t="str">
        <x:v>https://github.com/openscriptures/morphhb</x:v>
      </x:c>
    </x:row>
    <x:row r="810" ht="28" customHeight="1">
      <x:c r="A810" s="21" t="n">
        <x:v>806</x:v>
      </x:c>
      <x:c r="B810" s="21" t="n">
        <x:f>ROUNDUP(A810/20,0)</x:f>
        <x:v>41</x:v>
      </x:c>
      <x:c r="C810" s="21" t="n">
        <x:f>MOD(A810-1,20)+1</x:f>
        <x:v>6</x:v>
      </x:c>
      <x:c r="D810" s="18" t="str">
        <x:v>טַבַּעַת</x:v>
      </x:c>
      <x:c r="E810" s="19" t="str">
        <x:v>ṭabbaʿaṯ</x:v>
      </x:c>
      <x:c r="F810" s="16" t="str">
        <x:v>טבעת</x:v>
      </x:c>
      <x:c r="G810" s="20" t="str">
        <x:v>properly, a seal (as sunk into the wax), i.e. signet (for sealing); hence (generally) a ring of any kind</x:v>
      </x:c>
      <x:c r="H810" s="20" t="str"/>
      <x:c r="I810" s="21" t="str">
        <x:v>自編延伸</x:v>
      </x:c>
      <x:c r="J810" s="21"/>
      <x:c r="K810" s="22" t="n">
        <x:v>50</x:v>
      </x:c>
      <x:c r="L810" s="21" t="str">
        <x:v>H2885</x:v>
      </x:c>
      <x:c r="M810" s="21" t="str">
        <x:v>noun</x:v>
      </x:c>
      <x:c r="N810" s="21" t="str">
        <x:v>否</x:v>
      </x:c>
      <x:c r="O810" s="21" t="str"/>
      <x:c r="P810" s="21" t="str">
        <x:v>lemma_frequency_verified</x:v>
      </x:c>
      <x:c r="Q810" s="21" t="str">
        <x:v>rule_generated_exception_review</x:v>
      </x:c>
      <x:c r="R810" s="20" t="str">
        <x:v>https://github.com/openscriptures/morphhb</x:v>
      </x:c>
    </x:row>
    <x:row r="811" ht="28" customHeight="1">
      <x:c r="A811" s="21" t="n">
        <x:v>807</x:v>
      </x:c>
      <x:c r="B811" s="21" t="n">
        <x:f>ROUNDUP(A811/20,0)</x:f>
        <x:v>41</x:v>
      </x:c>
      <x:c r="C811" s="21" t="n">
        <x:f>MOD(A811-1,20)+1</x:f>
        <x:v>7</x:v>
      </x:c>
      <x:c r="D811" s="18" t="str">
        <x:v>יָהּ</x:v>
      </x:c>
      <x:c r="E811" s="19" t="str">
        <x:v>yāh</x:v>
      </x:c>
      <x:c r="F811" s="16" t="str">
        <x:v>יה</x:v>
      </x:c>
      <x:c r="G811" s="20" t="str">
        <x:v>Jah, the sacred name</x:v>
      </x:c>
      <x:c r="H811" s="20" t="str"/>
      <x:c r="I811" s="21" t="str">
        <x:v>自編延伸</x:v>
      </x:c>
      <x:c r="J811" s="21"/>
      <x:c r="K811" s="22" t="n">
        <x:v>50</x:v>
      </x:c>
      <x:c r="L811" s="21" t="str">
        <x:v>H3050</x:v>
      </x:c>
      <x:c r="M811" s="21" t="str">
        <x:v>proper_name</x:v>
      </x:c>
      <x:c r="N811" s="21" t="str">
        <x:v>是</x:v>
      </x:c>
      <x:c r="O811" s="21" t="str">
        <x:v>神名／稱號</x:v>
      </x:c>
      <x:c r="P811" s="21" t="str">
        <x:v>lemma_frequency_verified</x:v>
      </x:c>
      <x:c r="Q811" s="21" t="str">
        <x:v>rule_generated_exception_review</x:v>
      </x:c>
      <x:c r="R811" s="20" t="str">
        <x:v>https://github.com/openscriptures/morphhb</x:v>
      </x:c>
    </x:row>
    <x:row r="812" ht="28" customHeight="1">
      <x:c r="A812" s="21" t="n">
        <x:v>808</x:v>
      </x:c>
      <x:c r="B812" s="21" t="n">
        <x:f>ROUNDUP(A812/20,0)</x:f>
        <x:v>41</x:v>
      </x:c>
      <x:c r="C812" s="21" t="n">
        <x:f>MOD(A812-1,20)+1</x:f>
        <x:v>8</x:v>
      </x:c>
      <x:c r="D812" s="18" t="str">
        <x:v>אֱמוּנָה</x:v>
      </x:c>
      <x:c r="E812" s="19" t="str">
        <x:v>ʾĕmûnâ</x:v>
      </x:c>
      <x:c r="F812" s="16" t="str">
        <x:v>אמונה</x:v>
      </x:c>
      <x:c r="G812" s="20" t="str">
        <x:v>literally firmness; figuratively security; morally fidelity</x:v>
      </x:c>
      <x:c r="H812" s="20" t="str"/>
      <x:c r="I812" s="21" t="str">
        <x:v>自編延伸</x:v>
      </x:c>
      <x:c r="J812" s="21"/>
      <x:c r="K812" s="22" t="n">
        <x:v>49</x:v>
      </x:c>
      <x:c r="L812" s="21" t="str">
        <x:v>H530</x:v>
      </x:c>
      <x:c r="M812" s="21" t="str">
        <x:v>noun</x:v>
      </x:c>
      <x:c r="N812" s="21" t="str">
        <x:v>否</x:v>
      </x:c>
      <x:c r="O812" s="21" t="str"/>
      <x:c r="P812" s="21" t="str">
        <x:v>lemma_frequency_verified</x:v>
      </x:c>
      <x:c r="Q812" s="21" t="str">
        <x:v>rule_generated_exception_review</x:v>
      </x:c>
      <x:c r="R812" s="20" t="str">
        <x:v>https://github.com/openscriptures/morphhb</x:v>
      </x:c>
    </x:row>
    <x:row r="813" ht="28" customHeight="1">
      <x:c r="A813" s="21" t="n">
        <x:v>809</x:v>
      </x:c>
      <x:c r="B813" s="21" t="n">
        <x:f>ROUNDUP(A813/20,0)</x:f>
        <x:v>41</x:v>
      </x:c>
      <x:c r="C813" s="21" t="n">
        <x:f>MOD(A813-1,20)+1</x:f>
        <x:v>9</x:v>
      </x:c>
      <x:c r="D813" s="18" t="str">
        <x:v>עָבוּר</x:v>
      </x:c>
      <x:c r="E813" s="19" t="str">
        <x:v>ʿāḇûr</x:v>
      </x:c>
      <x:c r="F813" s="16" t="str">
        <x:v>עבור</x:v>
      </x:c>
      <x:c r="G813" s="20" t="str">
        <x:v>properly, crossed, i.e. (abstractly) transit; used only adverbially, on account of, in order that</x:v>
      </x:c>
      <x:c r="H813" s="20" t="str"/>
      <x:c r="I813" s="21" t="str">
        <x:v>自編延伸</x:v>
      </x:c>
      <x:c r="J813" s="21"/>
      <x:c r="K813" s="22" t="n">
        <x:v>49</x:v>
      </x:c>
      <x:c r="L813" s="21" t="str">
        <x:v>H5668</x:v>
      </x:c>
      <x:c r="M813" s="21" t="str">
        <x:v>noun</x:v>
      </x:c>
      <x:c r="N813" s="21" t="str">
        <x:v>否</x:v>
      </x:c>
      <x:c r="O813" s="21" t="str"/>
      <x:c r="P813" s="21" t="str">
        <x:v>lemma_frequency_verified</x:v>
      </x:c>
      <x:c r="Q813" s="21" t="str">
        <x:v>rule_generated_exception_review</x:v>
      </x:c>
      <x:c r="R813" s="20" t="str">
        <x:v>https://github.com/openscriptures/morphhb</x:v>
      </x:c>
    </x:row>
    <x:row r="814" ht="28" customHeight="1">
      <x:c r="A814" s="21" t="n">
        <x:v>810</x:v>
      </x:c>
      <x:c r="B814" s="21" t="n">
        <x:f>ROUNDUP(A814/20,0)</x:f>
        <x:v>41</x:v>
      </x:c>
      <x:c r="C814" s="21" t="n">
        <x:f>MOD(A814-1,20)+1</x:f>
        <x:v>10</x:v>
      </x:c>
      <x:c r="D814" s="18" t="str">
        <x:v>פַּחַד</x:v>
      </x:c>
      <x:c r="E814" s="19" t="str">
        <x:v>paḥaḏ</x:v>
      </x:c>
      <x:c r="F814" s="16" t="str">
        <x:v>פחד</x:v>
      </x:c>
      <x:c r="G814" s="20" t="str">
        <x:v>a (sudden) alarm (properly, the object feared, by implication, the feeling)</x:v>
      </x:c>
      <x:c r="H814" s="20" t="str"/>
      <x:c r="I814" s="21" t="str">
        <x:v>自編延伸</x:v>
      </x:c>
      <x:c r="J814" s="21"/>
      <x:c r="K814" s="22" t="n">
        <x:v>49</x:v>
      </x:c>
      <x:c r="L814" s="21" t="str">
        <x:v>H6343</x:v>
      </x:c>
      <x:c r="M814" s="21" t="str">
        <x:v>noun</x:v>
      </x:c>
      <x:c r="N814" s="21" t="str">
        <x:v>否</x:v>
      </x:c>
      <x:c r="O814" s="21" t="str"/>
      <x:c r="P814" s="21" t="str">
        <x:v>lemma_frequency_verified</x:v>
      </x:c>
      <x:c r="Q814" s="21" t="str">
        <x:v>rule_generated_exception_review</x:v>
      </x:c>
      <x:c r="R814" s="20" t="str">
        <x:v>https://github.com/openscriptures/morphhb</x:v>
      </x:c>
    </x:row>
    <x:row r="815" ht="28" customHeight="1">
      <x:c r="A815" s="21" t="n">
        <x:v>811</x:v>
      </x:c>
      <x:c r="B815" s="21" t="n">
        <x:f>ROUNDUP(A815/20,0)</x:f>
        <x:v>41</x:v>
      </x:c>
      <x:c r="C815" s="21" t="n">
        <x:f>MOD(A815-1,20)+1</x:f>
        <x:v>11</x:v>
      </x:c>
      <x:c r="D815" s="18" t="str">
        <x:v>אֵפוֹד</x:v>
      </x:c>
      <x:c r="E815" s="19" t="str">
        <x:v>ʾēp̄ôḏ</x:v>
      </x:c>
      <x:c r="F815" s="16" t="str">
        <x:v>אפוד</x:v>
      </x:c>
      <x:c r="G815" s="20" t="str">
        <x:v>a girdle; specifically the ephod or highpriest's shoulder-piece; also generally, an image</x:v>
      </x:c>
      <x:c r="H815" s="20" t="str"/>
      <x:c r="I815" s="21" t="str">
        <x:v>自編延伸</x:v>
      </x:c>
      <x:c r="J815" s="21"/>
      <x:c r="K815" s="22" t="n">
        <x:v>49</x:v>
      </x:c>
      <x:c r="L815" s="21" t="str">
        <x:v>H646</x:v>
      </x:c>
      <x:c r="M815" s="21" t="str">
        <x:v>noun</x:v>
      </x:c>
      <x:c r="N815" s="21" t="str">
        <x:v>否</x:v>
      </x:c>
      <x:c r="O815" s="21" t="str"/>
      <x:c r="P815" s="21" t="str">
        <x:v>lemma_frequency_verified</x:v>
      </x:c>
      <x:c r="Q815" s="21" t="str">
        <x:v>rule_generated_exception_review</x:v>
      </x:c>
      <x:c r="R815" s="20" t="str">
        <x:v>https://github.com/openscriptures/morphhb</x:v>
      </x:c>
    </x:row>
    <x:row r="816" ht="28" customHeight="1">
      <x:c r="A816" s="21" t="n">
        <x:v>812</x:v>
      </x:c>
      <x:c r="B816" s="21" t="n">
        <x:f>ROUNDUP(A816/20,0)</x:f>
        <x:v>41</x:v>
      </x:c>
      <x:c r="C816" s="21" t="n">
        <x:f>MOD(A816-1,20)+1</x:f>
        <x:v>12</x:v>
      </x:c>
      <x:c r="D816" s="18" t="str">
        <x:v>נָגַף</x:v>
      </x:c>
      <x:c r="E816" s="19" t="str">
        <x:v>nāg̅ap̄</x:v>
      </x:c>
      <x:c r="F816" s="16" t="str">
        <x:v>נגף</x:v>
      </x:c>
      <x:c r="G816" s="20" t="str">
        <x:v>to push, gore, defeat, stub (the toe), inflict (a disease)</x:v>
      </x:c>
      <x:c r="H816" s="20" t="str"/>
      <x:c r="I816" s="21" t="str">
        <x:v>自編延伸</x:v>
      </x:c>
      <x:c r="J816" s="21"/>
      <x:c r="K816" s="22" t="n">
        <x:v>49</x:v>
      </x:c>
      <x:c r="L816" s="21" t="str">
        <x:v>H5062</x:v>
      </x:c>
      <x:c r="M816" s="21" t="str">
        <x:v>verb</x:v>
      </x:c>
      <x:c r="N816" s="21" t="str">
        <x:v>否</x:v>
      </x:c>
      <x:c r="O816" s="21" t="str"/>
      <x:c r="P816" s="21" t="str">
        <x:v>lemma_frequency_verified</x:v>
      </x:c>
      <x:c r="Q816" s="21" t="str">
        <x:v>rule_generated_exception_review</x:v>
      </x:c>
      <x:c r="R816" s="20" t="str">
        <x:v>https://github.com/openscriptures/morphhb</x:v>
      </x:c>
    </x:row>
    <x:row r="817" ht="28" customHeight="1">
      <x:c r="A817" s="21" t="n">
        <x:v>813</x:v>
      </x:c>
      <x:c r="B817" s="21" t="n">
        <x:f>ROUNDUP(A817/20,0)</x:f>
        <x:v>41</x:v>
      </x:c>
      <x:c r="C817" s="21" t="n">
        <x:f>MOD(A817-1,20)+1</x:f>
        <x:v>13</x:v>
      </x:c>
      <x:c r="D817" s="18" t="str">
        <x:v>מִשְׁקָל</x:v>
      </x:c>
      <x:c r="E817" s="19" t="str">
        <x:v>mišqāl</x:v>
      </x:c>
      <x:c r="F817" s="16" t="str">
        <x:v>משקל</x:v>
      </x:c>
      <x:c r="G817" s="20" t="str">
        <x:v>weight (numerically estimated); hence, weighing (the act)</x:v>
      </x:c>
      <x:c r="H817" s="20" t="str"/>
      <x:c r="I817" s="21" t="str">
        <x:v>自編延伸</x:v>
      </x:c>
      <x:c r="J817" s="21"/>
      <x:c r="K817" s="22" t="n">
        <x:v>49</x:v>
      </x:c>
      <x:c r="L817" s="21" t="str">
        <x:v>H4948</x:v>
      </x:c>
      <x:c r="M817" s="21" t="str">
        <x:v>noun</x:v>
      </x:c>
      <x:c r="N817" s="21" t="str">
        <x:v>否</x:v>
      </x:c>
      <x:c r="O817" s="21" t="str"/>
      <x:c r="P817" s="21" t="str">
        <x:v>lemma_frequency_verified</x:v>
      </x:c>
      <x:c r="Q817" s="21" t="str">
        <x:v>rule_generated_exception_review</x:v>
      </x:c>
      <x:c r="R817" s="20" t="str">
        <x:v>https://github.com/openscriptures/morphhb</x:v>
      </x:c>
    </x:row>
    <x:row r="818" ht="28" customHeight="1">
      <x:c r="A818" s="21" t="n">
        <x:v>814</x:v>
      </x:c>
      <x:c r="B818" s="21" t="n">
        <x:f>ROUNDUP(A818/20,0)</x:f>
        <x:v>41</x:v>
      </x:c>
      <x:c r="C818" s="21" t="n">
        <x:f>MOD(A818-1,20)+1</x:f>
        <x:v>14</x:v>
      </x:c>
      <x:c r="D818" s="18" t="str">
        <x:v>דֶּבֶר</x:v>
      </x:c>
      <x:c r="E818" s="19" t="str">
        <x:v>deḇer</x:v>
      </x:c>
      <x:c r="F818" s="16" t="str">
        <x:v>דבר</x:v>
      </x:c>
      <x:c r="G818" s="20" t="str">
        <x:v>a pestilence</x:v>
      </x:c>
      <x:c r="H818" s="20" t="str"/>
      <x:c r="I818" s="21" t="str">
        <x:v>自編延伸</x:v>
      </x:c>
      <x:c r="J818" s="21"/>
      <x:c r="K818" s="22" t="n">
        <x:v>49</x:v>
      </x:c>
      <x:c r="L818" s="21" t="str">
        <x:v>H1698</x:v>
      </x:c>
      <x:c r="M818" s="21" t="str">
        <x:v>noun</x:v>
      </x:c>
      <x:c r="N818" s="21" t="str">
        <x:v>否</x:v>
      </x:c>
      <x:c r="O818" s="21" t="str"/>
      <x:c r="P818" s="21" t="str">
        <x:v>lemma_frequency_verified</x:v>
      </x:c>
      <x:c r="Q818" s="21" t="str">
        <x:v>rule_generated_exception_review</x:v>
      </x:c>
      <x:c r="R818" s="20" t="str">
        <x:v>https://github.com/openscriptures/morphhb</x:v>
      </x:c>
    </x:row>
    <x:row r="819" ht="28" customHeight="1">
      <x:c r="A819" s="21" t="n">
        <x:v>815</x:v>
      </x:c>
      <x:c r="B819" s="21" t="n">
        <x:f>ROUNDUP(A819/20,0)</x:f>
        <x:v>41</x:v>
      </x:c>
      <x:c r="C819" s="21" t="n">
        <x:f>MOD(A819-1,20)+1</x:f>
        <x:v>15</x:v>
      </x:c>
      <x:c r="D819" s="18" t="str">
        <x:v>מִגְדָּל</x:v>
      </x:c>
      <x:c r="E819" s="19" t="str">
        <x:v>mig̅dāl</x:v>
      </x:c>
      <x:c r="F819" s="16" t="str">
        <x:v>מגדל</x:v>
      </x:c>
      <x:c r="G819" s="20" t="str">
        <x:v>a tower (from its size or height); by analogy, a rostrum; figuratively, a (pyramidal) bed of flowers</x:v>
      </x:c>
      <x:c r="H819" s="20" t="str"/>
      <x:c r="I819" s="21" t="str">
        <x:v>自編延伸</x:v>
      </x:c>
      <x:c r="J819" s="21"/>
      <x:c r="K819" s="22" t="n">
        <x:v>49</x:v>
      </x:c>
      <x:c r="L819" s="21" t="str">
        <x:v>H4026</x:v>
      </x:c>
      <x:c r="M819" s="21" t="str">
        <x:v>noun</x:v>
      </x:c>
      <x:c r="N819" s="21" t="str">
        <x:v>否</x:v>
      </x:c>
      <x:c r="O819" s="21" t="str"/>
      <x:c r="P819" s="21" t="str">
        <x:v>lemma_frequency_verified</x:v>
      </x:c>
      <x:c r="Q819" s="21" t="str">
        <x:v>rule_generated_exception_review</x:v>
      </x:c>
      <x:c r="R819" s="20" t="str">
        <x:v>https://github.com/openscriptures/morphhb</x:v>
      </x:c>
    </x:row>
    <x:row r="820" ht="28" customHeight="1">
      <x:c r="A820" s="21" t="n">
        <x:v>816</x:v>
      </x:c>
      <x:c r="B820" s="21" t="n">
        <x:f>ROUNDUP(A820/20,0)</x:f>
        <x:v>41</x:v>
      </x:c>
      <x:c r="C820" s="21" t="n">
        <x:f>MOD(A820-1,20)+1</x:f>
        <x:v>16</x:v>
      </x:c>
      <x:c r="D820" s="18" t="str">
        <x:v>צֵל</x:v>
      </x:c>
      <x:c r="E820" s="19" t="str">
        <x:v>ṣēl</x:v>
      </x:c>
      <x:c r="F820" s="16" t="str">
        <x:v>צל</x:v>
      </x:c>
      <x:c r="G820" s="20" t="str">
        <x:v>shade, whether literal or figurative</x:v>
      </x:c>
      <x:c r="H820" s="20" t="str"/>
      <x:c r="I820" s="21" t="str">
        <x:v>自編延伸</x:v>
      </x:c>
      <x:c r="J820" s="21"/>
      <x:c r="K820" s="22" t="n">
        <x:v>49</x:v>
      </x:c>
      <x:c r="L820" s="21" t="str">
        <x:v>H6738</x:v>
      </x:c>
      <x:c r="M820" s="21" t="str">
        <x:v>noun</x:v>
      </x:c>
      <x:c r="N820" s="21" t="str">
        <x:v>否</x:v>
      </x:c>
      <x:c r="O820" s="21" t="str"/>
      <x:c r="P820" s="21" t="str">
        <x:v>lemma_frequency_verified</x:v>
      </x:c>
      <x:c r="Q820" s="21" t="str">
        <x:v>rule_generated_exception_review</x:v>
      </x:c>
      <x:c r="R820" s="20" t="str">
        <x:v>https://github.com/openscriptures/morphhb</x:v>
      </x:c>
    </x:row>
    <x:row r="821" ht="28" customHeight="1">
      <x:c r="A821" s="21" t="n">
        <x:v>817</x:v>
      </x:c>
      <x:c r="B821" s="21" t="n">
        <x:f>ROUNDUP(A821/20,0)</x:f>
        <x:v>41</x:v>
      </x:c>
      <x:c r="C821" s="21" t="n">
        <x:f>MOD(A821-1,20)+1</x:f>
        <x:v>17</x:v>
      </x:c>
      <x:c r="D821" s="18" t="str">
        <x:v>בָּגַד</x:v>
      </x:c>
      <x:c r="E821" s="19" t="str">
        <x:v>bāg̅aḏ</x:v>
      </x:c>
      <x:c r="F821" s="16" t="str">
        <x:v>בגד</x:v>
      </x:c>
      <x:c r="G821" s="20" t="str">
        <x:v>to cover (with a garment); figuratively, to act covertly; by implication, to pillage</x:v>
      </x:c>
      <x:c r="H821" s="20" t="str"/>
      <x:c r="I821" s="21" t="str">
        <x:v>自編延伸</x:v>
      </x:c>
      <x:c r="J821" s="21"/>
      <x:c r="K821" s="22" t="n">
        <x:v>49</x:v>
      </x:c>
      <x:c r="L821" s="21" t="str">
        <x:v>H898</x:v>
      </x:c>
      <x:c r="M821" s="21" t="str">
        <x:v>verb</x:v>
      </x:c>
      <x:c r="N821" s="21" t="str">
        <x:v>否</x:v>
      </x:c>
      <x:c r="O821" s="21" t="str"/>
      <x:c r="P821" s="21" t="str">
        <x:v>lemma_frequency_verified</x:v>
      </x:c>
      <x:c r="Q821" s="21" t="str">
        <x:v>rule_generated_exception_review</x:v>
      </x:c>
      <x:c r="R821" s="20" t="str">
        <x:v>https://github.com/openscriptures/morphhb</x:v>
      </x:c>
    </x:row>
    <x:row r="822" ht="28" customHeight="1">
      <x:c r="A822" s="21" t="n">
        <x:v>818</x:v>
      </x:c>
      <x:c r="B822" s="21" t="n">
        <x:f>ROUNDUP(A822/20,0)</x:f>
        <x:v>41</x:v>
      </x:c>
      <x:c r="C822" s="21" t="n">
        <x:f>MOD(A822-1,20)+1</x:f>
        <x:v>18</x:v>
      </x:c>
      <x:c r="D822" s="18" t="str">
        <x:v>תְּכֵלֶת</x:v>
      </x:c>
      <x:c r="E822" s="19" t="str">
        <x:v>təḵēleṯ</x:v>
      </x:c>
      <x:c r="F822" s="16" t="str">
        <x:v>תכלת</x:v>
      </x:c>
      <x:c r="G822" s="20" t="str">
        <x:v>the cerulean mussel, i.e. the color (violet) obtained therefrom or stuff dyed therewith</x:v>
      </x:c>
      <x:c r="H822" s="20" t="str"/>
      <x:c r="I822" s="21" t="str">
        <x:v>自編延伸</x:v>
      </x:c>
      <x:c r="J822" s="21"/>
      <x:c r="K822" s="22" t="n">
        <x:v>49</x:v>
      </x:c>
      <x:c r="L822" s="21" t="str">
        <x:v>H8504</x:v>
      </x:c>
      <x:c r="M822" s="21" t="str">
        <x:v>noun</x:v>
      </x:c>
      <x:c r="N822" s="21" t="str">
        <x:v>否</x:v>
      </x:c>
      <x:c r="O822" s="21" t="str"/>
      <x:c r="P822" s="21" t="str">
        <x:v>lemma_frequency_verified</x:v>
      </x:c>
      <x:c r="Q822" s="21" t="str">
        <x:v>rule_generated_exception_review</x:v>
      </x:c>
      <x:c r="R822" s="20" t="str">
        <x:v>https://github.com/openscriptures/morphhb</x:v>
      </x:c>
    </x:row>
    <x:row r="823" ht="28" customHeight="1">
      <x:c r="A823" s="21" t="n">
        <x:v>819</x:v>
      </x:c>
      <x:c r="B823" s="21" t="n">
        <x:f>ROUNDUP(A823/20,0)</x:f>
        <x:v>41</x:v>
      </x:c>
      <x:c r="C823" s="21" t="n">
        <x:f>MOD(A823-1,20)+1</x:f>
        <x:v>19</x:v>
      </x:c>
      <x:c r="D823" s="18" t="str">
        <x:v>פֶּסַח</x:v>
      </x:c>
      <x:c r="E823" s="19" t="str">
        <x:v>pesaḥ</x:v>
      </x:c>
      <x:c r="F823" s="16" t="str">
        <x:v>פסח</x:v>
      </x:c>
      <x:c r="G823" s="20" t="str">
        <x:v>a pretermission, i.e. exemption; used only techically of the Jewish Passover (the festival or the victim)</x:v>
      </x:c>
      <x:c r="H823" s="20" t="str"/>
      <x:c r="I823" s="21" t="str">
        <x:v>自編延伸</x:v>
      </x:c>
      <x:c r="J823" s="21"/>
      <x:c r="K823" s="22" t="n">
        <x:v>49</x:v>
      </x:c>
      <x:c r="L823" s="21" t="str">
        <x:v>H6453</x:v>
      </x:c>
      <x:c r="M823" s="21" t="str">
        <x:v>noun</x:v>
      </x:c>
      <x:c r="N823" s="21" t="str">
        <x:v>否</x:v>
      </x:c>
      <x:c r="O823" s="21" t="str"/>
      <x:c r="P823" s="21" t="str">
        <x:v>lemma_frequency_verified</x:v>
      </x:c>
      <x:c r="Q823" s="21" t="str">
        <x:v>rule_generated_exception_review</x:v>
      </x:c>
      <x:c r="R823" s="20" t="str">
        <x:v>https://github.com/openscriptures/morphhb</x:v>
      </x:c>
    </x:row>
    <x:row r="824" ht="28" customHeight="1">
      <x:c r="A824" s="21" t="n">
        <x:v>820</x:v>
      </x:c>
      <x:c r="B824" s="21" t="n">
        <x:f>ROUNDUP(A824/20,0)</x:f>
        <x:v>41</x:v>
      </x:c>
      <x:c r="C824" s="21" t="n">
        <x:f>MOD(A824-1,20)+1</x:f>
        <x:v>20</x:v>
      </x:c>
      <x:c r="D824" s="18" t="str">
        <x:v>גָּאוֹן</x:v>
      </x:c>
      <x:c r="E824" s="19" t="str">
        <x:v>gāʾôn</x:v>
      </x:c>
      <x:c r="F824" s="16" t="str">
        <x:v>גאון</x:v>
      </x:c>
      <x:c r="G824" s="20" t="str">
        <x:v>{arrogance or majesty; by implication, (concretely) ornament}</x:v>
      </x:c>
      <x:c r="H824" s="20" t="str"/>
      <x:c r="I824" s="21" t="str">
        <x:v>自編延伸</x:v>
      </x:c>
      <x:c r="J824" s="21"/>
      <x:c r="K824" s="22" t="n">
        <x:v>49</x:v>
      </x:c>
      <x:c r="L824" s="21" t="str">
        <x:v>H1347</x:v>
      </x:c>
      <x:c r="M824" s="21" t="str">
        <x:v>noun</x:v>
      </x:c>
      <x:c r="N824" s="21" t="str">
        <x:v>否</x:v>
      </x:c>
      <x:c r="O824" s="21" t="str"/>
      <x:c r="P824" s="21" t="str">
        <x:v>lemma_frequency_verified</x:v>
      </x:c>
      <x:c r="Q824" s="21" t="str">
        <x:v>rule_generated_exception_review</x:v>
      </x:c>
      <x:c r="R824" s="20" t="str">
        <x:v>https://github.com/openscriptures/morphhb</x:v>
      </x:c>
    </x:row>
    <x:row r="825" ht="28" customHeight="1">
      <x:c r="A825" s="21" t="n">
        <x:v>821</x:v>
      </x:c>
      <x:c r="B825" s="21" t="n">
        <x:f>ROUNDUP(A825/20,0)</x:f>
        <x:v>42</x:v>
      </x:c>
      <x:c r="C825" s="21" t="n">
        <x:f>MOD(A825-1,20)+1</x:f>
        <x:v>1</x:v>
      </x:c>
      <x:c r="D825" s="18" t="str">
        <x:v>אֵמֶר</x:v>
      </x:c>
      <x:c r="E825" s="19" t="str">
        <x:v>ʾēmer</x:v>
      </x:c>
      <x:c r="F825" s="16" t="str">
        <x:v>אמר</x:v>
      </x:c>
      <x:c r="G825" s="20" t="str">
        <x:v>something said</x:v>
      </x:c>
      <x:c r="H825" s="20" t="str"/>
      <x:c r="I825" s="21" t="str">
        <x:v>自編延伸</x:v>
      </x:c>
      <x:c r="J825" s="21"/>
      <x:c r="K825" s="22" t="n">
        <x:v>49</x:v>
      </x:c>
      <x:c r="L825" s="21" t="str">
        <x:v>H561</x:v>
      </x:c>
      <x:c r="M825" s="21" t="str">
        <x:v>noun</x:v>
      </x:c>
      <x:c r="N825" s="21" t="str">
        <x:v>否</x:v>
      </x:c>
      <x:c r="O825" s="21" t="str"/>
      <x:c r="P825" s="21" t="str">
        <x:v>lemma_frequency_verified</x:v>
      </x:c>
      <x:c r="Q825" s="21" t="str">
        <x:v>rule_generated_exception_review</x:v>
      </x:c>
      <x:c r="R825" s="20" t="str">
        <x:v>https://github.com/openscriptures/morphhb</x:v>
      </x:c>
    </x:row>
    <x:row r="826" ht="28" customHeight="1">
      <x:c r="A826" s="21" t="n">
        <x:v>822</x:v>
      </x:c>
      <x:c r="B826" s="21" t="n">
        <x:f>ROUNDUP(A826/20,0)</x:f>
        <x:v>42</x:v>
      </x:c>
      <x:c r="C826" s="21" t="n">
        <x:f>MOD(A826-1,20)+1</x:f>
        <x:v>2</x:v>
      </x:c>
      <x:c r="D826" s="18" t="str">
        <x:v>קָוָה</x:v>
      </x:c>
      <x:c r="E826" s="19" t="str">
        <x:v>qāwâ</x:v>
      </x:c>
      <x:c r="F826" s="16" t="str">
        <x:v>קוה</x:v>
      </x:c>
      <x:c r="G826" s="20" t="str">
        <x:v>to bind together (perhaps by twisting), i.e. collect; (figuratively) to expect</x:v>
      </x:c>
      <x:c r="H826" s="20" t="str"/>
      <x:c r="I826" s="21" t="str">
        <x:v>自編延伸</x:v>
      </x:c>
      <x:c r="J826" s="21"/>
      <x:c r="K826" s="22" t="n">
        <x:v>49</x:v>
      </x:c>
      <x:c r="L826" s="21" t="str">
        <x:v>H6960</x:v>
      </x:c>
      <x:c r="M826" s="21" t="str">
        <x:v>verb</x:v>
      </x:c>
      <x:c r="N826" s="21" t="str">
        <x:v>否</x:v>
      </x:c>
      <x:c r="O826" s="21" t="str"/>
      <x:c r="P826" s="21" t="str">
        <x:v>lemma_frequency_verified</x:v>
      </x:c>
      <x:c r="Q826" s="21" t="str">
        <x:v>rule_generated_exception_review</x:v>
      </x:c>
      <x:c r="R826" s="20" t="str">
        <x:v>https://github.com/openscriptures/morphhb</x:v>
      </x:c>
    </x:row>
    <x:row r="827" ht="28" customHeight="1">
      <x:c r="A827" s="21" t="n">
        <x:v>823</x:v>
      </x:c>
      <x:c r="B827" s="21" t="n">
        <x:f>ROUNDUP(A827/20,0)</x:f>
        <x:v>42</x:v>
      </x:c>
      <x:c r="C827" s="21" t="n">
        <x:f>MOD(A827-1,20)+1</x:f>
        <x:v>3</x:v>
      </x:c>
      <x:c r="D827" s="18" t="str">
        <x:v>יִשְׁמָעֵאל</x:v>
      </x:c>
      <x:c r="E827" s="19" t="str">
        <x:v>yišmāʿēʾl</x:v>
      </x:c>
      <x:c r="F827" s="16" t="str">
        <x:v>ישמעאל</x:v>
      </x:c>
      <x:c r="G827" s="20" t="str">
        <x:v>Jishmael, the name of Abraham's oldest son, and of five Israelites</x:v>
      </x:c>
      <x:c r="H827" s="20" t="str"/>
      <x:c r="I827" s="21" t="str">
        <x:v>自編延伸</x:v>
      </x:c>
      <x:c r="J827" s="21"/>
      <x:c r="K827" s="22" t="n">
        <x:v>48</x:v>
      </x:c>
      <x:c r="L827" s="21" t="str">
        <x:v>H3458</x:v>
      </x:c>
      <x:c r="M827" s="21" t="str">
        <x:v>proper_name</x:v>
      </x:c>
      <x:c r="N827" s="21" t="str">
        <x:v>是</x:v>
      </x:c>
      <x:c r="O827" s="21" t="str">
        <x:v>人名</x:v>
      </x:c>
      <x:c r="P827" s="21" t="str">
        <x:v>lemma_frequency_verified</x:v>
      </x:c>
      <x:c r="Q827" s="21" t="str">
        <x:v>rule_generated_exception_review</x:v>
      </x:c>
      <x:c r="R827" s="20" t="str">
        <x:v>https://github.com/openscriptures/morphhb</x:v>
      </x:c>
    </x:row>
    <x:row r="828" ht="28" customHeight="1">
      <x:c r="A828" s="21" t="n">
        <x:v>824</x:v>
      </x:c>
      <x:c r="B828" s="21" t="n">
        <x:f>ROUNDUP(A828/20,0)</x:f>
        <x:v>42</x:v>
      </x:c>
      <x:c r="C828" s="21" t="n">
        <x:f>MOD(A828-1,20)+1</x:f>
        <x:v>4</x:v>
      </x:c>
      <x:c r="D828" s="18" t="str">
        <x:v>עֲזַרְיָה</x:v>
      </x:c>
      <x:c r="E828" s="19" t="str">
        <x:v>ʿăzaryâ</x:v>
      </x:c>
      <x:c r="F828" s="16" t="str">
        <x:v>עזריה</x:v>
      </x:c>
      <x:c r="G828" s="20" t="str">
        <x:v>Azarjah, the name of nineteen Israelites</x:v>
      </x:c>
      <x:c r="H828" s="20" t="str"/>
      <x:c r="I828" s="21" t="str">
        <x:v>自編延伸</x:v>
      </x:c>
      <x:c r="J828" s="21"/>
      <x:c r="K828" s="22" t="n">
        <x:v>48</x:v>
      </x:c>
      <x:c r="L828" s="21" t="str">
        <x:v>H5838</x:v>
      </x:c>
      <x:c r="M828" s="21" t="str">
        <x:v>proper_name</x:v>
      </x:c>
      <x:c r="N828" s="21" t="str">
        <x:v>是</x:v>
      </x:c>
      <x:c r="O828" s="21" t="str">
        <x:v>人名</x:v>
      </x:c>
      <x:c r="P828" s="21" t="str">
        <x:v>lemma_frequency_verified</x:v>
      </x:c>
      <x:c r="Q828" s="21" t="str">
        <x:v>rule_generated_exception_review</x:v>
      </x:c>
      <x:c r="R828" s="20" t="str">
        <x:v>https://github.com/openscriptures/morphhb</x:v>
      </x:c>
    </x:row>
    <x:row r="829" ht="28" customHeight="1">
      <x:c r="A829" s="21" t="n">
        <x:v>825</x:v>
      </x:c>
      <x:c r="B829" s="21" t="n">
        <x:f>ROUNDUP(A829/20,0)</x:f>
        <x:v>42</x:v>
      </x:c>
      <x:c r="C829" s="21" t="n">
        <x:f>MOD(A829-1,20)+1</x:f>
        <x:v>5</x:v>
      </x:c>
      <x:c r="D829" s="18" t="str">
        <x:v>לִשְׁכָּה</x:v>
      </x:c>
      <x:c r="E829" s="19" t="str">
        <x:v>liškâ</x:v>
      </x:c>
      <x:c r="F829" s="16" t="str">
        <x:v>לשכה</x:v>
      </x:c>
      <x:c r="G829" s="20" t="str">
        <x:v>a room in a building (whether for storage, eating, or lodging)</x:v>
      </x:c>
      <x:c r="H829" s="20" t="str"/>
      <x:c r="I829" s="21" t="str">
        <x:v>自編延伸</x:v>
      </x:c>
      <x:c r="J829" s="21"/>
      <x:c r="K829" s="22" t="n">
        <x:v>48</x:v>
      </x:c>
      <x:c r="L829" s="21" t="str">
        <x:v>H3957</x:v>
      </x:c>
      <x:c r="M829" s="21" t="str">
        <x:v>noun</x:v>
      </x:c>
      <x:c r="N829" s="21" t="str">
        <x:v>否</x:v>
      </x:c>
      <x:c r="O829" s="21" t="str"/>
      <x:c r="P829" s="21" t="str">
        <x:v>lemma_frequency_verified</x:v>
      </x:c>
      <x:c r="Q829" s="21" t="str">
        <x:v>rule_generated_exception_review</x:v>
      </x:c>
      <x:c r="R829" s="20" t="str">
        <x:v>https://github.com/openscriptures/morphhb</x:v>
      </x:c>
    </x:row>
    <x:row r="830" ht="28" customHeight="1">
      <x:c r="A830" s="21" t="n">
        <x:v>826</x:v>
      </x:c>
      <x:c r="B830" s="21" t="n">
        <x:f>ROUNDUP(A830/20,0)</x:f>
        <x:v>42</x:v>
      </x:c>
      <x:c r="C830" s="21" t="n">
        <x:f>MOD(A830-1,20)+1</x:f>
        <x:v>6</x:v>
      </x:c>
      <x:c r="D830" s="18" t="str">
        <x:v>חֲנִית</x:v>
      </x:c>
      <x:c r="E830" s="19" t="str">
        <x:v>ḥănîṯ</x:v>
      </x:c>
      <x:c r="F830" s="16" t="str">
        <x:v>חנית</x:v>
      </x:c>
      <x:c r="G830" s="20" t="str">
        <x:v>a lance (for thrusting, like pitching a tent)</x:v>
      </x:c>
      <x:c r="H830" s="20" t="str"/>
      <x:c r="I830" s="21" t="str">
        <x:v>自編延伸</x:v>
      </x:c>
      <x:c r="J830" s="21"/>
      <x:c r="K830" s="22" t="n">
        <x:v>48</x:v>
      </x:c>
      <x:c r="L830" s="21" t="str">
        <x:v>H2595</x:v>
      </x:c>
      <x:c r="M830" s="21" t="str">
        <x:v>noun</x:v>
      </x:c>
      <x:c r="N830" s="21" t="str">
        <x:v>否</x:v>
      </x:c>
      <x:c r="O830" s="21" t="str"/>
      <x:c r="P830" s="21" t="str">
        <x:v>lemma_frequency_verified</x:v>
      </x:c>
      <x:c r="Q830" s="21" t="str">
        <x:v>rule_generated_exception_review</x:v>
      </x:c>
      <x:c r="R830" s="20" t="str">
        <x:v>https://github.com/openscriptures/morphhb</x:v>
      </x:c>
    </x:row>
    <x:row r="831" ht="28" customHeight="1">
      <x:c r="A831" s="21" t="n">
        <x:v>827</x:v>
      </x:c>
      <x:c r="B831" s="21" t="n">
        <x:f>ROUNDUP(A831/20,0)</x:f>
        <x:v>42</x:v>
      </x:c>
      <x:c r="C831" s="21" t="n">
        <x:f>MOD(A831-1,20)+1</x:f>
        <x:v>7</x:v>
      </x:c>
      <x:c r="D831" s="18" t="str">
        <x:v>יָצַב</x:v>
      </x:c>
      <x:c r="E831" s="19" t="str">
        <x:v>yāṣaḇ</x:v>
      </x:c>
      <x:c r="F831" s="16" t="str">
        <x:v>יצב</x:v>
      </x:c>
      <x:c r="G831" s="20" t="str">
        <x:v>to place (any thing so as to stay); reflexively, to station, offer, continue</x:v>
      </x:c>
      <x:c r="H831" s="20" t="str"/>
      <x:c r="I831" s="21" t="str">
        <x:v>自編延伸</x:v>
      </x:c>
      <x:c r="J831" s="21"/>
      <x:c r="K831" s="22" t="n">
        <x:v>48</x:v>
      </x:c>
      <x:c r="L831" s="21" t="str">
        <x:v>H3320</x:v>
      </x:c>
      <x:c r="M831" s="21" t="str">
        <x:v>verb</x:v>
      </x:c>
      <x:c r="N831" s="21" t="str">
        <x:v>否</x:v>
      </x:c>
      <x:c r="O831" s="21" t="str"/>
      <x:c r="P831" s="21" t="str">
        <x:v>lemma_frequency_verified</x:v>
      </x:c>
      <x:c r="Q831" s="21" t="str">
        <x:v>rule_generated_exception_review</x:v>
      </x:c>
      <x:c r="R831" s="20" t="str">
        <x:v>https://github.com/openscriptures/morphhb</x:v>
      </x:c>
    </x:row>
    <x:row r="832" ht="28" customHeight="1">
      <x:c r="A832" s="21" t="n">
        <x:v>828</x:v>
      </x:c>
      <x:c r="B832" s="21" t="n">
        <x:f>ROUNDUP(A832/20,0)</x:f>
        <x:v>42</x:v>
      </x:c>
      <x:c r="C832" s="21" t="n">
        <x:f>MOD(A832-1,20)+1</x:f>
        <x:v>8</x:v>
      </x:c>
      <x:c r="D832" s="18" t="str">
        <x:v>חִתִּי</x:v>
      </x:c>
      <x:c r="E832" s="19" t="str">
        <x:v>ḥittî</x:v>
      </x:c>
      <x:c r="F832" s="16" t="str">
        <x:v>חתי</x:v>
      </x:c>
      <x:c r="G832" s="20" t="str">
        <x:v>a Chittite, or descendant of Cheth</x:v>
      </x:c>
      <x:c r="H832" s="20" t="str"/>
      <x:c r="I832" s="21" t="str">
        <x:v>自編延伸</x:v>
      </x:c>
      <x:c r="J832" s="21"/>
      <x:c r="K832" s="22" t="n">
        <x:v>48</x:v>
      </x:c>
      <x:c r="L832" s="21" t="str">
        <x:v>H2850</x:v>
      </x:c>
      <x:c r="M832" s="21" t="str">
        <x:v>noun</x:v>
      </x:c>
      <x:c r="N832" s="21" t="str">
        <x:v>是</x:v>
      </x:c>
      <x:c r="O832" s="21" t="str">
        <x:v>民族／國族</x:v>
      </x:c>
      <x:c r="P832" s="21" t="str">
        <x:v>lemma_frequency_verified</x:v>
      </x:c>
      <x:c r="Q832" s="21" t="str">
        <x:v>rule_generated_exception_review</x:v>
      </x:c>
      <x:c r="R832" s="20" t="str">
        <x:v>https://github.com/openscriptures/morphhb</x:v>
      </x:c>
    </x:row>
    <x:row r="833" ht="28" customHeight="1">
      <x:c r="A833" s="21" t="n">
        <x:v>829</x:v>
      </x:c>
      <x:c r="B833" s="21" t="n">
        <x:f>ROUNDUP(A833/20,0)</x:f>
        <x:v>42</x:v>
      </x:c>
      <x:c r="C833" s="21" t="n">
        <x:f>MOD(A833-1,20)+1</x:f>
        <x:v>9</x:v>
      </x:c>
      <x:c r="D833" s="18" t="str">
        <x:v>שַׂק</x:v>
      </x:c>
      <x:c r="E833" s="19" t="str">
        <x:v>śaq</x:v>
      </x:c>
      <x:c r="F833" s="16" t="str">
        <x:v>שק</x:v>
      </x:c>
      <x:c r="G833" s="20" t="str">
        <x:v>properly, a mesh (as allowing a liquid to run through), i.e. coarse loose cloth or sacking (used in mourning and for bagging); hence, a bag (for grain, etc.)</x:v>
      </x:c>
      <x:c r="H833" s="20" t="str"/>
      <x:c r="I833" s="21" t="str">
        <x:v>自編延伸</x:v>
      </x:c>
      <x:c r="J833" s="21"/>
      <x:c r="K833" s="22" t="n">
        <x:v>48</x:v>
      </x:c>
      <x:c r="L833" s="21" t="str">
        <x:v>H8242</x:v>
      </x:c>
      <x:c r="M833" s="21" t="str">
        <x:v>noun</x:v>
      </x:c>
      <x:c r="N833" s="21" t="str">
        <x:v>否</x:v>
      </x:c>
      <x:c r="O833" s="21" t="str"/>
      <x:c r="P833" s="21" t="str">
        <x:v>lemma_frequency_verified</x:v>
      </x:c>
      <x:c r="Q833" s="21" t="str">
        <x:v>rule_generated_exception_review</x:v>
      </x:c>
      <x:c r="R833" s="20" t="str">
        <x:v>https://github.com/openscriptures/morphhb</x:v>
      </x:c>
    </x:row>
    <x:row r="834" ht="28" customHeight="1">
      <x:c r="A834" s="21" t="n">
        <x:v>830</x:v>
      </x:c>
      <x:c r="B834" s="21" t="n">
        <x:f>ROUNDUP(A834/20,0)</x:f>
        <x:v>42</x:v>
      </x:c>
      <x:c r="C834" s="21" t="n">
        <x:f>MOD(A834-1,20)+1</x:f>
        <x:v>10</x:v>
      </x:c>
      <x:c r="D834" s="18" t="str">
        <x:v>נִיר</x:v>
      </x:c>
      <x:c r="E834" s="19" t="str">
        <x:v>nîr</x:v>
      </x:c>
      <x:c r="F834" s="16" t="str">
        <x:v>ניר</x:v>
      </x:c>
      <x:c r="G834" s="20" t="str">
        <x:v>a lamp (i.e. the burner) or light (literally or figuratively)</x:v>
      </x:c>
      <x:c r="H834" s="20" t="str"/>
      <x:c r="I834" s="21" t="str">
        <x:v>自編延伸</x:v>
      </x:c>
      <x:c r="J834" s="21"/>
      <x:c r="K834" s="22" t="n">
        <x:v>48</x:v>
      </x:c>
      <x:c r="L834" s="21" t="str">
        <x:v>H5216</x:v>
      </x:c>
      <x:c r="M834" s="21" t="str">
        <x:v>noun</x:v>
      </x:c>
      <x:c r="N834" s="21" t="str">
        <x:v>否</x:v>
      </x:c>
      <x:c r="O834" s="21" t="str"/>
      <x:c r="P834" s="21" t="str">
        <x:v>lemma_frequency_verified</x:v>
      </x:c>
      <x:c r="Q834" s="21" t="str">
        <x:v>rule_generated_exception_review</x:v>
      </x:c>
      <x:c r="R834" s="20" t="str">
        <x:v>https://github.com/openscriptures/morphhb</x:v>
      </x:c>
    </x:row>
    <x:row r="835" ht="28" customHeight="1">
      <x:c r="A835" s="21" t="n">
        <x:v>831</x:v>
      </x:c>
      <x:c r="B835" s="21" t="n">
        <x:f>ROUNDUP(A835/20,0)</x:f>
        <x:v>42</x:v>
      </x:c>
      <x:c r="C835" s="21" t="n">
        <x:f>MOD(A835-1,20)+1</x:f>
        <x:v>11</x:v>
      </x:c>
      <x:c r="D835" s="18" t="str">
        <x:v>סָלַח</x:v>
      </x:c>
      <x:c r="E835" s="19" t="str">
        <x:v>sālaḥ</x:v>
      </x:c>
      <x:c r="F835" s="16" t="str">
        <x:v>סלח</x:v>
      </x:c>
      <x:c r="G835" s="20" t="str">
        <x:v>to forgive</x:v>
      </x:c>
      <x:c r="H835" s="20" t="str"/>
      <x:c r="I835" s="21" t="str">
        <x:v>自編延伸</x:v>
      </x:c>
      <x:c r="J835" s="21"/>
      <x:c r="K835" s="22" t="n">
        <x:v>48</x:v>
      </x:c>
      <x:c r="L835" s="21" t="str">
        <x:v>H5545</x:v>
      </x:c>
      <x:c r="M835" s="21" t="str">
        <x:v>verb</x:v>
      </x:c>
      <x:c r="N835" s="21" t="str">
        <x:v>否</x:v>
      </x:c>
      <x:c r="O835" s="21" t="str"/>
      <x:c r="P835" s="21" t="str">
        <x:v>lemma_frequency_verified</x:v>
      </x:c>
      <x:c r="Q835" s="21" t="str">
        <x:v>rule_generated_exception_review</x:v>
      </x:c>
      <x:c r="R835" s="20" t="str">
        <x:v>https://github.com/openscriptures/morphhb</x:v>
      </x:c>
    </x:row>
    <x:row r="836" ht="28" customHeight="1">
      <x:c r="A836" s="21" t="n">
        <x:v>832</x:v>
      </x:c>
      <x:c r="B836" s="21" t="n">
        <x:f>ROUNDUP(A836/20,0)</x:f>
        <x:v>42</x:v>
      </x:c>
      <x:c r="C836" s="21" t="n">
        <x:f>MOD(A836-1,20)+1</x:f>
        <x:v>12</x:v>
      </x:c>
      <x:c r="D836" s="18" t="str">
        <x:v>נְבֵלָה</x:v>
      </x:c>
      <x:c r="E836" s="19" t="str">
        <x:v>nəḇēlâ</x:v>
      </x:c>
      <x:c r="F836" s="16" t="str">
        <x:v>נבלה</x:v>
      </x:c>
      <x:c r="G836" s="20" t="str">
        <x:v>a flabby thing, i.e. a carcase or carrion (human or bestial, often collectively); figuratively, an idol</x:v>
      </x:c>
      <x:c r="H836" s="20" t="str"/>
      <x:c r="I836" s="21" t="str">
        <x:v>自編延伸</x:v>
      </x:c>
      <x:c r="J836" s="21"/>
      <x:c r="K836" s="22" t="n">
        <x:v>48</x:v>
      </x:c>
      <x:c r="L836" s="21" t="str">
        <x:v>H5038</x:v>
      </x:c>
      <x:c r="M836" s="21" t="str">
        <x:v>noun</x:v>
      </x:c>
      <x:c r="N836" s="21" t="str">
        <x:v>否</x:v>
      </x:c>
      <x:c r="O836" s="21" t="str"/>
      <x:c r="P836" s="21" t="str">
        <x:v>lemma_frequency_verified</x:v>
      </x:c>
      <x:c r="Q836" s="21" t="str">
        <x:v>rule_generated_exception_review</x:v>
      </x:c>
      <x:c r="R836" s="20" t="str">
        <x:v>https://github.com/openscriptures/morphhb</x:v>
      </x:c>
    </x:row>
    <x:row r="837" ht="28" customHeight="1">
      <x:c r="A837" s="21" t="n">
        <x:v>833</x:v>
      </x:c>
      <x:c r="B837" s="21" t="n">
        <x:f>ROUNDUP(A837/20,0)</x:f>
        <x:v>42</x:v>
      </x:c>
      <x:c r="C837" s="21" t="n">
        <x:f>MOD(A837-1,20)+1</x:f>
        <x:v>13</x:v>
      </x:c>
      <x:c r="D837" s="18" t="str">
        <x:v>גִּלּוּל</x:v>
      </x:c>
      <x:c r="E837" s="19" t="str">
        <x:v>gillûl</x:v>
      </x:c>
      <x:c r="F837" s="16" t="str">
        <x:v>גלול</x:v>
      </x:c>
      <x:c r="G837" s="20" t="str">
        <x:v>properly, a log (as round); by implication, an idol</x:v>
      </x:c>
      <x:c r="H837" s="20" t="str"/>
      <x:c r="I837" s="21" t="str">
        <x:v>自編延伸</x:v>
      </x:c>
      <x:c r="J837" s="21"/>
      <x:c r="K837" s="22" t="n">
        <x:v>48</x:v>
      </x:c>
      <x:c r="L837" s="21" t="str">
        <x:v>H1544</x:v>
      </x:c>
      <x:c r="M837" s="21" t="str">
        <x:v>noun</x:v>
      </x:c>
      <x:c r="N837" s="21" t="str">
        <x:v>否</x:v>
      </x:c>
      <x:c r="O837" s="21" t="str"/>
      <x:c r="P837" s="21" t="str">
        <x:v>lemma_frequency_verified</x:v>
      </x:c>
      <x:c r="Q837" s="21" t="str">
        <x:v>rule_generated_exception_review</x:v>
      </x:c>
      <x:c r="R837" s="20" t="str">
        <x:v>https://github.com/openscriptures/morphhb</x:v>
      </x:c>
    </x:row>
    <x:row r="838" ht="28" customHeight="1">
      <x:c r="A838" s="21" t="n">
        <x:v>834</x:v>
      </x:c>
      <x:c r="B838" s="21" t="n">
        <x:f>ROUNDUP(A838/20,0)</x:f>
        <x:v>42</x:v>
      </x:c>
      <x:c r="C838" s="21" t="n">
        <x:f>MOD(A838-1,20)+1</x:f>
        <x:v>14</x:v>
      </x:c>
      <x:c r="D838" s="18" t="str">
        <x:v>מַכָּה</x:v>
      </x:c>
      <x:c r="E838" s="19" t="str">
        <x:v>makkâ</x:v>
      </x:c>
      <x:c r="F838" s="16" t="str">
        <x:v>מכה</x:v>
      </x:c>
      <x:c r="G838" s="20" t="str">
        <x:v>a wound; figuratively, carnage, also pestilence</x:v>
      </x:c>
      <x:c r="H838" s="20" t="str"/>
      <x:c r="I838" s="21" t="str">
        <x:v>自編延伸</x:v>
      </x:c>
      <x:c r="J838" s="21"/>
      <x:c r="K838" s="22" t="n">
        <x:v>48</x:v>
      </x:c>
      <x:c r="L838" s="21" t="str">
        <x:v>H4347</x:v>
      </x:c>
      <x:c r="M838" s="21" t="str">
        <x:v>noun</x:v>
      </x:c>
      <x:c r="N838" s="21" t="str">
        <x:v>否</x:v>
      </x:c>
      <x:c r="O838" s="21" t="str"/>
      <x:c r="P838" s="21" t="str">
        <x:v>lemma_frequency_verified</x:v>
      </x:c>
      <x:c r="Q838" s="21" t="str">
        <x:v>rule_generated_exception_review</x:v>
      </x:c>
      <x:c r="R838" s="20" t="str">
        <x:v>https://github.com/openscriptures/morphhb</x:v>
      </x:c>
    </x:row>
    <x:row r="839" ht="28" customHeight="1">
      <x:c r="A839" s="21" t="n">
        <x:v>835</x:v>
      </x:c>
      <x:c r="B839" s="21" t="n">
        <x:f>ROUNDUP(A839/20,0)</x:f>
        <x:v>42</x:v>
      </x:c>
      <x:c r="C839" s="21" t="n">
        <x:f>MOD(A839-1,20)+1</x:f>
        <x:v>15</x:v>
      </x:c>
      <x:c r="D839" s="18" t="str">
        <x:v>שְׁבִי</x:v>
      </x:c>
      <x:c r="E839" s="19" t="str">
        <x:v>šəḇî</x:v>
      </x:c>
      <x:c r="F839" s="16" t="str">
        <x:v>שבי</x:v>
      </x:c>
      <x:c r="G839" s="20" t="str">
        <x:v>exiled; captured; as noun, exile (abstractly or concretely and collectively); by extension, booty</x:v>
      </x:c>
      <x:c r="H839" s="20" t="str"/>
      <x:c r="I839" s="21" t="str">
        <x:v>自編延伸</x:v>
      </x:c>
      <x:c r="J839" s="21"/>
      <x:c r="K839" s="22" t="n">
        <x:v>48</x:v>
      </x:c>
      <x:c r="L839" s="21" t="str">
        <x:v>H7628</x:v>
      </x:c>
      <x:c r="M839" s="21" t="str">
        <x:v>noun</x:v>
      </x:c>
      <x:c r="N839" s="21" t="str">
        <x:v>否</x:v>
      </x:c>
      <x:c r="O839" s="21" t="str"/>
      <x:c r="P839" s="21" t="str">
        <x:v>lemma_frequency_verified</x:v>
      </x:c>
      <x:c r="Q839" s="21" t="str">
        <x:v>rule_generated_exception_review</x:v>
      </x:c>
      <x:c r="R839" s="20" t="str">
        <x:v>https://github.com/openscriptures/morphhb</x:v>
      </x:c>
    </x:row>
    <x:row r="840" ht="28" customHeight="1">
      <x:c r="A840" s="21" t="n">
        <x:v>836</x:v>
      </x:c>
      <x:c r="B840" s="21" t="n">
        <x:f>ROUNDUP(A840/20,0)</x:f>
        <x:v>42</x:v>
      </x:c>
      <x:c r="C840" s="21" t="n">
        <x:f>MOD(A840-1,20)+1</x:f>
        <x:v>16</x:v>
      </x:c>
      <x:c r="D840" s="18" t="str">
        <x:v>סָמַךְ</x:v>
      </x:c>
      <x:c r="E840" s="19" t="str">
        <x:v>sāmaḵ</x:v>
      </x:c>
      <x:c r="F840" s="16" t="str">
        <x:v>סמך</x:v>
      </x:c>
      <x:c r="G840" s="20" t="str">
        <x:v>to prop (literally or figuratively); reflexively, to lean upon or take hold of (in a favorable or unfavorable sense)</x:v>
      </x:c>
      <x:c r="H840" s="20" t="str"/>
      <x:c r="I840" s="21" t="str">
        <x:v>自編延伸</x:v>
      </x:c>
      <x:c r="J840" s="21"/>
      <x:c r="K840" s="22" t="n">
        <x:v>48</x:v>
      </x:c>
      <x:c r="L840" s="21" t="str">
        <x:v>H5564</x:v>
      </x:c>
      <x:c r="M840" s="21" t="str">
        <x:v>verb</x:v>
      </x:c>
      <x:c r="N840" s="21" t="str">
        <x:v>否</x:v>
      </x:c>
      <x:c r="O840" s="21" t="str"/>
      <x:c r="P840" s="21" t="str">
        <x:v>lemma_frequency_verified</x:v>
      </x:c>
      <x:c r="Q840" s="21" t="str">
        <x:v>rule_generated_exception_review</x:v>
      </x:c>
      <x:c r="R840" s="20" t="str">
        <x:v>https://github.com/openscriptures/morphhb</x:v>
      </x:c>
    </x:row>
    <x:row r="841" ht="28" customHeight="1">
      <x:c r="A841" s="21" t="n">
        <x:v>837</x:v>
      </x:c>
      <x:c r="B841" s="21" t="n">
        <x:f>ROUNDUP(A841/20,0)</x:f>
        <x:v>42</x:v>
      </x:c>
      <x:c r="C841" s="21" t="n">
        <x:f>MOD(A841-1,20)+1</x:f>
        <x:v>17</x:v>
      </x:c>
      <x:c r="D841" s="18" t="str">
        <x:v>שַׁדַּי</x:v>
      </x:c>
      <x:c r="E841" s="19" t="str">
        <x:v>šadday</x:v>
      </x:c>
      <x:c r="F841" s="16" t="str">
        <x:v>שדי</x:v>
      </x:c>
      <x:c r="G841" s="20" t="str">
        <x:v>the Almighty</x:v>
      </x:c>
      <x:c r="H841" s="20" t="str"/>
      <x:c r="I841" s="21" t="str">
        <x:v>自編延伸</x:v>
      </x:c>
      <x:c r="J841" s="21"/>
      <x:c r="K841" s="22" t="n">
        <x:v>48</x:v>
      </x:c>
      <x:c r="L841" s="21" t="str">
        <x:v>H7706</x:v>
      </x:c>
      <x:c r="M841" s="21" t="str">
        <x:v>proper_name</x:v>
      </x:c>
      <x:c r="N841" s="21" t="str">
        <x:v>是</x:v>
      </x:c>
      <x:c r="O841" s="21" t="str">
        <x:v>神名／稱號</x:v>
      </x:c>
      <x:c r="P841" s="21" t="str">
        <x:v>lemma_frequency_verified</x:v>
      </x:c>
      <x:c r="Q841" s="21" t="str">
        <x:v>rule_generated_exception_review</x:v>
      </x:c>
      <x:c r="R841" s="20" t="str">
        <x:v>https://github.com/openscriptures/morphhb</x:v>
      </x:c>
    </x:row>
    <x:row r="842" ht="28" customHeight="1">
      <x:c r="A842" s="21" t="n">
        <x:v>838</x:v>
      </x:c>
      <x:c r="B842" s="21" t="n">
        <x:f>ROUNDUP(A842/20,0)</x:f>
        <x:v>42</x:v>
      </x:c>
      <x:c r="C842" s="21" t="n">
        <x:f>MOD(A842-1,20)+1</x:f>
        <x:v>18</x:v>
      </x:c>
      <x:c r="D842" s="18" t="str">
        <x:v>יוֹאָשׁ</x:v>
      </x:c>
      <x:c r="E842" s="19" t="str">
        <x:v>yôʾāš</x:v>
      </x:c>
      <x:c r="F842" s="16" t="str">
        <x:v>יואש</x:v>
      </x:c>
      <x:c r="G842" s="20" t="str">
        <x:v>Joash, the name of six Israelites</x:v>
      </x:c>
      <x:c r="H842" s="20" t="str"/>
      <x:c r="I842" s="21" t="str">
        <x:v>自編延伸</x:v>
      </x:c>
      <x:c r="J842" s="21"/>
      <x:c r="K842" s="22" t="n">
        <x:v>47</x:v>
      </x:c>
      <x:c r="L842" s="21" t="str">
        <x:v>H3101</x:v>
      </x:c>
      <x:c r="M842" s="21" t="str">
        <x:v>proper_name</x:v>
      </x:c>
      <x:c r="N842" s="21" t="str">
        <x:v>是</x:v>
      </x:c>
      <x:c r="O842" s="21" t="str">
        <x:v>人名</x:v>
      </x:c>
      <x:c r="P842" s="21" t="str">
        <x:v>lemma_frequency_verified</x:v>
      </x:c>
      <x:c r="Q842" s="21" t="str">
        <x:v>rule_generated_exception_review</x:v>
      </x:c>
      <x:c r="R842" s="20" t="str">
        <x:v>https://github.com/openscriptures/morphhb</x:v>
      </x:c>
    </x:row>
    <x:row r="843" ht="28" customHeight="1">
      <x:c r="A843" s="21" t="n">
        <x:v>839</x:v>
      </x:c>
      <x:c r="B843" s="21" t="n">
        <x:f>ROUNDUP(A843/20,0)</x:f>
        <x:v>42</x:v>
      </x:c>
      <x:c r="C843" s="21" t="n">
        <x:f>MOD(A843-1,20)+1</x:f>
        <x:v>19</x:v>
      </x:c>
      <x:c r="D843" s="18" t="str">
        <x:v>שָׁבָה</x:v>
      </x:c>
      <x:c r="E843" s="19" t="str">
        <x:v>šāḇâ</x:v>
      </x:c>
      <x:c r="F843" s="16" t="str">
        <x:v>שבה</x:v>
      </x:c>
      <x:c r="G843" s="20" t="str">
        <x:v>to transport into captivity</x:v>
      </x:c>
      <x:c r="H843" s="20" t="str"/>
      <x:c r="I843" s="21" t="str">
        <x:v>自編延伸</x:v>
      </x:c>
      <x:c r="J843" s="21"/>
      <x:c r="K843" s="22" t="n">
        <x:v>47</x:v>
      </x:c>
      <x:c r="L843" s="21" t="str">
        <x:v>H7617</x:v>
      </x:c>
      <x:c r="M843" s="21" t="str">
        <x:v>verb</x:v>
      </x:c>
      <x:c r="N843" s="21" t="str">
        <x:v>否</x:v>
      </x:c>
      <x:c r="O843" s="21" t="str"/>
      <x:c r="P843" s="21" t="str">
        <x:v>lemma_frequency_verified</x:v>
      </x:c>
      <x:c r="Q843" s="21" t="str">
        <x:v>rule_generated_exception_review</x:v>
      </x:c>
      <x:c r="R843" s="20" t="str">
        <x:v>https://github.com/openscriptures/morphhb</x:v>
      </x:c>
    </x:row>
    <x:row r="844" ht="28" customHeight="1">
      <x:c r="A844" s="21" t="n">
        <x:v>840</x:v>
      </x:c>
      <x:c r="B844" s="21" t="n">
        <x:f>ROUNDUP(A844/20,0)</x:f>
        <x:v>42</x:v>
      </x:c>
      <x:c r="C844" s="21" t="n">
        <x:f>MOD(A844-1,20)+1</x:f>
        <x:v>20</x:v>
      </x:c>
      <x:c r="D844" s="18" t="str">
        <x:v>גָּרַשׁ</x:v>
      </x:c>
      <x:c r="E844" s="19" t="str">
        <x:v>gāraš</x:v>
      </x:c>
      <x:c r="F844" s="16" t="str">
        <x:v>גרש</x:v>
      </x:c>
      <x:c r="G844" s="20" t="str">
        <x:v>to drive out from a possession; especially to expatriate or divorce</x:v>
      </x:c>
      <x:c r="H844" s="20" t="str"/>
      <x:c r="I844" s="21" t="str">
        <x:v>自編延伸</x:v>
      </x:c>
      <x:c r="J844" s="21"/>
      <x:c r="K844" s="22" t="n">
        <x:v>47</x:v>
      </x:c>
      <x:c r="L844" s="21" t="str">
        <x:v>H1644</x:v>
      </x:c>
      <x:c r="M844" s="21" t="str">
        <x:v>verb</x:v>
      </x:c>
      <x:c r="N844" s="21" t="str">
        <x:v>否</x:v>
      </x:c>
      <x:c r="O844" s="21" t="str"/>
      <x:c r="P844" s="21" t="str">
        <x:v>lemma_frequency_verified</x:v>
      </x:c>
      <x:c r="Q844" s="21" t="str">
        <x:v>rule_generated_exception_review</x:v>
      </x:c>
      <x:c r="R844" s="20" t="str">
        <x:v>https://github.com/openscriptures/morphhb</x:v>
      </x:c>
    </x:row>
    <x:row r="845" ht="28" customHeight="1">
      <x:c r="A845" s="21" t="n">
        <x:v>841</x:v>
      </x:c>
      <x:c r="B845" s="21" t="n">
        <x:f>ROUNDUP(A845/20,0)</x:f>
        <x:v>43</x:v>
      </x:c>
      <x:c r="C845" s="21" t="n">
        <x:f>MOD(A845-1,20)+1</x:f>
        <x:v>1</x:v>
      </x:c>
      <x:c r="D845" s="18" t="str">
        <x:v>מֹתֶן</x:v>
      </x:c>
      <x:c r="E845" s="19" t="str">
        <x:v>mōṯen</x:v>
      </x:c>
      <x:c r="F845" s="16" t="str">
        <x:v>מתן</x:v>
      </x:c>
      <x:c r="G845" s="20" t="str">
        <x:v>properly, the waist or small of the back; only in plural the loins</x:v>
      </x:c>
      <x:c r="H845" s="20" t="str"/>
      <x:c r="I845" s="21" t="str">
        <x:v>自編延伸</x:v>
      </x:c>
      <x:c r="J845" s="21"/>
      <x:c r="K845" s="22" t="n">
        <x:v>47</x:v>
      </x:c>
      <x:c r="L845" s="21" t="str">
        <x:v>H4975</x:v>
      </x:c>
      <x:c r="M845" s="21" t="str">
        <x:v>noun</x:v>
      </x:c>
      <x:c r="N845" s="21" t="str">
        <x:v>否</x:v>
      </x:c>
      <x:c r="O845" s="21" t="str"/>
      <x:c r="P845" s="21" t="str">
        <x:v>lemma_frequency_verified</x:v>
      </x:c>
      <x:c r="Q845" s="21" t="str">
        <x:v>rule_generated_exception_review</x:v>
      </x:c>
      <x:c r="R845" s="20" t="str">
        <x:v>https://github.com/openscriptures/morphhb</x:v>
      </x:c>
    </x:row>
    <x:row r="846" ht="28" customHeight="1">
      <x:c r="A846" s="21" t="n">
        <x:v>842</x:v>
      </x:c>
      <x:c r="B846" s="21" t="n">
        <x:f>ROUNDUP(A846/20,0)</x:f>
        <x:v>43</x:v>
      </x:c>
      <x:c r="C846" s="21" t="n">
        <x:f>MOD(A846-1,20)+1</x:f>
        <x:v>2</x:v>
      </x:c>
      <x:c r="D846" s="18" t="str">
        <x:v>צָפָה</x:v>
      </x:c>
      <x:c r="E846" s="19" t="str">
        <x:v>ṣāp̄â</x:v>
      </x:c>
      <x:c r="F846" s="16" t="str">
        <x:v>צפה</x:v>
      </x:c>
      <x:c r="G846" s="20" t="str">
        <x:v>to sheet over (especially with metal)</x:v>
      </x:c>
      <x:c r="H846" s="20" t="str"/>
      <x:c r="I846" s="21" t="str">
        <x:v>自編延伸</x:v>
      </x:c>
      <x:c r="J846" s="21"/>
      <x:c r="K846" s="22" t="n">
        <x:v>47</x:v>
      </x:c>
      <x:c r="L846" s="21" t="str">
        <x:v>H6823</x:v>
      </x:c>
      <x:c r="M846" s="21" t="str">
        <x:v>verb</x:v>
      </x:c>
      <x:c r="N846" s="21" t="str">
        <x:v>否</x:v>
      </x:c>
      <x:c r="O846" s="21" t="str"/>
      <x:c r="P846" s="21" t="str">
        <x:v>lemma_frequency_verified</x:v>
      </x:c>
      <x:c r="Q846" s="21" t="str">
        <x:v>rule_generated_exception_review</x:v>
      </x:c>
      <x:c r="R846" s="20" t="str">
        <x:v>https://github.com/openscriptures/morphhb</x:v>
      </x:c>
    </x:row>
    <x:row r="847" ht="28" customHeight="1">
      <x:c r="A847" s="21" t="n">
        <x:v>843</x:v>
      </x:c>
      <x:c r="B847" s="21" t="n">
        <x:f>ROUNDUP(A847/20,0)</x:f>
        <x:v>43</x:v>
      </x:c>
      <x:c r="C847" s="21" t="n">
        <x:f>MOD(A847-1,20)+1</x:f>
        <x:v>3</x:v>
      </x:c>
      <x:c r="D847" s="18" t="str">
        <x:v>רָחַם</x:v>
      </x:c>
      <x:c r="E847" s="19" t="str">
        <x:v>rāḥam</x:v>
      </x:c>
      <x:c r="F847" s="16" t="str">
        <x:v>רחם</x:v>
      </x:c>
      <x:c r="G847" s="20" t="str">
        <x:v>to fondle; by implication, to love, especially to compassionate</x:v>
      </x:c>
      <x:c r="H847" s="20" t="str"/>
      <x:c r="I847" s="21" t="str">
        <x:v>自編延伸</x:v>
      </x:c>
      <x:c r="J847" s="21"/>
      <x:c r="K847" s="22" t="n">
        <x:v>47</x:v>
      </x:c>
      <x:c r="L847" s="21" t="str">
        <x:v>H7355</x:v>
      </x:c>
      <x:c r="M847" s="21" t="str">
        <x:v>verb</x:v>
      </x:c>
      <x:c r="N847" s="21" t="str">
        <x:v>否</x:v>
      </x:c>
      <x:c r="O847" s="21" t="str"/>
      <x:c r="P847" s="21" t="str">
        <x:v>lemma_frequency_verified</x:v>
      </x:c>
      <x:c r="Q847" s="21" t="str">
        <x:v>rule_generated_exception_review</x:v>
      </x:c>
      <x:c r="R847" s="20" t="str">
        <x:v>https://github.com/openscriptures/morphhb</x:v>
      </x:c>
    </x:row>
    <x:row r="848" ht="28" customHeight="1">
      <x:c r="A848" s="21" t="n">
        <x:v>844</x:v>
      </x:c>
      <x:c r="B848" s="21" t="n">
        <x:f>ROUNDUP(A848/20,0)</x:f>
        <x:v>43</x:v>
      </x:c>
      <x:c r="C848" s="21" t="n">
        <x:f>MOD(A848-1,20)+1</x:f>
        <x:v>4</x:v>
      </x:c>
      <x:c r="D848" s="18" t="str">
        <x:v>נָעוּר</x:v>
      </x:c>
      <x:c r="E848" s="19" t="str">
        <x:v>nāʿûr</x:v>
      </x:c>
      <x:c r="F848" s="16" t="str">
        <x:v>נעור</x:v>
      </x:c>
      <x:c r="G848" s="20" t="str">
        <x:v>(only in plural collectively or emphatic form) youth, the state (juvenility) or the persons (young people)</x:v>
      </x:c>
      <x:c r="H848" s="20" t="str"/>
      <x:c r="I848" s="21" t="str">
        <x:v>自編延伸</x:v>
      </x:c>
      <x:c r="J848" s="21"/>
      <x:c r="K848" s="22" t="n">
        <x:v>47</x:v>
      </x:c>
      <x:c r="L848" s="21" t="str">
        <x:v>H5271</x:v>
      </x:c>
      <x:c r="M848" s="21" t="str">
        <x:v>noun</x:v>
      </x:c>
      <x:c r="N848" s="21" t="str">
        <x:v>否</x:v>
      </x:c>
      <x:c r="O848" s="21" t="str"/>
      <x:c r="P848" s="21" t="str">
        <x:v>lemma_frequency_verified</x:v>
      </x:c>
      <x:c r="Q848" s="21" t="str">
        <x:v>rule_generated_exception_review</x:v>
      </x:c>
      <x:c r="R848" s="20" t="str">
        <x:v>https://github.com/openscriptures/morphhb</x:v>
      </x:c>
    </x:row>
    <x:row r="849" ht="28" customHeight="1">
      <x:c r="A849" s="21" t="n">
        <x:v>845</x:v>
      </x:c>
      <x:c r="B849" s="21" t="n">
        <x:f>ROUNDUP(A849/20,0)</x:f>
        <x:v>43</x:v>
      </x:c>
      <x:c r="C849" s="21" t="n">
        <x:f>MOD(A849-1,20)+1</x:f>
        <x:v>5</x:v>
      </x:c>
      <x:c r="D849" s="18" t="str">
        <x:v>רָצַח</x:v>
      </x:c>
      <x:c r="E849" s="19" t="str">
        <x:v>rāṣaḥ</x:v>
      </x:c>
      <x:c r="F849" s="16" t="str">
        <x:v>רצח</x:v>
      </x:c>
      <x:c r="G849" s="20" t="str">
        <x:v>properly, to dash in pieces, i.e. kill (a human being), especially to murder</x:v>
      </x:c>
      <x:c r="H849" s="20" t="str"/>
      <x:c r="I849" s="21" t="str">
        <x:v>自編延伸</x:v>
      </x:c>
      <x:c r="J849" s="21"/>
      <x:c r="K849" s="22" t="n">
        <x:v>47</x:v>
      </x:c>
      <x:c r="L849" s="21" t="str">
        <x:v>H7523</x:v>
      </x:c>
      <x:c r="M849" s="21" t="str">
        <x:v>verb</x:v>
      </x:c>
      <x:c r="N849" s="21" t="str">
        <x:v>否</x:v>
      </x:c>
      <x:c r="O849" s="21" t="str"/>
      <x:c r="P849" s="21" t="str">
        <x:v>lemma_frequency_verified</x:v>
      </x:c>
      <x:c r="Q849" s="21" t="str">
        <x:v>rule_generated_exception_review</x:v>
      </x:c>
      <x:c r="R849" s="20" t="str">
        <x:v>https://github.com/openscriptures/morphhb</x:v>
      </x:c>
    </x:row>
    <x:row r="850" ht="28" customHeight="1">
      <x:c r="A850" s="21" t="n">
        <x:v>846</x:v>
      </x:c>
      <x:c r="B850" s="21" t="n">
        <x:f>ROUNDUP(A850/20,0)</x:f>
        <x:v>43</x:v>
      </x:c>
      <x:c r="C850" s="21" t="n">
        <x:f>MOD(A850-1,20)+1</x:f>
        <x:v>6</x:v>
      </x:c>
      <x:c r="D850" s="18" t="str">
        <x:v>רָחֵל</x:v>
      </x:c>
      <x:c r="E850" s="19" t="str">
        <x:v>rāḥēl</x:v>
      </x:c>
      <x:c r="F850" s="16" t="str">
        <x:v>רחל</x:v>
      </x:c>
      <x:c r="G850" s="20" t="str">
        <x:v>Rachel, a wife of Jacob</x:v>
      </x:c>
      <x:c r="H850" s="20" t="str"/>
      <x:c r="I850" s="21" t="str">
        <x:v>自編延伸</x:v>
      </x:c>
      <x:c r="J850" s="21"/>
      <x:c r="K850" s="22" t="n">
        <x:v>47</x:v>
      </x:c>
      <x:c r="L850" s="21" t="str">
        <x:v>H7354</x:v>
      </x:c>
      <x:c r="M850" s="21" t="str">
        <x:v>proper_name</x:v>
      </x:c>
      <x:c r="N850" s="21" t="str">
        <x:v>是</x:v>
      </x:c>
      <x:c r="O850" s="21" t="str">
        <x:v>專名</x:v>
      </x:c>
      <x:c r="P850" s="21" t="str">
        <x:v>lemma_frequency_verified</x:v>
      </x:c>
      <x:c r="Q850" s="21" t="str">
        <x:v>rule_generated_exception_review</x:v>
      </x:c>
      <x:c r="R850" s="20" t="str">
        <x:v>https://github.com/openscriptures/morphhb</x:v>
      </x:c>
    </x:row>
    <x:row r="851" ht="28" customHeight="1">
      <x:c r="A851" s="21" t="n">
        <x:v>847</x:v>
      </x:c>
      <x:c r="B851" s="21" t="n">
        <x:f>ROUNDUP(A851/20,0)</x:f>
        <x:v>43</x:v>
      </x:c>
      <x:c r="C851" s="21" t="n">
        <x:f>MOD(A851-1,20)+1</x:f>
        <x:v>7</x:v>
      </x:c>
      <x:c r="D851" s="18" t="str">
        <x:v>שֶׂה</x:v>
      </x:c>
      <x:c r="E851" s="19" t="str">
        <x:v>śê</x:v>
      </x:c>
      <x:c r="F851" s="16" t="str">
        <x:v>שה</x:v>
      </x:c>
      <x:c r="G851" s="20" t="str">
        <x:v>a member of a flock, i.e. a sheep or goat</x:v>
      </x:c>
      <x:c r="H851" s="20" t="str"/>
      <x:c r="I851" s="21" t="str">
        <x:v>自編延伸</x:v>
      </x:c>
      <x:c r="J851" s="21"/>
      <x:c r="K851" s="22" t="n">
        <x:v>47</x:v>
      </x:c>
      <x:c r="L851" s="21" t="str">
        <x:v>H7716</x:v>
      </x:c>
      <x:c r="M851" s="21" t="str">
        <x:v>noun</x:v>
      </x:c>
      <x:c r="N851" s="21" t="str">
        <x:v>否</x:v>
      </x:c>
      <x:c r="O851" s="21" t="str"/>
      <x:c r="P851" s="21" t="str">
        <x:v>lemma_frequency_verified</x:v>
      </x:c>
      <x:c r="Q851" s="21" t="str">
        <x:v>rule_generated_exception_review</x:v>
      </x:c>
      <x:c r="R851" s="20" t="str">
        <x:v>https://github.com/openscriptures/morphhb</x:v>
      </x:c>
    </x:row>
    <x:row r="852" ht="28" customHeight="1">
      <x:c r="A852" s="21" t="n">
        <x:v>848</x:v>
      </x:c>
      <x:c r="B852" s="21" t="n">
        <x:f>ROUNDUP(A852/20,0)</x:f>
        <x:v>43</x:v>
      </x:c>
      <x:c r="C852" s="21" t="n">
        <x:f>MOD(A852-1,20)+1</x:f>
        <x:v>8</x:v>
      </x:c>
      <x:c r="D852" s="18" t="str">
        <x:v>אַיֵּה</x:v>
      </x:c>
      <x:c r="E852" s="19" t="str">
        <x:v>ʾayyê</x:v>
      </x:c>
      <x:c r="F852" s="16" t="str">
        <x:v>איה</x:v>
      </x:c>
      <x:c r="G852" s="20" t="str">
        <x:v>where?</x:v>
      </x:c>
      <x:c r="H852" s="20" t="str"/>
      <x:c r="I852" s="21" t="str">
        <x:v>自編延伸</x:v>
      </x:c>
      <x:c r="J852" s="21"/>
      <x:c r="K852" s="22" t="n">
        <x:v>47</x:v>
      </x:c>
      <x:c r="L852" s="21" t="str">
        <x:v>H346</x:v>
      </x:c>
      <x:c r="M852" s="21" t="str">
        <x:v>particle</x:v>
      </x:c>
      <x:c r="N852" s="21" t="str">
        <x:v>否</x:v>
      </x:c>
      <x:c r="O852" s="21" t="str"/>
      <x:c r="P852" s="21" t="str">
        <x:v>lemma_frequency_verified</x:v>
      </x:c>
      <x:c r="Q852" s="21" t="str">
        <x:v>rule_generated_exception_review</x:v>
      </x:c>
      <x:c r="R852" s="20" t="str">
        <x:v>https://github.com/openscriptures/morphhb</x:v>
      </x:c>
    </x:row>
    <x:row r="853" ht="28" customHeight="1">
      <x:c r="A853" s="21" t="n">
        <x:v>849</x:v>
      </x:c>
      <x:c r="B853" s="21" t="n">
        <x:f>ROUNDUP(A853/20,0)</x:f>
        <x:v>43</x:v>
      </x:c>
      <x:c r="C853" s="21" t="n">
        <x:f>MOD(A853-1,20)+1</x:f>
        <x:v>9</x:v>
      </x:c>
      <x:c r="D853" s="18" t="str">
        <x:v>נֹחַ</x:v>
      </x:c>
      <x:c r="E853" s="19" t="str">
        <x:v>nōaḥ</x:v>
      </x:c>
      <x:c r="F853" s="16" t="str">
        <x:v>נח</x:v>
      </x:c>
      <x:c r="G853" s="20" t="str">
        <x:v>Noach, the patriarch of the flood</x:v>
      </x:c>
      <x:c r="H853" s="20" t="str"/>
      <x:c r="I853" s="21" t="str">
        <x:v>自編延伸</x:v>
      </x:c>
      <x:c r="J853" s="21"/>
      <x:c r="K853" s="22" t="n">
        <x:v>46</x:v>
      </x:c>
      <x:c r="L853" s="21" t="str">
        <x:v>H5146</x:v>
      </x:c>
      <x:c r="M853" s="21" t="str">
        <x:v>proper_name</x:v>
      </x:c>
      <x:c r="N853" s="21" t="str">
        <x:v>是</x:v>
      </x:c>
      <x:c r="O853" s="21" t="str">
        <x:v>人名</x:v>
      </x:c>
      <x:c r="P853" s="21" t="str">
        <x:v>lemma_frequency_verified</x:v>
      </x:c>
      <x:c r="Q853" s="21" t="str">
        <x:v>rule_generated_exception_review</x:v>
      </x:c>
      <x:c r="R853" s="20" t="str">
        <x:v>https://github.com/openscriptures/morphhb</x:v>
      </x:c>
    </x:row>
    <x:row r="854" ht="28" customHeight="1">
      <x:c r="A854" s="21" t="n">
        <x:v>850</x:v>
      </x:c>
      <x:c r="B854" s="21" t="n">
        <x:f>ROUNDUP(A854/20,0)</x:f>
        <x:v>43</x:v>
      </x:c>
      <x:c r="C854" s="21" t="n">
        <x:f>MOD(A854-1,20)+1</x:f>
        <x:v>10</x:v>
      </x:c>
      <x:c r="D854" s="18" t="str">
        <x:v>אָסָף</x:v>
      </x:c>
      <x:c r="E854" s="19" t="str">
        <x:v>ʾāsāp̄</x:v>
      </x:c>
      <x:c r="F854" s="16" t="str">
        <x:v>אסף</x:v>
      </x:c>
      <x:c r="G854" s="20" t="str">
        <x:v>Asaph, the name of three Israelites, and of the family of the first</x:v>
      </x:c>
      <x:c r="H854" s="20" t="str"/>
      <x:c r="I854" s="21" t="str">
        <x:v>自編延伸</x:v>
      </x:c>
      <x:c r="J854" s="21"/>
      <x:c r="K854" s="22" t="n">
        <x:v>46</x:v>
      </x:c>
      <x:c r="L854" s="21" t="str">
        <x:v>H623</x:v>
      </x:c>
      <x:c r="M854" s="21" t="str">
        <x:v>proper_name</x:v>
      </x:c>
      <x:c r="N854" s="21" t="str">
        <x:v>是</x:v>
      </x:c>
      <x:c r="O854" s="21" t="str">
        <x:v>人名、民族／國族</x:v>
      </x:c>
      <x:c r="P854" s="21" t="str">
        <x:v>lemma_frequency_verified</x:v>
      </x:c>
      <x:c r="Q854" s="21" t="str">
        <x:v>rule_generated_exception_review</x:v>
      </x:c>
      <x:c r="R854" s="20" t="str">
        <x:v>https://github.com/openscriptures/morphhb</x:v>
      </x:c>
    </x:row>
    <x:row r="855" ht="28" customHeight="1">
      <x:c r="A855" s="21" t="n">
        <x:v>851</x:v>
      </x:c>
      <x:c r="B855" s="21" t="n">
        <x:f>ROUNDUP(A855/20,0)</x:f>
        <x:v>43</x:v>
      </x:c>
      <x:c r="C855" s="21" t="n">
        <x:f>MOD(A855-1,20)+1</x:f>
        <x:v>11</x:v>
      </x:c>
      <x:c r="D855" s="18" t="str">
        <x:v>עָצָר</x:v>
      </x:c>
      <x:c r="E855" s="19" t="str">
        <x:v>ʿāṣār</x:v>
      </x:c>
      <x:c r="F855" s="16" t="str">
        <x:v>עצר</x:v>
      </x:c>
      <x:c r="G855" s="20" t="str">
        <x:v>to inclose; by analogy, to hold back; also to maintain, rule, assemble</x:v>
      </x:c>
      <x:c r="H855" s="20" t="str"/>
      <x:c r="I855" s="21" t="str">
        <x:v>自編延伸</x:v>
      </x:c>
      <x:c r="J855" s="21"/>
      <x:c r="K855" s="22" t="n">
        <x:v>46</x:v>
      </x:c>
      <x:c r="L855" s="21" t="str">
        <x:v>H6113</x:v>
      </x:c>
      <x:c r="M855" s="21" t="str">
        <x:v>verb</x:v>
      </x:c>
      <x:c r="N855" s="21" t="str">
        <x:v>否</x:v>
      </x:c>
      <x:c r="O855" s="21" t="str"/>
      <x:c r="P855" s="21" t="str">
        <x:v>lemma_frequency_verified</x:v>
      </x:c>
      <x:c r="Q855" s="21" t="str">
        <x:v>rule_generated_exception_review</x:v>
      </x:c>
      <x:c r="R855" s="20" t="str">
        <x:v>https://github.com/openscriptures/morphhb</x:v>
      </x:c>
    </x:row>
    <x:row r="856" ht="28" customHeight="1">
      <x:c r="A856" s="21" t="n">
        <x:v>852</x:v>
      </x:c>
      <x:c r="B856" s="21" t="n">
        <x:f>ROUNDUP(A856/20,0)</x:f>
        <x:v>43</x:v>
      </x:c>
      <x:c r="C856" s="21" t="n">
        <x:f>MOD(A856-1,20)+1</x:f>
        <x:v>12</x:v>
      </x:c>
      <x:c r="D856" s="18" t="str">
        <x:v>גִּיל</x:v>
      </x:c>
      <x:c r="E856" s="19" t="str">
        <x:v>gîl</x:v>
      </x:c>
      <x:c r="F856" s="16" t="str">
        <x:v>גיל</x:v>
      </x:c>
      <x:c r="G856" s="20" t="str">
        <x:v>properly, to spin round (under the influence of any violent emotion), i.e. usually rejoice, or (as cringing) fear</x:v>
      </x:c>
      <x:c r="H856" s="20" t="str"/>
      <x:c r="I856" s="21" t="str">
        <x:v>自編延伸</x:v>
      </x:c>
      <x:c r="J856" s="21"/>
      <x:c r="K856" s="22" t="n">
        <x:v>46</x:v>
      </x:c>
      <x:c r="L856" s="21" t="str">
        <x:v>H1523</x:v>
      </x:c>
      <x:c r="M856" s="21" t="str">
        <x:v>verb</x:v>
      </x:c>
      <x:c r="N856" s="21" t="str">
        <x:v>否</x:v>
      </x:c>
      <x:c r="O856" s="21" t="str"/>
      <x:c r="P856" s="21" t="str">
        <x:v>lemma_frequency_verified</x:v>
      </x:c>
      <x:c r="Q856" s="21" t="str">
        <x:v>rule_generated_exception_review</x:v>
      </x:c>
      <x:c r="R856" s="20" t="str">
        <x:v>https://github.com/openscriptures/morphhb</x:v>
      </x:c>
    </x:row>
    <x:row r="857" ht="28" customHeight="1">
      <x:c r="A857" s="21" t="n">
        <x:v>853</x:v>
      </x:c>
      <x:c r="B857" s="21" t="n">
        <x:f>ROUNDUP(A857/20,0)</x:f>
        <x:v>43</x:v>
      </x:c>
      <x:c r="C857" s="21" t="n">
        <x:f>MOD(A857-1,20)+1</x:f>
        <x:v>13</x:v>
      </x:c>
      <x:c r="D857" s="18" t="str">
        <x:v>רָפָה</x:v>
      </x:c>
      <x:c r="E857" s="19" t="str">
        <x:v>rāp̄â</x:v>
      </x:c>
      <x:c r="F857" s="16" t="str">
        <x:v>רפה</x:v>
      </x:c>
      <x:c r="G857" s="20" t="str">
        <x:v>to slacken (in many applications, literal or figurative)</x:v>
      </x:c>
      <x:c r="H857" s="20" t="str"/>
      <x:c r="I857" s="21" t="str">
        <x:v>自編延伸</x:v>
      </x:c>
      <x:c r="J857" s="21"/>
      <x:c r="K857" s="22" t="n">
        <x:v>46</x:v>
      </x:c>
      <x:c r="L857" s="21" t="str">
        <x:v>H7503</x:v>
      </x:c>
      <x:c r="M857" s="21" t="str">
        <x:v>verb</x:v>
      </x:c>
      <x:c r="N857" s="21" t="str">
        <x:v>否</x:v>
      </x:c>
      <x:c r="O857" s="21" t="str"/>
      <x:c r="P857" s="21" t="str">
        <x:v>lemma_frequency_verified</x:v>
      </x:c>
      <x:c r="Q857" s="21" t="str">
        <x:v>rule_generated_exception_review</x:v>
      </x:c>
      <x:c r="R857" s="20" t="str">
        <x:v>https://github.com/openscriptures/morphhb</x:v>
      </x:c>
    </x:row>
    <x:row r="858" ht="28" customHeight="1">
      <x:c r="A858" s="21" t="n">
        <x:v>854</x:v>
      </x:c>
      <x:c r="B858" s="21" t="n">
        <x:f>ROUNDUP(A858/20,0)</x:f>
        <x:v>43</x:v>
      </x:c>
      <x:c r="C858" s="21" t="n">
        <x:f>MOD(A858-1,20)+1</x:f>
        <x:v>14</x:v>
      </x:c>
      <x:c r="D858" s="18" t="str">
        <x:v>מִשְׁכָּב</x:v>
      </x:c>
      <x:c r="E858" s="19" t="str">
        <x:v>miškāḇ</x:v>
      </x:c>
      <x:c r="F858" s="16" t="str">
        <x:v>משכב</x:v>
      </x:c>
      <x:c r="G858" s="20" t="str">
        <x:v>a bed (figuratively, a bier); abstractly, sleep; by euphemism, carnal intercourse</x:v>
      </x:c>
      <x:c r="H858" s="20" t="str"/>
      <x:c r="I858" s="21" t="str">
        <x:v>自編延伸</x:v>
      </x:c>
      <x:c r="J858" s="21"/>
      <x:c r="K858" s="22" t="n">
        <x:v>46</x:v>
      </x:c>
      <x:c r="L858" s="21" t="str">
        <x:v>H4904</x:v>
      </x:c>
      <x:c r="M858" s="21" t="str">
        <x:v>noun</x:v>
      </x:c>
      <x:c r="N858" s="21" t="str">
        <x:v>否</x:v>
      </x:c>
      <x:c r="O858" s="21" t="str"/>
      <x:c r="P858" s="21" t="str">
        <x:v>lemma_frequency_verified</x:v>
      </x:c>
      <x:c r="Q858" s="21" t="str">
        <x:v>rule_generated_exception_review</x:v>
      </x:c>
      <x:c r="R858" s="20" t="str">
        <x:v>https://github.com/openscriptures/morphhb</x:v>
      </x:c>
    </x:row>
    <x:row r="859" ht="28" customHeight="1">
      <x:c r="A859" s="21" t="n">
        <x:v>855</x:v>
      </x:c>
      <x:c r="B859" s="21" t="n">
        <x:f>ROUNDUP(A859/20,0)</x:f>
        <x:v>43</x:v>
      </x:c>
      <x:c r="C859" s="21" t="n">
        <x:f>MOD(A859-1,20)+1</x:f>
        <x:v>15</x:v>
      </x:c>
      <x:c r="D859" s="18" t="str">
        <x:v>פָּגַע</x:v>
      </x:c>
      <x:c r="E859" s="19" t="str">
        <x:v>pāg̅aʿ</x:v>
      </x:c>
      <x:c r="F859" s="16" t="str">
        <x:v>פגע</x:v>
      </x:c>
      <x:c r="G859" s="20" t="str">
        <x:v>to impinge, by accident or violence, or (figuratively) by importunity</x:v>
      </x:c>
      <x:c r="H859" s="20" t="str"/>
      <x:c r="I859" s="21" t="str">
        <x:v>自編延伸</x:v>
      </x:c>
      <x:c r="J859" s="21"/>
      <x:c r="K859" s="22" t="n">
        <x:v>46</x:v>
      </x:c>
      <x:c r="L859" s="21" t="str">
        <x:v>H6293</x:v>
      </x:c>
      <x:c r="M859" s="21" t="str">
        <x:v>verb</x:v>
      </x:c>
      <x:c r="N859" s="21" t="str">
        <x:v>否</x:v>
      </x:c>
      <x:c r="O859" s="21" t="str"/>
      <x:c r="P859" s="21" t="str">
        <x:v>lemma_frequency_verified</x:v>
      </x:c>
      <x:c r="Q859" s="21" t="str">
        <x:v>rule_generated_exception_review</x:v>
      </x:c>
      <x:c r="R859" s="20" t="str">
        <x:v>https://github.com/openscriptures/morphhb</x:v>
      </x:c>
    </x:row>
    <x:row r="860" ht="28" customHeight="1">
      <x:c r="A860" s="21" t="n">
        <x:v>856</x:v>
      </x:c>
      <x:c r="B860" s="21" t="n">
        <x:f>ROUNDUP(A860/20,0)</x:f>
        <x:v>43</x:v>
      </x:c>
      <x:c r="C860" s="21" t="n">
        <x:f>MOD(A860-1,20)+1</x:f>
        <x:v>16</x:v>
      </x:c>
      <x:c r="D860" s="18" t="str">
        <x:v>מִשְׁתֶּה</x:v>
      </x:c>
      <x:c r="E860" s="19" t="str">
        <x:v>mištê</x:v>
      </x:c>
      <x:c r="F860" s="16" t="str">
        <x:v>משתה</x:v>
      </x:c>
      <x:c r="G860" s="20" t="str">
        <x:v>drink, by implication, drinking (the act); also (by implication) a banquet or (generally) feast</x:v>
      </x:c>
      <x:c r="H860" s="20" t="str"/>
      <x:c r="I860" s="21" t="str">
        <x:v>自編延伸</x:v>
      </x:c>
      <x:c r="J860" s="21"/>
      <x:c r="K860" s="22" t="n">
        <x:v>46</x:v>
      </x:c>
      <x:c r="L860" s="21" t="str">
        <x:v>H4960</x:v>
      </x:c>
      <x:c r="M860" s="21" t="str">
        <x:v>noun</x:v>
      </x:c>
      <x:c r="N860" s="21" t="str">
        <x:v>否</x:v>
      </x:c>
      <x:c r="O860" s="21" t="str"/>
      <x:c r="P860" s="21" t="str">
        <x:v>lemma_frequency_verified</x:v>
      </x:c>
      <x:c r="Q860" s="21" t="str">
        <x:v>rule_generated_exception_review</x:v>
      </x:c>
      <x:c r="R860" s="20" t="str">
        <x:v>https://github.com/openscriptures/morphhb</x:v>
      </x:c>
    </x:row>
    <x:row r="861" ht="28" customHeight="1">
      <x:c r="A861" s="21" t="n">
        <x:v>857</x:v>
      </x:c>
      <x:c r="B861" s="21" t="n">
        <x:f>ROUNDUP(A861/20,0)</x:f>
        <x:v>43</x:v>
      </x:c>
      <x:c r="C861" s="21" t="n">
        <x:f>MOD(A861-1,20)+1</x:f>
        <x:v>17</x:v>
      </x:c>
      <x:c r="D861" s="18" t="str">
        <x:v>קוֹמָה</x:v>
      </x:c>
      <x:c r="E861" s="19" t="str">
        <x:v>qômâ</x:v>
      </x:c>
      <x:c r="F861" s="16" t="str">
        <x:v>קומה</x:v>
      </x:c>
      <x:c r="G861" s="20" t="str">
        <x:v>height</x:v>
      </x:c>
      <x:c r="H861" s="20" t="str"/>
      <x:c r="I861" s="21" t="str">
        <x:v>自編延伸</x:v>
      </x:c>
      <x:c r="J861" s="21"/>
      <x:c r="K861" s="22" t="n">
        <x:v>46</x:v>
      </x:c>
      <x:c r="L861" s="21" t="str">
        <x:v>H6967</x:v>
      </x:c>
      <x:c r="M861" s="21" t="str">
        <x:v>noun</x:v>
      </x:c>
      <x:c r="N861" s="21" t="str">
        <x:v>否</x:v>
      </x:c>
      <x:c r="O861" s="21" t="str"/>
      <x:c r="P861" s="21" t="str">
        <x:v>lemma_frequency_verified</x:v>
      </x:c>
      <x:c r="Q861" s="21" t="str">
        <x:v>rule_generated_exception_review</x:v>
      </x:c>
      <x:c r="R861" s="20" t="str">
        <x:v>https://github.com/openscriptures/morphhb</x:v>
      </x:c>
    </x:row>
    <x:row r="862" ht="28" customHeight="1">
      <x:c r="A862" s="21" t="n">
        <x:v>858</x:v>
      </x:c>
      <x:c r="B862" s="21" t="n">
        <x:f>ROUNDUP(A862/20,0)</x:f>
        <x:v>43</x:v>
      </x:c>
      <x:c r="C862" s="21" t="n">
        <x:f>MOD(A862-1,20)+1</x:f>
        <x:v>18</x:v>
      </x:c>
      <x:c r="D862" s="18" t="str">
        <x:v>נׇכְרִי</x:v>
      </x:c>
      <x:c r="E862" s="19" t="str">
        <x:v>noḵrî</x:v>
      </x:c>
      <x:c r="F862" s="16" t="str">
        <x:v>נכרי</x:v>
      </x:c>
      <x:c r="G862" s="20" t="str">
        <x:v>strange, in a variety of degrees and applications (foreign, non-relative, adulterous, different, wonderful)</x:v>
      </x:c>
      <x:c r="H862" s="20" t="str"/>
      <x:c r="I862" s="21" t="str">
        <x:v>自編延伸</x:v>
      </x:c>
      <x:c r="J862" s="21"/>
      <x:c r="K862" s="22" t="n">
        <x:v>46</x:v>
      </x:c>
      <x:c r="L862" s="21" t="str">
        <x:v>H5237</x:v>
      </x:c>
      <x:c r="M862" s="21" t="str">
        <x:v>adjective</x:v>
      </x:c>
      <x:c r="N862" s="21" t="str">
        <x:v>否</x:v>
      </x:c>
      <x:c r="O862" s="21" t="str"/>
      <x:c r="P862" s="21" t="str">
        <x:v>lemma_frequency_verified</x:v>
      </x:c>
      <x:c r="Q862" s="21" t="str">
        <x:v>rule_generated_exception_review</x:v>
      </x:c>
      <x:c r="R862" s="20" t="str">
        <x:v>https://github.com/openscriptures/morphhb</x:v>
      </x:c>
    </x:row>
    <x:row r="863" ht="28" customHeight="1">
      <x:c r="A863" s="21" t="n">
        <x:v>859</x:v>
      </x:c>
      <x:c r="B863" s="21" t="n">
        <x:f>ROUNDUP(A863/20,0)</x:f>
        <x:v>43</x:v>
      </x:c>
      <x:c r="C863" s="21" t="n">
        <x:f>MOD(A863-1,20)+1</x:f>
        <x:v>19</x:v>
      </x:c>
      <x:c r="D863" s="18" t="str">
        <x:v>אָשָׁם</x:v>
      </x:c>
      <x:c r="E863" s="19" t="str">
        <x:v>ʾāšām</x:v>
      </x:c>
      <x:c r="F863" s="16" t="str">
        <x:v>אשם</x:v>
      </x:c>
      <x:c r="G863" s="20" t="str">
        <x:v>guilt; by implication, a fault; also a sin-offering</x:v>
      </x:c>
      <x:c r="H863" s="20" t="str"/>
      <x:c r="I863" s="21" t="str">
        <x:v>自編延伸</x:v>
      </x:c>
      <x:c r="J863" s="21"/>
      <x:c r="K863" s="22" t="n">
        <x:v>46</x:v>
      </x:c>
      <x:c r="L863" s="21" t="str">
        <x:v>H817</x:v>
      </x:c>
      <x:c r="M863" s="21" t="str">
        <x:v>noun</x:v>
      </x:c>
      <x:c r="N863" s="21" t="str">
        <x:v>否</x:v>
      </x:c>
      <x:c r="O863" s="21" t="str"/>
      <x:c r="P863" s="21" t="str">
        <x:v>lemma_frequency_verified</x:v>
      </x:c>
      <x:c r="Q863" s="21" t="str">
        <x:v>rule_generated_exception_review</x:v>
      </x:c>
      <x:c r="R863" s="20" t="str">
        <x:v>https://github.com/openscriptures/morphhb</x:v>
      </x:c>
    </x:row>
    <x:row r="864" ht="28" customHeight="1">
      <x:c r="A864" s="21" t="n">
        <x:v>860</x:v>
      </x:c>
      <x:c r="B864" s="21" t="n">
        <x:f>ROUNDUP(A864/20,0)</x:f>
        <x:v>43</x:v>
      </x:c>
      <x:c r="C864" s="21" t="n">
        <x:f>MOD(A864-1,20)+1</x:f>
        <x:v>20</x:v>
      </x:c>
      <x:c r="D864" s="18" t="str">
        <x:v>בָּחוּר</x:v>
      </x:c>
      <x:c r="E864" s="19" t="str">
        <x:v>bāḥûr</x:v>
      </x:c>
      <x:c r="F864" s="16" t="str">
        <x:v>בחור</x:v>
      </x:c>
      <x:c r="G864" s="20" t="str">
        <x:v>properly, selected, i.e. a youth (often collective)</x:v>
      </x:c>
      <x:c r="H864" s="20" t="str"/>
      <x:c r="I864" s="21" t="str">
        <x:v>自編延伸</x:v>
      </x:c>
      <x:c r="J864" s="21"/>
      <x:c r="K864" s="22" t="n">
        <x:v>46</x:v>
      </x:c>
      <x:c r="L864" s="21" t="str">
        <x:v>H970</x:v>
      </x:c>
      <x:c r="M864" s="21" t="str">
        <x:v>noun</x:v>
      </x:c>
      <x:c r="N864" s="21" t="str">
        <x:v>否</x:v>
      </x:c>
      <x:c r="O864" s="21" t="str"/>
      <x:c r="P864" s="21" t="str">
        <x:v>lemma_frequency_verified</x:v>
      </x:c>
      <x:c r="Q864" s="21" t="str">
        <x:v>rule_generated_exception_review</x:v>
      </x:c>
      <x:c r="R864" s="20" t="str">
        <x:v>https://github.com/openscriptures/morphhb</x:v>
      </x:c>
    </x:row>
    <x:row r="865" ht="28" customHeight="1">
      <x:c r="A865" s="21" t="n">
        <x:v>861</x:v>
      </x:c>
      <x:c r="B865" s="21" t="n">
        <x:f>ROUNDUP(A865/20,0)</x:f>
        <x:v>44</x:v>
      </x:c>
      <x:c r="C865" s="21" t="n">
        <x:f>MOD(A865-1,20)+1</x:f>
        <x:v>1</x:v>
      </x:c>
      <x:c r="D865" s="18" t="str">
        <x:v>קָשַׁב</x:v>
      </x:c>
      <x:c r="E865" s="19" t="str">
        <x:v>qāšaḇ</x:v>
      </x:c>
      <x:c r="F865" s="16" t="str">
        <x:v>קשב</x:v>
      </x:c>
      <x:c r="G865" s="20" t="str">
        <x:v>to prick up the ears, i.e. hearken</x:v>
      </x:c>
      <x:c r="H865" s="20" t="str"/>
      <x:c r="I865" s="21" t="str">
        <x:v>自編延伸</x:v>
      </x:c>
      <x:c r="J865" s="21"/>
      <x:c r="K865" s="22" t="n">
        <x:v>46</x:v>
      </x:c>
      <x:c r="L865" s="21" t="str">
        <x:v>H7181</x:v>
      </x:c>
      <x:c r="M865" s="21" t="str">
        <x:v>verb</x:v>
      </x:c>
      <x:c r="N865" s="21" t="str">
        <x:v>否</x:v>
      </x:c>
      <x:c r="O865" s="21" t="str"/>
      <x:c r="P865" s="21" t="str">
        <x:v>lemma_frequency_verified</x:v>
      </x:c>
      <x:c r="Q865" s="21" t="str">
        <x:v>rule_generated_exception_review</x:v>
      </x:c>
      <x:c r="R865" s="20" t="str">
        <x:v>https://github.com/openscriptures/morphhb</x:v>
      </x:c>
    </x:row>
    <x:row r="866" ht="28" customHeight="1">
      <x:c r="A866" s="21" t="n">
        <x:v>862</x:v>
      </x:c>
      <x:c r="B866" s="21" t="n">
        <x:f>ROUNDUP(A866/20,0)</x:f>
        <x:v>44</x:v>
      </x:c>
      <x:c r="C866" s="21" t="n">
        <x:f>MOD(A866-1,20)+1</x:f>
        <x:v>2</x:v>
      </x:c>
      <x:c r="D866" s="18" t="str">
        <x:v>זְבוּלוּן</x:v>
      </x:c>
      <x:c r="E866" s="19" t="str">
        <x:v>zəḇûlûn</x:v>
      </x:c>
      <x:c r="F866" s="16" t="str">
        <x:v>זבולון</x:v>
      </x:c>
      <x:c r="G866" s="20" t="str">
        <x:v>Zebulon, a son of Jacob; also his territory and tribe</x:v>
      </x:c>
      <x:c r="H866" s="20" t="str"/>
      <x:c r="I866" s="21" t="str">
        <x:v>自編延伸</x:v>
      </x:c>
      <x:c r="J866" s="21"/>
      <x:c r="K866" s="22" t="n">
        <x:v>45</x:v>
      </x:c>
      <x:c r="L866" s="21" t="str">
        <x:v>H2074</x:v>
      </x:c>
      <x:c r="M866" s="21" t="str">
        <x:v>proper_name</x:v>
      </x:c>
      <x:c r="N866" s="21" t="str">
        <x:v>是</x:v>
      </x:c>
      <x:c r="O866" s="21" t="str">
        <x:v>地名、民族／國族、人名</x:v>
      </x:c>
      <x:c r="P866" s="21" t="str">
        <x:v>lemma_frequency_verified</x:v>
      </x:c>
      <x:c r="Q866" s="21" t="str">
        <x:v>rule_generated_exception_review</x:v>
      </x:c>
      <x:c r="R866" s="20" t="str">
        <x:v>https://github.com/openscriptures/morphhb</x:v>
      </x:c>
    </x:row>
    <x:row r="867" ht="28" customHeight="1">
      <x:c r="A867" s="21" t="n">
        <x:v>863</x:v>
      </x:c>
      <x:c r="B867" s="21" t="n">
        <x:f>ROUNDUP(A867/20,0)</x:f>
        <x:v>44</x:v>
      </x:c>
      <x:c r="C867" s="21" t="n">
        <x:f>MOD(A867-1,20)+1</x:f>
        <x:v>3</x:v>
      </x:c>
      <x:c r="D867" s="18" t="str">
        <x:v>חֲמִישִׁי</x:v>
      </x:c>
      <x:c r="E867" s="19" t="str">
        <x:v>ḥămîšî</x:v>
      </x:c>
      <x:c r="F867" s="16" t="str">
        <x:v>חמישי</x:v>
      </x:c>
      <x:c r="G867" s="20" t="str">
        <x:v>fifth; also a fifth</x:v>
      </x:c>
      <x:c r="H867" s="20" t="str"/>
      <x:c r="I867" s="21" t="str">
        <x:v>自編延伸</x:v>
      </x:c>
      <x:c r="J867" s="21"/>
      <x:c r="K867" s="22" t="n">
        <x:v>45</x:v>
      </x:c>
      <x:c r="L867" s="21" t="str">
        <x:v>H2549</x:v>
      </x:c>
      <x:c r="M867" s="21" t="str">
        <x:v>adjective</x:v>
      </x:c>
      <x:c r="N867" s="21" t="str">
        <x:v>否</x:v>
      </x:c>
      <x:c r="O867" s="21" t="str"/>
      <x:c r="P867" s="21" t="str">
        <x:v>lemma_frequency_verified</x:v>
      </x:c>
      <x:c r="Q867" s="21" t="str">
        <x:v>rule_generated_exception_review</x:v>
      </x:c>
      <x:c r="R867" s="20" t="str">
        <x:v>https://github.com/openscriptures/morphhb</x:v>
      </x:c>
    </x:row>
    <x:row r="868" ht="28" customHeight="1">
      <x:c r="A868" s="21" t="n">
        <x:v>864</x:v>
      </x:c>
      <x:c r="B868" s="21" t="n">
        <x:f>ROUNDUP(A868/20,0)</x:f>
        <x:v>44</x:v>
      </x:c>
      <x:c r="C868" s="21" t="n">
        <x:f>MOD(A868-1,20)+1</x:f>
        <x:v>4</x:v>
      </x:c>
      <x:c r="D868" s="18" t="str">
        <x:v>חֵץ</x:v>
      </x:c>
      <x:c r="E868" s="19" t="str">
        <x:v>ḥēṣ</x:v>
      </x:c>
      <x:c r="F868" s="16" t="str">
        <x:v>חץ</x:v>
      </x:c>
      <x:c r="G868" s="20" t="str">
        <x:v>properly, a piercer, i.e. an arrow; by implication, a wound; figuratively, (of God) thunderbolt; the shaft of aspear</x:v>
      </x:c>
      <x:c r="H868" s="20" t="str"/>
      <x:c r="I868" s="21" t="str">
        <x:v>自編延伸</x:v>
      </x:c>
      <x:c r="J868" s="21"/>
      <x:c r="K868" s="22" t="n">
        <x:v>45</x:v>
      </x:c>
      <x:c r="L868" s="21" t="str">
        <x:v>H2671</x:v>
      </x:c>
      <x:c r="M868" s="21" t="str">
        <x:v>noun</x:v>
      </x:c>
      <x:c r="N868" s="21" t="str">
        <x:v>否</x:v>
      </x:c>
      <x:c r="O868" s="21" t="str"/>
      <x:c r="P868" s="21" t="str">
        <x:v>lemma_frequency_verified</x:v>
      </x:c>
      <x:c r="Q868" s="21" t="str">
        <x:v>rule_generated_exception_review</x:v>
      </x:c>
      <x:c r="R868" s="20" t="str">
        <x:v>https://github.com/openscriptures/morphhb</x:v>
      </x:c>
    </x:row>
    <x:row r="869" ht="28" customHeight="1">
      <x:c r="A869" s="21" t="n">
        <x:v>865</x:v>
      </x:c>
      <x:c r="B869" s="21" t="n">
        <x:f>ROUNDUP(A869/20,0)</x:f>
        <x:v>44</x:v>
      </x:c>
      <x:c r="C869" s="21" t="n">
        <x:f>MOD(A869-1,20)+1</x:f>
        <x:v>5</x:v>
      </x:c>
      <x:c r="D869" s="18" t="str">
        <x:v>זָמַר</x:v>
      </x:c>
      <x:c r="E869" s="19" t="str">
        <x:v>zāmar</x:v>
      </x:c>
      <x:c r="F869" s="16" t="str">
        <x:v>זמר</x:v>
      </x:c>
      <x:c r="G869" s="20" t="str">
        <x:v>play upon it; to make music, accompanied by the voice; hence to celebrate in song and music</x:v>
      </x:c>
      <x:c r="H869" s="20" t="str"/>
      <x:c r="I869" s="21" t="str">
        <x:v>自編延伸</x:v>
      </x:c>
      <x:c r="J869" s="21"/>
      <x:c r="K869" s="22" t="n">
        <x:v>45</x:v>
      </x:c>
      <x:c r="L869" s="21" t="str">
        <x:v>H2167</x:v>
      </x:c>
      <x:c r="M869" s="21" t="str">
        <x:v>verb</x:v>
      </x:c>
      <x:c r="N869" s="21" t="str">
        <x:v>否</x:v>
      </x:c>
      <x:c r="O869" s="21" t="str"/>
      <x:c r="P869" s="21" t="str">
        <x:v>lemma_frequency_verified</x:v>
      </x:c>
      <x:c r="Q869" s="21" t="str">
        <x:v>rule_generated_exception_review</x:v>
      </x:c>
      <x:c r="R869" s="20" t="str">
        <x:v>https://github.com/openscriptures/morphhb</x:v>
      </x:c>
    </x:row>
    <x:row r="870" ht="28" customHeight="1">
      <x:c r="A870" s="21" t="n">
        <x:v>866</x:v>
      </x:c>
      <x:c r="B870" s="21" t="n">
        <x:f>ROUNDUP(A870/20,0)</x:f>
        <x:v>44</x:v>
      </x:c>
      <x:c r="C870" s="21" t="n">
        <x:f>MOD(A870-1,20)+1</x:f>
        <x:v>6</x:v>
      </x:c>
      <x:c r="D870" s="18" t="str">
        <x:v>דַּמֶּשֶׂק</x:v>
      </x:c>
      <x:c r="E870" s="19" t="str">
        <x:v>dammeśeq</x:v>
      </x:c>
      <x:c r="F870" s="16" t="str">
        <x:v>דמשק</x:v>
      </x:c>
      <x:c r="G870" s="20" t="str">
        <x:v>Damascus, a city of Syria</x:v>
      </x:c>
      <x:c r="H870" s="20" t="str"/>
      <x:c r="I870" s="21" t="str">
        <x:v>自編延伸</x:v>
      </x:c>
      <x:c r="J870" s="21"/>
      <x:c r="K870" s="22" t="n">
        <x:v>45</x:v>
      </x:c>
      <x:c r="L870" s="21" t="str">
        <x:v>H1834</x:v>
      </x:c>
      <x:c r="M870" s="21" t="str">
        <x:v>proper_name</x:v>
      </x:c>
      <x:c r="N870" s="21" t="str">
        <x:v>是</x:v>
      </x:c>
      <x:c r="O870" s="21" t="str">
        <x:v>地名</x:v>
      </x:c>
      <x:c r="P870" s="21" t="str">
        <x:v>lemma_frequency_verified</x:v>
      </x:c>
      <x:c r="Q870" s="21" t="str">
        <x:v>rule_generated_exception_review</x:v>
      </x:c>
      <x:c r="R870" s="20" t="str">
        <x:v>https://github.com/openscriptures/morphhb</x:v>
      </x:c>
    </x:row>
    <x:row r="871" ht="28" customHeight="1">
      <x:c r="A871" s="21" t="n">
        <x:v>867</x:v>
      </x:c>
      <x:c r="B871" s="21" t="n">
        <x:f>ROUNDUP(A871/20,0)</x:f>
        <x:v>44</x:v>
      </x:c>
      <x:c r="C871" s="21" t="n">
        <x:f>MOD(A871-1,20)+1</x:f>
        <x:v>7</x:v>
      </x:c>
      <x:c r="D871" s="18" t="str">
        <x:v>רַחַם</x:v>
      </x:c>
      <x:c r="E871" s="19" t="str">
        <x:v>raḥam</x:v>
      </x:c>
      <x:c r="F871" s="16" t="str">
        <x:v>רחם</x:v>
      </x:c>
      <x:c r="G871" s="20" t="str">
        <x:v>compassion (in the plural); by extension, the womb (as cherishing the fetus); by implication, a maiden</x:v>
      </x:c>
      <x:c r="H871" s="20" t="str"/>
      <x:c r="I871" s="21" t="str">
        <x:v>自編延伸</x:v>
      </x:c>
      <x:c r="J871" s="21"/>
      <x:c r="K871" s="22" t="n">
        <x:v>45</x:v>
      </x:c>
      <x:c r="L871" s="21" t="str">
        <x:v>H7356</x:v>
      </x:c>
      <x:c r="M871" s="21" t="str">
        <x:v>noun</x:v>
      </x:c>
      <x:c r="N871" s="21" t="str">
        <x:v>否</x:v>
      </x:c>
      <x:c r="O871" s="21" t="str"/>
      <x:c r="P871" s="21" t="str">
        <x:v>lemma_frequency_verified</x:v>
      </x:c>
      <x:c r="Q871" s="21" t="str">
        <x:v>rule_generated_exception_review</x:v>
      </x:c>
      <x:c r="R871" s="20" t="str">
        <x:v>https://github.com/openscriptures/morphhb</x:v>
      </x:c>
    </x:row>
    <x:row r="872" ht="28" customHeight="1">
      <x:c r="A872" s="21" t="n">
        <x:v>868</x:v>
      </x:c>
      <x:c r="B872" s="21" t="n">
        <x:f>ROUNDUP(A872/20,0)</x:f>
        <x:v>44</x:v>
      </x:c>
      <x:c r="C872" s="21" t="n">
        <x:f>MOD(A872-1,20)+1</x:f>
        <x:v>8</x:v>
      </x:c>
      <x:c r="D872" s="18" t="str">
        <x:v>אֶשֶׁר</x:v>
      </x:c>
      <x:c r="E872" s="19" t="str">
        <x:v>ʾešer</x:v>
      </x:c>
      <x:c r="F872" s="16" t="str">
        <x:v>אשר</x:v>
      </x:c>
      <x:c r="G872" s="20" t="str">
        <x:v>happiness; only in masculine plural construction as interjection, how happy!</x:v>
      </x:c>
      <x:c r="H872" s="20" t="str"/>
      <x:c r="I872" s="21" t="str">
        <x:v>自編延伸</x:v>
      </x:c>
      <x:c r="J872" s="21"/>
      <x:c r="K872" s="22" t="n">
        <x:v>45</x:v>
      </x:c>
      <x:c r="L872" s="21" t="str">
        <x:v>H835</x:v>
      </x:c>
      <x:c r="M872" s="21" t="str">
        <x:v>noun</x:v>
      </x:c>
      <x:c r="N872" s="21" t="str">
        <x:v>否</x:v>
      </x:c>
      <x:c r="O872" s="21" t="str"/>
      <x:c r="P872" s="21" t="str">
        <x:v>lemma_frequency_verified</x:v>
      </x:c>
      <x:c r="Q872" s="21" t="str">
        <x:v>rule_generated_exception_review</x:v>
      </x:c>
      <x:c r="R872" s="20" t="str">
        <x:v>https://github.com/openscriptures/morphhb</x:v>
      </x:c>
    </x:row>
    <x:row r="873" ht="28" customHeight="1">
      <x:c r="A873" s="21" t="n">
        <x:v>869</x:v>
      </x:c>
      <x:c r="B873" s="21" t="n">
        <x:f>ROUNDUP(A873/20,0)</x:f>
        <x:v>44</x:v>
      </x:c>
      <x:c r="C873" s="21" t="n">
        <x:f>MOD(A873-1,20)+1</x:f>
        <x:v>9</x:v>
      </x:c>
      <x:c r="D873" s="18" t="str">
        <x:v>מָרָה</x:v>
      </x:c>
      <x:c r="E873" s="19" t="str">
        <x:v>mārâ</x:v>
      </x:c>
      <x:c r="F873" s="16" t="str">
        <x:v>מרה</x:v>
      </x:c>
      <x:c r="G873" s="20" t="str">
        <x:v>to be (causatively, make) bitter (or unpleasant); (figuratively) to rebel (or resist; causatively, to provoke)</x:v>
      </x:c>
      <x:c r="H873" s="20" t="str"/>
      <x:c r="I873" s="21" t="str">
        <x:v>自編延伸</x:v>
      </x:c>
      <x:c r="J873" s="21"/>
      <x:c r="K873" s="22" t="n">
        <x:v>45</x:v>
      </x:c>
      <x:c r="L873" s="21" t="str">
        <x:v>H4784</x:v>
      </x:c>
      <x:c r="M873" s="21" t="str">
        <x:v>verb</x:v>
      </x:c>
      <x:c r="N873" s="21" t="str">
        <x:v>否</x:v>
      </x:c>
      <x:c r="O873" s="21" t="str"/>
      <x:c r="P873" s="21" t="str">
        <x:v>lemma_frequency_verified</x:v>
      </x:c>
      <x:c r="Q873" s="21" t="str">
        <x:v>rule_generated_exception_review</x:v>
      </x:c>
      <x:c r="R873" s="20" t="str">
        <x:v>https://github.com/openscriptures/morphhb</x:v>
      </x:c>
    </x:row>
    <x:row r="874" ht="28" customHeight="1">
      <x:c r="A874" s="21" t="n">
        <x:v>870</x:v>
      </x:c>
      <x:c r="B874" s="21" t="n">
        <x:f>ROUNDUP(A874/20,0)</x:f>
        <x:v>44</x:v>
      </x:c>
      <x:c r="C874" s="21" t="n">
        <x:f>MOD(A874-1,20)+1</x:f>
        <x:v>10</x:v>
      </x:c>
      <x:c r="D874" s="18" t="str">
        <x:v>אוּלַי</x:v>
      </x:c>
      <x:c r="E874" s="19" t="str">
        <x:v>ʾûlay</x:v>
      </x:c>
      <x:c r="F874" s="16" t="str">
        <x:v>אולי</x:v>
      </x:c>
      <x:c r="G874" s="20" t="str">
        <x:v>if not; hence perhaps</x:v>
      </x:c>
      <x:c r="H874" s="20" t="str"/>
      <x:c r="I874" s="21" t="str">
        <x:v>自編延伸</x:v>
      </x:c>
      <x:c r="J874" s="21"/>
      <x:c r="K874" s="22" t="n">
        <x:v>45</x:v>
      </x:c>
      <x:c r="L874" s="21" t="str">
        <x:v>H194</x:v>
      </x:c>
      <x:c r="M874" s="21" t="str">
        <x:v>adverb</x:v>
      </x:c>
      <x:c r="N874" s="21" t="str">
        <x:v>否</x:v>
      </x:c>
      <x:c r="O874" s="21" t="str"/>
      <x:c r="P874" s="21" t="str">
        <x:v>lemma_frequency_verified</x:v>
      </x:c>
      <x:c r="Q874" s="21" t="str">
        <x:v>rule_generated_exception_review</x:v>
      </x:c>
      <x:c r="R874" s="20" t="str">
        <x:v>https://github.com/openscriptures/morphhb</x:v>
      </x:c>
    </x:row>
    <x:row r="875" ht="28" customHeight="1">
      <x:c r="A875" s="21" t="n">
        <x:v>871</x:v>
      </x:c>
      <x:c r="B875" s="21" t="n">
        <x:f>ROUNDUP(A875/20,0)</x:f>
        <x:v>44</x:v>
      </x:c>
      <x:c r="C875" s="21" t="n">
        <x:f>MOD(A875-1,20)+1</x:f>
        <x:v>11</x:v>
      </x:c>
      <x:c r="D875" s="18" t="str">
        <x:v>שִׁמְעוֹן</x:v>
      </x:c>
      <x:c r="E875" s="19" t="str">
        <x:v>šimʿôn</x:v>
      </x:c>
      <x:c r="F875" s="16" t="str">
        <x:v>שמעון</x:v>
      </x:c>
      <x:c r="G875" s="20" t="str">
        <x:v>Shimon, one of Jacob's sons, also the tribe descended from him</x:v>
      </x:c>
      <x:c r="H875" s="20" t="str"/>
      <x:c r="I875" s="21" t="str">
        <x:v>自編延伸</x:v>
      </x:c>
      <x:c r="J875" s="21"/>
      <x:c r="K875" s="22" t="n">
        <x:v>44</x:v>
      </x:c>
      <x:c r="L875" s="21" t="str">
        <x:v>H8095</x:v>
      </x:c>
      <x:c r="M875" s="21" t="str">
        <x:v>proper_name</x:v>
      </x:c>
      <x:c r="N875" s="21" t="str">
        <x:v>是</x:v>
      </x:c>
      <x:c r="O875" s="21" t="str">
        <x:v>人名、民族／國族</x:v>
      </x:c>
      <x:c r="P875" s="21" t="str">
        <x:v>lemma_frequency_verified</x:v>
      </x:c>
      <x:c r="Q875" s="21" t="str">
        <x:v>rule_generated_exception_review</x:v>
      </x:c>
      <x:c r="R875" s="20" t="str">
        <x:v>https://github.com/openscriptures/morphhb</x:v>
      </x:c>
    </x:row>
    <x:row r="876" ht="28" customHeight="1">
      <x:c r="A876" s="21" t="n">
        <x:v>872</x:v>
      </x:c>
      <x:c r="B876" s="21" t="n">
        <x:f>ROUNDUP(A876/20,0)</x:f>
        <x:v>44</x:v>
      </x:c>
      <x:c r="C876" s="21" t="n">
        <x:f>MOD(A876-1,20)+1</x:f>
        <x:v>12</x:v>
      </x:c>
      <x:c r="D876" s="18" t="str">
        <x:v>יוֹנָתָן</x:v>
      </x:c>
      <x:c r="E876" s="19" t="str">
        <x:v>yônāṯān</x:v>
      </x:c>
      <x:c r="F876" s="16" t="str">
        <x:v>יונתן</x:v>
      </x:c>
      <x:c r="G876" s="20" t="str">
        <x:v>Jonathan, the name of ten Israelites</x:v>
      </x:c>
      <x:c r="H876" s="20" t="str"/>
      <x:c r="I876" s="21" t="str">
        <x:v>自編延伸</x:v>
      </x:c>
      <x:c r="J876" s="21"/>
      <x:c r="K876" s="22" t="n">
        <x:v>44</x:v>
      </x:c>
      <x:c r="L876" s="21" t="str">
        <x:v>H3129</x:v>
      </x:c>
      <x:c r="M876" s="21" t="str">
        <x:v>proper_name</x:v>
      </x:c>
      <x:c r="N876" s="21" t="str">
        <x:v>是</x:v>
      </x:c>
      <x:c r="O876" s="21" t="str">
        <x:v>人名</x:v>
      </x:c>
      <x:c r="P876" s="21" t="str">
        <x:v>lemma_frequency_verified</x:v>
      </x:c>
      <x:c r="Q876" s="21" t="str">
        <x:v>rule_generated_exception_review</x:v>
      </x:c>
      <x:c r="R876" s="20" t="str">
        <x:v>https://github.com/openscriptures/morphhb</x:v>
      </x:c>
    </x:row>
    <x:row r="877" ht="28" customHeight="1">
      <x:c r="A877" s="21" t="n">
        <x:v>873</x:v>
      </x:c>
      <x:c r="B877" s="21" t="n">
        <x:f>ROUNDUP(A877/20,0)</x:f>
        <x:v>44</x:v>
      </x:c>
      <x:c r="C877" s="21" t="n">
        <x:f>MOD(A877-1,20)+1</x:f>
        <x:v>13</x:v>
      </x:c>
      <x:c r="D877" s="18" t="str">
        <x:v>שִׁמְעִי</x:v>
      </x:c>
      <x:c r="E877" s="19" t="str">
        <x:v>šimʿî</x:v>
      </x:c>
      <x:c r="F877" s="16" t="str">
        <x:v>שמעי</x:v>
      </x:c>
      <x:c r="G877" s="20" t="str">
        <x:v>Shimi, the name of twenty Israelites</x:v>
      </x:c>
      <x:c r="H877" s="20" t="str"/>
      <x:c r="I877" s="21" t="str">
        <x:v>自編延伸</x:v>
      </x:c>
      <x:c r="J877" s="21"/>
      <x:c r="K877" s="22" t="n">
        <x:v>44</x:v>
      </x:c>
      <x:c r="L877" s="21" t="str">
        <x:v>H8096</x:v>
      </x:c>
      <x:c r="M877" s="21" t="str">
        <x:v>proper_name</x:v>
      </x:c>
      <x:c r="N877" s="21" t="str">
        <x:v>是</x:v>
      </x:c>
      <x:c r="O877" s="21" t="str">
        <x:v>人名</x:v>
      </x:c>
      <x:c r="P877" s="21" t="str">
        <x:v>lemma_frequency_verified</x:v>
      </x:c>
      <x:c r="Q877" s="21" t="str">
        <x:v>rule_generated_exception_review</x:v>
      </x:c>
      <x:c r="R877" s="20" t="str">
        <x:v>https://github.com/openscriptures/morphhb</x:v>
      </x:c>
    </x:row>
    <x:row r="878" ht="28" customHeight="1">
      <x:c r="A878" s="21" t="n">
        <x:v>874</x:v>
      </x:c>
      <x:c r="B878" s="21" t="n">
        <x:f>ROUNDUP(A878/20,0)</x:f>
        <x:v>44</x:v>
      </x:c>
      <x:c r="C878" s="21" t="n">
        <x:f>MOD(A878-1,20)+1</x:f>
        <x:v>14</x:v>
      </x:c>
      <x:c r="D878" s="18" t="str">
        <x:v>מוֹשָׁב</x:v>
      </x:c>
      <x:c r="E878" s="19" t="str">
        <x:v>môšāḇ</x:v>
      </x:c>
      <x:c r="F878" s="16" t="str">
        <x:v>מושב</x:v>
      </x:c>
      <x:c r="G878" s="20" t="str">
        <x:v>a seat; figuratively, a site; abstractly, a session; by extension an abode (the place or the time); by implication, population</x:v>
      </x:c>
      <x:c r="H878" s="20" t="str"/>
      <x:c r="I878" s="21" t="str">
        <x:v>自編延伸</x:v>
      </x:c>
      <x:c r="J878" s="21"/>
      <x:c r="K878" s="22" t="n">
        <x:v>44</x:v>
      </x:c>
      <x:c r="L878" s="21" t="str">
        <x:v>H4186</x:v>
      </x:c>
      <x:c r="M878" s="21" t="str">
        <x:v>noun</x:v>
      </x:c>
      <x:c r="N878" s="21" t="str">
        <x:v>否</x:v>
      </x:c>
      <x:c r="O878" s="21" t="str"/>
      <x:c r="P878" s="21" t="str">
        <x:v>lemma_frequency_verified</x:v>
      </x:c>
      <x:c r="Q878" s="21" t="str">
        <x:v>rule_generated_exception_review</x:v>
      </x:c>
      <x:c r="R878" s="20" t="str">
        <x:v>https://github.com/openscriptures/morphhb</x:v>
      </x:c>
    </x:row>
    <x:row r="879" ht="28" customHeight="1">
      <x:c r="A879" s="21" t="n">
        <x:v>875</x:v>
      </x:c>
      <x:c r="B879" s="21" t="n">
        <x:f>ROUNDUP(A879/20,0)</x:f>
        <x:v>44</x:v>
      </x:c>
      <x:c r="C879" s="21" t="n">
        <x:f>MOD(A879-1,20)+1</x:f>
        <x:v>15</x:v>
      </x:c>
      <x:c r="D879" s="18" t="str">
        <x:v>נָגִיד</x:v>
      </x:c>
      <x:c r="E879" s="19" t="str">
        <x:v>nāg̅îḏ</x:v>
      </x:c>
      <x:c r="F879" s="16" t="str">
        <x:v>נגיד</x:v>
      </x:c>
      <x:c r="G879" s="20" t="str">
        <x:v>a commander (as occupying the front), civil, military or religious; generally (abstractly, plural), honorable themes</x:v>
      </x:c>
      <x:c r="H879" s="20" t="str"/>
      <x:c r="I879" s="21" t="str">
        <x:v>自編延伸</x:v>
      </x:c>
      <x:c r="J879" s="21"/>
      <x:c r="K879" s="22" t="n">
        <x:v>44</x:v>
      </x:c>
      <x:c r="L879" s="21" t="str">
        <x:v>H5057</x:v>
      </x:c>
      <x:c r="M879" s="21" t="str">
        <x:v>noun</x:v>
      </x:c>
      <x:c r="N879" s="21" t="str">
        <x:v>否</x:v>
      </x:c>
      <x:c r="O879" s="21" t="str"/>
      <x:c r="P879" s="21" t="str">
        <x:v>lemma_frequency_verified</x:v>
      </x:c>
      <x:c r="Q879" s="21" t="str">
        <x:v>rule_generated_exception_review</x:v>
      </x:c>
      <x:c r="R879" s="20" t="str">
        <x:v>https://github.com/openscriptures/morphhb</x:v>
      </x:c>
    </x:row>
    <x:row r="880" ht="28" customHeight="1">
      <x:c r="A880" s="21" t="n">
        <x:v>876</x:v>
      </x:c>
      <x:c r="B880" s="21" t="n">
        <x:f>ROUNDUP(A880/20,0)</x:f>
        <x:v>44</x:v>
      </x:c>
      <x:c r="C880" s="21" t="n">
        <x:f>MOD(A880-1,20)+1</x:f>
        <x:v>16</x:v>
      </x:c>
      <x:c r="D880" s="18" t="str">
        <x:v>חָלַץ</x:v>
      </x:c>
      <x:c r="E880" s="19" t="str">
        <x:v>ḥālaṣ</x:v>
      </x:c>
      <x:c r="F880" s="16" t="str">
        <x:v>חלץ</x:v>
      </x:c>
      <x:c r="G880" s="20" t="str">
        <x:v>to pull off; hence (intensively) to strip, (reflex.) to depart; by implication, to deliver, equip (for fight); present, strengthen</x:v>
      </x:c>
      <x:c r="H880" s="20" t="str"/>
      <x:c r="I880" s="21" t="str">
        <x:v>自編延伸</x:v>
      </x:c>
      <x:c r="J880" s="21"/>
      <x:c r="K880" s="22" t="n">
        <x:v>44</x:v>
      </x:c>
      <x:c r="L880" s="21" t="str">
        <x:v>H2502</x:v>
      </x:c>
      <x:c r="M880" s="21" t="str">
        <x:v>verb</x:v>
      </x:c>
      <x:c r="N880" s="21" t="str">
        <x:v>否</x:v>
      </x:c>
      <x:c r="O880" s="21" t="str"/>
      <x:c r="P880" s="21" t="str">
        <x:v>lemma_frequency_verified</x:v>
      </x:c>
      <x:c r="Q880" s="21" t="str">
        <x:v>rule_generated_exception_review</x:v>
      </x:c>
      <x:c r="R880" s="20" t="str">
        <x:v>https://github.com/openscriptures/morphhb</x:v>
      </x:c>
    </x:row>
    <x:row r="881" ht="28" customHeight="1">
      <x:c r="A881" s="21" t="n">
        <x:v>877</x:v>
      </x:c>
      <x:c r="B881" s="21" t="n">
        <x:f>ROUNDUP(A881/20,0)</x:f>
        <x:v>44</x:v>
      </x:c>
      <x:c r="C881" s="21" t="n">
        <x:f>MOD(A881-1,20)+1</x:f>
        <x:v>17</x:v>
      </x:c>
      <x:c r="D881" s="18" t="str">
        <x:v>מֶרְכָּבָה</x:v>
      </x:c>
      <x:c r="E881" s="19" t="str">
        <x:v>merkāḇâ</x:v>
      </x:c>
      <x:c r="F881" s="16" t="str">
        <x:v>מרכבה</x:v>
      </x:c>
      <x:c r="G881" s="20" t="str">
        <x:v>a chariot</x:v>
      </x:c>
      <x:c r="H881" s="20" t="str"/>
      <x:c r="I881" s="21" t="str">
        <x:v>自編延伸</x:v>
      </x:c>
      <x:c r="J881" s="21"/>
      <x:c r="K881" s="22" t="n">
        <x:v>44</x:v>
      </x:c>
      <x:c r="L881" s="21" t="str">
        <x:v>H4818</x:v>
      </x:c>
      <x:c r="M881" s="21" t="str">
        <x:v>noun</x:v>
      </x:c>
      <x:c r="N881" s="21" t="str">
        <x:v>否</x:v>
      </x:c>
      <x:c r="O881" s="21" t="str"/>
      <x:c r="P881" s="21" t="str">
        <x:v>lemma_frequency_verified</x:v>
      </x:c>
      <x:c r="Q881" s="21" t="str">
        <x:v>rule_generated_exception_review</x:v>
      </x:c>
      <x:c r="R881" s="20" t="str">
        <x:v>https://github.com/openscriptures/morphhb</x:v>
      </x:c>
    </x:row>
    <x:row r="882" ht="28" customHeight="1">
      <x:c r="A882" s="21" t="n">
        <x:v>878</x:v>
      </x:c>
      <x:c r="B882" s="21" t="n">
        <x:f>ROUNDUP(A882/20,0)</x:f>
        <x:v>44</x:v>
      </x:c>
      <x:c r="C882" s="21" t="n">
        <x:f>MOD(A882-1,20)+1</x:f>
        <x:v>18</x:v>
      </x:c>
      <x:c r="D882" s="18" t="str">
        <x:v>נָקָה</x:v>
      </x:c>
      <x:c r="E882" s="19" t="str">
        <x:v>nāqâ</x:v>
      </x:c>
      <x:c r="F882" s="16" t="str">
        <x:v>נקה</x:v>
      </x:c>
      <x:c r="G882" s="20" t="str">
        <x:v>to be (or make) clean (literally or figuratively); by implication (in an adverse sense) to be bare, i.e. extirpated</x:v>
      </x:c>
      <x:c r="H882" s="20" t="str"/>
      <x:c r="I882" s="21" t="str">
        <x:v>自編延伸</x:v>
      </x:c>
      <x:c r="J882" s="21"/>
      <x:c r="K882" s="22" t="n">
        <x:v>44</x:v>
      </x:c>
      <x:c r="L882" s="21" t="str">
        <x:v>H5352</x:v>
      </x:c>
      <x:c r="M882" s="21" t="str">
        <x:v>verb</x:v>
      </x:c>
      <x:c r="N882" s="21" t="str">
        <x:v>否</x:v>
      </x:c>
      <x:c r="O882" s="21" t="str"/>
      <x:c r="P882" s="21" t="str">
        <x:v>lemma_frequency_verified</x:v>
      </x:c>
      <x:c r="Q882" s="21" t="str">
        <x:v>rule_generated_exception_review</x:v>
      </x:c>
      <x:c r="R882" s="20" t="str">
        <x:v>https://github.com/openscriptures/morphhb</x:v>
      </x:c>
    </x:row>
    <x:row r="883" ht="28" customHeight="1">
      <x:c r="A883" s="21" t="n">
        <x:v>879</x:v>
      </x:c>
      <x:c r="B883" s="21" t="n">
        <x:f>ROUNDUP(A883/20,0)</x:f>
        <x:v>44</x:v>
      </x:c>
      <x:c r="C883" s="21" t="n">
        <x:f>MOD(A883-1,20)+1</x:f>
        <x:v>19</x:v>
      </x:c>
      <x:c r="D883" s="18" t="str">
        <x:v>עוּד</x:v>
      </x:c>
      <x:c r="E883" s="19" t="str">
        <x:v>ʿûḏ</x:v>
      </x:c>
      <x:c r="F883" s="16" t="str">
        <x:v>עוד</x:v>
      </x:c>
      <x:c r="G883" s="20" t="str">
        <x:v>to duplicate or repeat; by implication, to protest, testify (as by reiteration); intensively, to encompass, restore (as a sort of reduplication)</x:v>
      </x:c>
      <x:c r="H883" s="20" t="str"/>
      <x:c r="I883" s="21" t="str">
        <x:v>自編延伸</x:v>
      </x:c>
      <x:c r="J883" s="21"/>
      <x:c r="K883" s="22" t="n">
        <x:v>44</x:v>
      </x:c>
      <x:c r="L883" s="21" t="str">
        <x:v>H5749</x:v>
      </x:c>
      <x:c r="M883" s="21" t="str">
        <x:v>verb</x:v>
      </x:c>
      <x:c r="N883" s="21" t="str">
        <x:v>否</x:v>
      </x:c>
      <x:c r="O883" s="21" t="str"/>
      <x:c r="P883" s="21" t="str">
        <x:v>lemma_frequency_verified</x:v>
      </x:c>
      <x:c r="Q883" s="21" t="str">
        <x:v>rule_generated_exception_review</x:v>
      </x:c>
      <x:c r="R883" s="20" t="str">
        <x:v>https://github.com/openscriptures/morphhb</x:v>
      </x:c>
    </x:row>
    <x:row r="884" ht="28" customHeight="1">
      <x:c r="A884" s="21" t="n">
        <x:v>880</x:v>
      </x:c>
      <x:c r="B884" s="21" t="n">
        <x:f>ROUNDUP(A884/20,0)</x:f>
        <x:v>44</x:v>
      </x:c>
      <x:c r="C884" s="21" t="n">
        <x:f>MOD(A884-1,20)+1</x:f>
        <x:v>20</x:v>
      </x:c>
      <x:c r="D884" s="18" t="str">
        <x:v>קָשַׁר</x:v>
      </x:c>
      <x:c r="E884" s="19" t="str">
        <x:v>qāšar</x:v>
      </x:c>
      <x:c r="F884" s="16" t="str">
        <x:v>קשר</x:v>
      </x:c>
      <x:c r="G884" s="20" t="str">
        <x:v>to tie, physically (gird, confine, compact) or mentally (in love, league)</x:v>
      </x:c>
      <x:c r="H884" s="20" t="str"/>
      <x:c r="I884" s="21" t="str">
        <x:v>自編延伸</x:v>
      </x:c>
      <x:c r="J884" s="21"/>
      <x:c r="K884" s="22" t="n">
        <x:v>44</x:v>
      </x:c>
      <x:c r="L884" s="21" t="str">
        <x:v>H7194</x:v>
      </x:c>
      <x:c r="M884" s="21" t="str">
        <x:v>verb</x:v>
      </x:c>
      <x:c r="N884" s="21" t="str">
        <x:v>否</x:v>
      </x:c>
      <x:c r="O884" s="21" t="str"/>
      <x:c r="P884" s="21" t="str">
        <x:v>lemma_frequency_verified</x:v>
      </x:c>
      <x:c r="Q884" s="21" t="str">
        <x:v>rule_generated_exception_review</x:v>
      </x:c>
      <x:c r="R884" s="20" t="str">
        <x:v>https://github.com/openscriptures/morphhb</x:v>
      </x:c>
    </x:row>
    <x:row r="885" ht="28" customHeight="1">
      <x:c r="A885" s="21" t="n">
        <x:v>881</x:v>
      </x:c>
      <x:c r="B885" s="21" t="n">
        <x:f>ROUNDUP(A885/20,0)</x:f>
        <x:v>45</x:v>
      </x:c>
      <x:c r="C885" s="21" t="n">
        <x:f>MOD(A885-1,20)+1</x:f>
        <x:v>1</x:v>
      </x:c>
      <x:c r="D885" s="18" t="str">
        <x:v>חָגַר</x:v>
      </x:c>
      <x:c r="E885" s="19" t="str">
        <x:v>ḥāg̅ar</x:v>
      </x:c>
      <x:c r="F885" s="16" t="str">
        <x:v>חגר</x:v>
      </x:c>
      <x:c r="G885" s="20" t="str">
        <x:v>to gird on (as a belt, armor, etc.)</x:v>
      </x:c>
      <x:c r="H885" s="20" t="str"/>
      <x:c r="I885" s="21" t="str">
        <x:v>自編延伸</x:v>
      </x:c>
      <x:c r="J885" s="21"/>
      <x:c r="K885" s="22" t="n">
        <x:v>44</x:v>
      </x:c>
      <x:c r="L885" s="21" t="str">
        <x:v>H2296</x:v>
      </x:c>
      <x:c r="M885" s="21" t="str">
        <x:v>verb</x:v>
      </x:c>
      <x:c r="N885" s="21" t="str">
        <x:v>否</x:v>
      </x:c>
      <x:c r="O885" s="21" t="str"/>
      <x:c r="P885" s="21" t="str">
        <x:v>lemma_frequency_verified</x:v>
      </x:c>
      <x:c r="Q885" s="21" t="str">
        <x:v>rule_generated_exception_review</x:v>
      </x:c>
      <x:c r="R885" s="20" t="str">
        <x:v>https://github.com/openscriptures/morphhb</x:v>
      </x:c>
    </x:row>
    <x:row r="886" ht="28" customHeight="1">
      <x:c r="A886" s="21" t="n">
        <x:v>882</x:v>
      </x:c>
      <x:c r="B886" s="21" t="n">
        <x:f>ROUNDUP(A886/20,0)</x:f>
        <x:v>45</x:v>
      </x:c>
      <x:c r="C886" s="21" t="n">
        <x:f>MOD(A886-1,20)+1</x:f>
        <x:v>2</x:v>
      </x:c>
      <x:c r="D886" s="18" t="str">
        <x:v>אֶפֶס</x:v>
      </x:c>
      <x:c r="E886" s="19" t="str">
        <x:v>ʾep̄es</x:v>
      </x:c>
      <x:c r="F886" s="16" t="str">
        <x:v>אפס</x:v>
      </x:c>
      <x:c r="G886" s="20" t="str">
        <x:v>cessation, i.e. an end (especially of the earth); often used adverb, no further; also the ankle (in the dual), as being the extremity of the leg or foot</x:v>
      </x:c>
      <x:c r="H886" s="20" t="str"/>
      <x:c r="I886" s="21" t="str">
        <x:v>自編延伸</x:v>
      </x:c>
      <x:c r="J886" s="21"/>
      <x:c r="K886" s="22" t="n">
        <x:v>44</x:v>
      </x:c>
      <x:c r="L886" s="21" t="str">
        <x:v>H657</x:v>
      </x:c>
      <x:c r="M886" s="21" t="str">
        <x:v>noun</x:v>
      </x:c>
      <x:c r="N886" s="21" t="str">
        <x:v>否</x:v>
      </x:c>
      <x:c r="O886" s="21" t="str"/>
      <x:c r="P886" s="21" t="str">
        <x:v>lemma_frequency_verified</x:v>
      </x:c>
      <x:c r="Q886" s="21" t="str">
        <x:v>rule_generated_exception_review</x:v>
      </x:c>
      <x:c r="R886" s="20" t="str">
        <x:v>https://github.com/openscriptures/morphhb</x:v>
      </x:c>
    </x:row>
    <x:row r="887" ht="28" customHeight="1">
      <x:c r="A887" s="21" t="n">
        <x:v>883</x:v>
      </x:c>
      <x:c r="B887" s="21" t="n">
        <x:f>ROUNDUP(A887/20,0)</x:f>
        <x:v>45</x:v>
      </x:c>
      <x:c r="C887" s="21" t="n">
        <x:f>MOD(A887-1,20)+1</x:f>
        <x:v>3</x:v>
      </x:c>
      <x:c r="D887" s="18" t="str">
        <x:v>רוּעַ</x:v>
      </x:c>
      <x:c r="E887" s="19" t="str">
        <x:v>rûaʿ</x:v>
      </x:c>
      <x:c r="F887" s="16" t="str">
        <x:v>רוע</x:v>
      </x:c>
      <x:c r="G887" s="20" t="str">
        <x:v>to mar (especially by breaking); figuratively, to split the ears (with sound), i.e. shout (for alarm or joy)</x:v>
      </x:c>
      <x:c r="H887" s="20" t="str"/>
      <x:c r="I887" s="21" t="str">
        <x:v>自編延伸</x:v>
      </x:c>
      <x:c r="J887" s="21"/>
      <x:c r="K887" s="22" t="n">
        <x:v>44</x:v>
      </x:c>
      <x:c r="L887" s="21" t="str">
        <x:v>H7321</x:v>
      </x:c>
      <x:c r="M887" s="21" t="str">
        <x:v>verb</x:v>
      </x:c>
      <x:c r="N887" s="21" t="str">
        <x:v>否</x:v>
      </x:c>
      <x:c r="O887" s="21" t="str"/>
      <x:c r="P887" s="21" t="str">
        <x:v>lemma_frequency_verified</x:v>
      </x:c>
      <x:c r="Q887" s="21" t="str">
        <x:v>rule_generated_exception_review</x:v>
      </x:c>
      <x:c r="R887" s="20" t="str">
        <x:v>https://github.com/openscriptures/morphhb</x:v>
      </x:c>
    </x:row>
    <x:row r="888" ht="28" customHeight="1">
      <x:c r="A888" s="21" t="n">
        <x:v>884</x:v>
      </x:c>
      <x:c r="B888" s="21" t="n">
        <x:f>ROUNDUP(A888/20,0)</x:f>
        <x:v>45</x:v>
      </x:c>
      <x:c r="C888" s="21" t="n">
        <x:f>MOD(A888-1,20)+1</x:f>
        <x:v>4</x:v>
      </x:c>
      <x:c r="D888" s="18" t="str">
        <x:v>חָלָב</x:v>
      </x:c>
      <x:c r="E888" s="19" t="str">
        <x:v>ḥālāḇ</x:v>
      </x:c>
      <x:c r="F888" s="16" t="str">
        <x:v>חלב</x:v>
      </x:c>
      <x:c r="G888" s="20" t="str">
        <x:v>milk (as the richness of kine)</x:v>
      </x:c>
      <x:c r="H888" s="20" t="str"/>
      <x:c r="I888" s="21" t="str">
        <x:v>自編延伸</x:v>
      </x:c>
      <x:c r="J888" s="21"/>
      <x:c r="K888" s="22" t="n">
        <x:v>44</x:v>
      </x:c>
      <x:c r="L888" s="21" t="str">
        <x:v>H2461</x:v>
      </x:c>
      <x:c r="M888" s="21" t="str">
        <x:v>noun</x:v>
      </x:c>
      <x:c r="N888" s="21" t="str">
        <x:v>否</x:v>
      </x:c>
      <x:c r="O888" s="21" t="str"/>
      <x:c r="P888" s="21" t="str">
        <x:v>lemma_frequency_verified</x:v>
      </x:c>
      <x:c r="Q888" s="21" t="str">
        <x:v>rule_generated_exception_review</x:v>
      </x:c>
      <x:c r="R888" s="20" t="str">
        <x:v>https://github.com/openscriptures/morphhb</x:v>
      </x:c>
    </x:row>
    <x:row r="889" ht="28" customHeight="1">
      <x:c r="A889" s="21" t="n">
        <x:v>885</x:v>
      </x:c>
      <x:c r="B889" s="21" t="n">
        <x:f>ROUNDUP(A889/20,0)</x:f>
        <x:v>45</x:v>
      </x:c>
      <x:c r="C889" s="21" t="n">
        <x:f>MOD(A889-1,20)+1</x:f>
        <x:v>5</x:v>
      </x:c>
      <x:c r="D889" s="18" t="str">
        <x:v>עִמָּד</x:v>
      </x:c>
      <x:c r="E889" s="19" t="str">
        <x:v>ʿimmāḏ</x:v>
      </x:c>
      <x:c r="F889" s="16" t="str">
        <x:v>עמד</x:v>
      </x:c>
      <x:c r="G889" s="20" t="str">
        <x:v>along with</x:v>
      </x:c>
      <x:c r="H889" s="20" t="str"/>
      <x:c r="I889" s="21" t="str">
        <x:v>自編延伸</x:v>
      </x:c>
      <x:c r="J889" s="21"/>
      <x:c r="K889" s="22" t="n">
        <x:v>44</x:v>
      </x:c>
      <x:c r="L889" s="21" t="str">
        <x:v>H5978</x:v>
      </x:c>
      <x:c r="M889" s="21" t="str">
        <x:v>preposition</x:v>
      </x:c>
      <x:c r="N889" s="21" t="str">
        <x:v>否</x:v>
      </x:c>
      <x:c r="O889" s="21" t="str"/>
      <x:c r="P889" s="21" t="str">
        <x:v>lemma_frequency_verified</x:v>
      </x:c>
      <x:c r="Q889" s="21" t="str">
        <x:v>rule_generated_exception_review</x:v>
      </x:c>
      <x:c r="R889" s="20" t="str">
        <x:v>https://github.com/openscriptures/morphhb</x:v>
      </x:c>
    </x:row>
    <x:row r="890" ht="28" customHeight="1">
      <x:c r="A890" s="21" t="n">
        <x:v>886</x:v>
      </x:c>
      <x:c r="B890" s="21" t="n">
        <x:f>ROUNDUP(A890/20,0)</x:f>
        <x:v>45</x:v>
      </x:c>
      <x:c r="C890" s="21" t="n">
        <x:f>MOD(A890-1,20)+1</x:f>
        <x:v>6</x:v>
      </x:c>
      <x:c r="D890" s="18" t="str">
        <x:v>שֶׁבֶר</x:v>
      </x:c>
      <x:c r="E890" s="19" t="str">
        <x:v>šeḇer</x:v>
      </x:c>
      <x:c r="F890" s="16" t="str">
        <x:v>שבר</x:v>
      </x:c>
      <x:c r="G890" s="20" t="str">
        <x:v>a fracture, figuratively, ruin; specifically, a solution (of a dream)</x:v>
      </x:c>
      <x:c r="H890" s="20" t="str"/>
      <x:c r="I890" s="21" t="str">
        <x:v>自編延伸</x:v>
      </x:c>
      <x:c r="J890" s="21"/>
      <x:c r="K890" s="22" t="n">
        <x:v>44</x:v>
      </x:c>
      <x:c r="L890" s="21" t="str">
        <x:v>H7667</x:v>
      </x:c>
      <x:c r="M890" s="21" t="str">
        <x:v>noun</x:v>
      </x:c>
      <x:c r="N890" s="21" t="str">
        <x:v>否</x:v>
      </x:c>
      <x:c r="O890" s="21" t="str"/>
      <x:c r="P890" s="21" t="str">
        <x:v>lemma_frequency_verified</x:v>
      </x:c>
      <x:c r="Q890" s="21" t="str">
        <x:v>rule_generated_exception_review</x:v>
      </x:c>
      <x:c r="R890" s="20" t="str">
        <x:v>https://github.com/openscriptures/morphhb</x:v>
      </x:c>
    </x:row>
    <x:row r="891" ht="28" customHeight="1">
      <x:c r="A891" s="21" t="n">
        <x:v>887</x:v>
      </x:c>
      <x:c r="B891" s="21" t="n">
        <x:f>ROUNDUP(A891/20,0)</x:f>
        <x:v>45</x:v>
      </x:c>
      <x:c r="C891" s="21" t="n">
        <x:f>MOD(A891-1,20)+1</x:f>
        <x:v>7</x:v>
      </x:c>
      <x:c r="D891" s="18" t="str">
        <x:v>אֹכֶל</x:v>
      </x:c>
      <x:c r="E891" s="19" t="str">
        <x:v>ʾōḵel</x:v>
      </x:c>
      <x:c r="F891" s="16" t="str">
        <x:v>אכל</x:v>
      </x:c>
      <x:c r="G891" s="20" t="str">
        <x:v>food</x:v>
      </x:c>
      <x:c r="H891" s="20" t="str"/>
      <x:c r="I891" s="21" t="str">
        <x:v>自編延伸</x:v>
      </x:c>
      <x:c r="J891" s="21"/>
      <x:c r="K891" s="22" t="n">
        <x:v>44</x:v>
      </x:c>
      <x:c r="L891" s="21" t="str">
        <x:v>H400</x:v>
      </x:c>
      <x:c r="M891" s="21" t="str">
        <x:v>noun</x:v>
      </x:c>
      <x:c r="N891" s="21" t="str">
        <x:v>否</x:v>
      </x:c>
      <x:c r="O891" s="21" t="str"/>
      <x:c r="P891" s="21" t="str">
        <x:v>lemma_frequency_verified</x:v>
      </x:c>
      <x:c r="Q891" s="21" t="str">
        <x:v>rule_generated_exception_review</x:v>
      </x:c>
      <x:c r="R891" s="20" t="str">
        <x:v>https://github.com/openscriptures/morphhb</x:v>
      </x:c>
    </x:row>
    <x:row r="892" ht="28" customHeight="1">
      <x:c r="A892" s="21" t="n">
        <x:v>888</x:v>
      </x:c>
      <x:c r="B892" s="21" t="n">
        <x:f>ROUNDUP(A892/20,0)</x:f>
        <x:v>45</x:v>
      </x:c>
      <x:c r="C892" s="21" t="n">
        <x:f>MOD(A892-1,20)+1</x:f>
        <x:v>8</x:v>
      </x:c>
      <x:c r="D892" s="18" t="str">
        <x:v>אָשֵׁר</x:v>
      </x:c>
      <x:c r="E892" s="19" t="str">
        <x:v>ʾāšēr</x:v>
      </x:c>
      <x:c r="F892" s="16" t="str">
        <x:v>אשר</x:v>
      </x:c>
      <x:c r="G892" s="20" t="str">
        <x:v>happy; Asher, a son of Jacob, and the tribe descended from him, with its territory; also a place in Palestine</x:v>
      </x:c>
      <x:c r="H892" s="20" t="str"/>
      <x:c r="I892" s="21" t="str">
        <x:v>自編延伸</x:v>
      </x:c>
      <x:c r="J892" s="21"/>
      <x:c r="K892" s="22" t="n">
        <x:v>43</x:v>
      </x:c>
      <x:c r="L892" s="21" t="str">
        <x:v>H836</x:v>
      </x:c>
      <x:c r="M892" s="21" t="str">
        <x:v>proper_name</x:v>
      </x:c>
      <x:c r="N892" s="21" t="str">
        <x:v>是</x:v>
      </x:c>
      <x:c r="O892" s="21" t="str">
        <x:v>地名、民族／國族、人名</x:v>
      </x:c>
      <x:c r="P892" s="21" t="str">
        <x:v>lemma_frequency_verified</x:v>
      </x:c>
      <x:c r="Q892" s="21" t="str">
        <x:v>rule_generated_exception_review</x:v>
      </x:c>
      <x:c r="R892" s="20" t="str">
        <x:v>https://github.com/openscriptures/morphhb</x:v>
      </x:c>
    </x:row>
    <x:row r="893" ht="28" customHeight="1">
      <x:c r="A893" s="21" t="n">
        <x:v>889</x:v>
      </x:c>
      <x:c r="B893" s="21" t="n">
        <x:f>ROUNDUP(A893/20,0)</x:f>
        <x:v>45</x:v>
      </x:c>
      <x:c r="C893" s="21" t="n">
        <x:f>MOD(A893-1,20)+1</x:f>
        <x:v>9</x:v>
      </x:c>
      <x:c r="D893" s="18" t="str">
        <x:v>הָרָה</x:v>
      </x:c>
      <x:c r="E893" s="19" t="str">
        <x:v>hārâ</x:v>
      </x:c>
      <x:c r="F893" s="16" t="str">
        <x:v>הרה</x:v>
      </x:c>
      <x:c r="G893" s="20" t="str">
        <x:v>to be (or become) pregnant, conceive (literally or figuratively)</x:v>
      </x:c>
      <x:c r="H893" s="20" t="str"/>
      <x:c r="I893" s="21" t="str">
        <x:v>自編延伸</x:v>
      </x:c>
      <x:c r="J893" s="21"/>
      <x:c r="K893" s="22" t="n">
        <x:v>43</x:v>
      </x:c>
      <x:c r="L893" s="21" t="str">
        <x:v>H2029</x:v>
      </x:c>
      <x:c r="M893" s="21" t="str">
        <x:v>verb</x:v>
      </x:c>
      <x:c r="N893" s="21" t="str">
        <x:v>否</x:v>
      </x:c>
      <x:c r="O893" s="21" t="str"/>
      <x:c r="P893" s="21" t="str">
        <x:v>lemma_frequency_verified</x:v>
      </x:c>
      <x:c r="Q893" s="21" t="str">
        <x:v>rule_generated_exception_review</x:v>
      </x:c>
      <x:c r="R893" s="20" t="str">
        <x:v>https://github.com/openscriptures/morphhb</x:v>
      </x:c>
    </x:row>
    <x:row r="894" ht="28" customHeight="1">
      <x:c r="A894" s="21" t="n">
        <x:v>890</x:v>
      </x:c>
      <x:c r="B894" s="21" t="n">
        <x:f>ROUNDUP(A894/20,0)</x:f>
        <x:v>45</x:v>
      </x:c>
      <x:c r="C894" s="21" t="n">
        <x:f>MOD(A894-1,20)+1</x:f>
        <x:v>10</x:v>
      </x:c>
      <x:c r="D894" s="18" t="str">
        <x:v>גּוֹלָה</x:v>
      </x:c>
      <x:c r="E894" s="19" t="str">
        <x:v>gôlâ</x:v>
      </x:c>
      <x:c r="F894" s="16" t="str">
        <x:v>גולה</x:v>
      </x:c>
      <x:c r="G894" s="20" t="str">
        <x:v>exile; concretely and collectively exiles</x:v>
      </x:c>
      <x:c r="H894" s="20" t="str"/>
      <x:c r="I894" s="21" t="str">
        <x:v>自編延伸</x:v>
      </x:c>
      <x:c r="J894" s="21"/>
      <x:c r="K894" s="22" t="n">
        <x:v>43</x:v>
      </x:c>
      <x:c r="L894" s="21" t="str">
        <x:v>H1473</x:v>
      </x:c>
      <x:c r="M894" s="21" t="str">
        <x:v>noun</x:v>
      </x:c>
      <x:c r="N894" s="21" t="str">
        <x:v>否</x:v>
      </x:c>
      <x:c r="O894" s="21" t="str"/>
      <x:c r="P894" s="21" t="str">
        <x:v>lemma_frequency_verified</x:v>
      </x:c>
      <x:c r="Q894" s="21" t="str">
        <x:v>rule_generated_exception_review</x:v>
      </x:c>
      <x:c r="R894" s="20" t="str">
        <x:v>https://github.com/openscriptures/morphhb</x:v>
      </x:c>
    </x:row>
    <x:row r="895" ht="28" customHeight="1">
      <x:c r="A895" s="21" t="n">
        <x:v>891</x:v>
      </x:c>
      <x:c r="B895" s="21" t="n">
        <x:f>ROUNDUP(A895/20,0)</x:f>
        <x:v>45</x:v>
      </x:c>
      <x:c r="C895" s="21" t="n">
        <x:f>MOD(A895-1,20)+1</x:f>
        <x:v>11</x:v>
      </x:c>
      <x:c r="D895" s="18" t="str">
        <x:v>פָּשַׁט</x:v>
      </x:c>
      <x:c r="E895" s="19" t="str">
        <x:v>pāšaṭ</x:v>
      </x:c>
      <x:c r="F895" s="16" t="str">
        <x:v>פשט</x:v>
      </x:c>
      <x:c r="G895" s="20" t="str">
        <x:v>to spread out (i.e. deploy in hostile array); by analogy, to strip (i.e. unclothe, plunder, flay, etc.)</x:v>
      </x:c>
      <x:c r="H895" s="20" t="str"/>
      <x:c r="I895" s="21" t="str">
        <x:v>自編延伸</x:v>
      </x:c>
      <x:c r="J895" s="21"/>
      <x:c r="K895" s="22" t="n">
        <x:v>43</x:v>
      </x:c>
      <x:c r="L895" s="21" t="str">
        <x:v>H6584</x:v>
      </x:c>
      <x:c r="M895" s="21" t="str">
        <x:v>verb</x:v>
      </x:c>
      <x:c r="N895" s="21" t="str">
        <x:v>否</x:v>
      </x:c>
      <x:c r="O895" s="21" t="str"/>
      <x:c r="P895" s="21" t="str">
        <x:v>lemma_frequency_verified</x:v>
      </x:c>
      <x:c r="Q895" s="21" t="str">
        <x:v>rule_generated_exception_review</x:v>
      </x:c>
      <x:c r="R895" s="20" t="str">
        <x:v>https://github.com/openscriptures/morphhb</x:v>
      </x:c>
    </x:row>
    <x:row r="896" ht="28" customHeight="1">
      <x:c r="A896" s="21" t="n">
        <x:v>892</x:v>
      </x:c>
      <x:c r="B896" s="21" t="n">
        <x:f>ROUNDUP(A896/20,0)</x:f>
        <x:v>45</x:v>
      </x:c>
      <x:c r="C896" s="21" t="n">
        <x:f>MOD(A896-1,20)+1</x:f>
        <x:v>12</x:v>
      </x:c>
      <x:c r="D896" s="18" t="str">
        <x:v>גִּבְעָה</x:v>
      </x:c>
      <x:c r="E896" s="19" t="str">
        <x:v>giḇʿâ</x:v>
      </x:c>
      <x:c r="F896" s="16" t="str">
        <x:v>גבעה</x:v>
      </x:c>
      <x:c r="G896" s="20" t="str">
        <x:v>Gibah; the name of three places in Palestine</x:v>
      </x:c>
      <x:c r="H896" s="20" t="str"/>
      <x:c r="I896" s="21" t="str">
        <x:v>自編延伸</x:v>
      </x:c>
      <x:c r="J896" s="21"/>
      <x:c r="K896" s="22" t="n">
        <x:v>43</x:v>
      </x:c>
      <x:c r="L896" s="21" t="str">
        <x:v>H1390</x:v>
      </x:c>
      <x:c r="M896" s="21" t="str">
        <x:v>proper_name</x:v>
      </x:c>
      <x:c r="N896" s="21" t="str">
        <x:v>是</x:v>
      </x:c>
      <x:c r="O896" s="21" t="str">
        <x:v>地名</x:v>
      </x:c>
      <x:c r="P896" s="21" t="str">
        <x:v>lemma_frequency_verified</x:v>
      </x:c>
      <x:c r="Q896" s="21" t="str">
        <x:v>rule_generated_exception_review</x:v>
      </x:c>
      <x:c r="R896" s="20" t="str">
        <x:v>https://github.com/openscriptures/morphhb</x:v>
      </x:c>
    </x:row>
    <x:row r="897" ht="28" customHeight="1">
      <x:c r="A897" s="21" t="n">
        <x:v>893</x:v>
      </x:c>
      <x:c r="B897" s="21" t="n">
        <x:f>ROUNDUP(A897/20,0)</x:f>
        <x:v>45</x:v>
      </x:c>
      <x:c r="C897" s="21" t="n">
        <x:f>MOD(A897-1,20)+1</x:f>
        <x:v>13</x:v>
      </x:c>
      <x:c r="D897" s="18" t="str">
        <x:v>יָסַר</x:v>
      </x:c>
      <x:c r="E897" s="19" t="str">
        <x:v>yāsar</x:v>
      </x:c>
      <x:c r="F897" s="16" t="str">
        <x:v>יסר</x:v>
      </x:c>
      <x:c r="G897" s="20" t="str">
        <x:v>to chastise, literally (with blows) or figuratively (with words); hence, to instruct</x:v>
      </x:c>
      <x:c r="H897" s="20" t="str"/>
      <x:c r="I897" s="21" t="str">
        <x:v>自編延伸</x:v>
      </x:c>
      <x:c r="J897" s="21"/>
      <x:c r="K897" s="22" t="n">
        <x:v>43</x:v>
      </x:c>
      <x:c r="L897" s="21" t="str">
        <x:v>H3256</x:v>
      </x:c>
      <x:c r="M897" s="21" t="str">
        <x:v>verb</x:v>
      </x:c>
      <x:c r="N897" s="21" t="str">
        <x:v>否</x:v>
      </x:c>
      <x:c r="O897" s="21" t="str"/>
      <x:c r="P897" s="21" t="str">
        <x:v>lemma_frequency_verified</x:v>
      </x:c>
      <x:c r="Q897" s="21" t="str">
        <x:v>rule_generated_exception_review</x:v>
      </x:c>
      <x:c r="R897" s="20" t="str">
        <x:v>https://github.com/openscriptures/morphhb</x:v>
      </x:c>
    </x:row>
    <x:row r="898" ht="28" customHeight="1">
      <x:c r="A898" s="21" t="n">
        <x:v>894</x:v>
      </x:c>
      <x:c r="B898" s="21" t="n">
        <x:f>ROUNDUP(A898/20,0)</x:f>
        <x:v>45</x:v>
      </x:c>
      <x:c r="C898" s="21" t="n">
        <x:f>MOD(A898-1,20)+1</x:f>
        <x:v>14</x:v>
      </x:c>
      <x:c r="D898" s="18" t="str">
        <x:v>בָּזָה</x:v>
      </x:c>
      <x:c r="E898" s="19" t="str">
        <x:v>bāzâ</x:v>
      </x:c>
      <x:c r="F898" s="16" t="str">
        <x:v>בזה</x:v>
      </x:c>
      <x:c r="G898" s="20" t="str">
        <x:v>to disesteem</x:v>
      </x:c>
      <x:c r="H898" s="20" t="str"/>
      <x:c r="I898" s="21" t="str">
        <x:v>自編延伸</x:v>
      </x:c>
      <x:c r="J898" s="21"/>
      <x:c r="K898" s="22" t="n">
        <x:v>43</x:v>
      </x:c>
      <x:c r="L898" s="21" t="str">
        <x:v>H959</x:v>
      </x:c>
      <x:c r="M898" s="21" t="str">
        <x:v>verb</x:v>
      </x:c>
      <x:c r="N898" s="21" t="str">
        <x:v>否</x:v>
      </x:c>
      <x:c r="O898" s="21" t="str"/>
      <x:c r="P898" s="21" t="str">
        <x:v>lemma_frequency_verified</x:v>
      </x:c>
      <x:c r="Q898" s="21" t="str">
        <x:v>rule_generated_exception_review</x:v>
      </x:c>
      <x:c r="R898" s="20" t="str">
        <x:v>https://github.com/openscriptures/morphhb</x:v>
      </x:c>
    </x:row>
    <x:row r="899" ht="28" customHeight="1">
      <x:c r="A899" s="21" t="n">
        <x:v>895</x:v>
      </x:c>
      <x:c r="B899" s="21" t="n">
        <x:f>ROUNDUP(A899/20,0)</x:f>
        <x:v>45</x:v>
      </x:c>
      <x:c r="C899" s="21" t="n">
        <x:f>MOD(A899-1,20)+1</x:f>
        <x:v>15</x:v>
      </x:c>
      <x:c r="D899" s="18" t="str">
        <x:v>הָרַס</x:v>
      </x:c>
      <x:c r="E899" s="19" t="str">
        <x:v>hāras</x:v>
      </x:c>
      <x:c r="F899" s="16" t="str">
        <x:v>הרס</x:v>
      </x:c>
      <x:c r="G899" s="20" t="str">
        <x:v>to pull down or in pieces, break, destroy</x:v>
      </x:c>
      <x:c r="H899" s="20" t="str"/>
      <x:c r="I899" s="21" t="str">
        <x:v>自編延伸</x:v>
      </x:c>
      <x:c r="J899" s="21"/>
      <x:c r="K899" s="22" t="n">
        <x:v>43</x:v>
      </x:c>
      <x:c r="L899" s="21" t="str">
        <x:v>H2040</x:v>
      </x:c>
      <x:c r="M899" s="21" t="str">
        <x:v>verb</x:v>
      </x:c>
      <x:c r="N899" s="21" t="str">
        <x:v>否</x:v>
      </x:c>
      <x:c r="O899" s="21" t="str"/>
      <x:c r="P899" s="21" t="str">
        <x:v>lemma_frequency_verified</x:v>
      </x:c>
      <x:c r="Q899" s="21" t="str">
        <x:v>rule_generated_exception_review</x:v>
      </x:c>
      <x:c r="R899" s="20" t="str">
        <x:v>https://github.com/openscriptures/morphhb</x:v>
      </x:c>
    </x:row>
    <x:row r="900" ht="28" customHeight="1">
      <x:c r="A900" s="21" t="n">
        <x:v>896</x:v>
      </x:c>
      <x:c r="B900" s="21" t="n">
        <x:f>ROUNDUP(A900/20,0)</x:f>
        <x:v>45</x:v>
      </x:c>
      <x:c r="C900" s="21" t="n">
        <x:f>MOD(A900-1,20)+1</x:f>
        <x:v>16</x:v>
      </x:c>
      <x:c r="D900" s="18" t="str">
        <x:v>נֶצַח</x:v>
      </x:c>
      <x:c r="E900" s="19" t="str">
        <x:v>neṣaḥ</x:v>
      </x:c>
      <x:c r="F900" s="16" t="str">
        <x:v>נצח</x:v>
      </x:c>
      <x:c r="G900" s="20" t="str">
        <x:v>properly, a goal, i.e. the bright object at adistance travelled towards; hence (figuratively), splendor, or (subjectively) truthfulness, or (objectively) confidence; but usually (adverbially), continually (i.e. to the most distant point of view)</x:v>
      </x:c>
      <x:c r="H900" s="20" t="str"/>
      <x:c r="I900" s="21" t="str">
        <x:v>自編延伸</x:v>
      </x:c>
      <x:c r="J900" s="21"/>
      <x:c r="K900" s="22" t="n">
        <x:v>43</x:v>
      </x:c>
      <x:c r="L900" s="21" t="str">
        <x:v>H5331</x:v>
      </x:c>
      <x:c r="M900" s="21" t="str">
        <x:v>noun</x:v>
      </x:c>
      <x:c r="N900" s="21" t="str">
        <x:v>否</x:v>
      </x:c>
      <x:c r="O900" s="21" t="str"/>
      <x:c r="P900" s="21" t="str">
        <x:v>lemma_frequency_verified</x:v>
      </x:c>
      <x:c r="Q900" s="21" t="str">
        <x:v>rule_generated_exception_review</x:v>
      </x:c>
      <x:c r="R900" s="20" t="str">
        <x:v>https://github.com/openscriptures/morphhb</x:v>
      </x:c>
    </x:row>
    <x:row r="901" ht="28" customHeight="1">
      <x:c r="A901" s="21" t="n">
        <x:v>897</x:v>
      </x:c>
      <x:c r="B901" s="21" t="n">
        <x:f>ROUNDUP(A901/20,0)</x:f>
        <x:v>45</x:v>
      </x:c>
      <x:c r="C901" s="21" t="n">
        <x:f>MOD(A901-1,20)+1</x:f>
        <x:v>17</x:v>
      </x:c>
      <x:c r="D901" s="18" t="str">
        <x:v>אָן</x:v>
      </x:c>
      <x:c r="E901" s="19" t="str">
        <x:v>ʾān</x:v>
      </x:c>
      <x:c r="F901" s="16" t="str">
        <x:v>אן</x:v>
      </x:c>
      <x:c r="G901" s="20" t="str">
        <x:v>where?; hence, whither?, when?; also hither and thither</x:v>
      </x:c>
      <x:c r="H901" s="20" t="str"/>
      <x:c r="I901" s="21" t="str">
        <x:v>自編延伸</x:v>
      </x:c>
      <x:c r="J901" s="21"/>
      <x:c r="K901" s="22" t="n">
        <x:v>43</x:v>
      </x:c>
      <x:c r="L901" s="21" t="str">
        <x:v>H575</x:v>
      </x:c>
      <x:c r="M901" s="21" t="str">
        <x:v>adverb</x:v>
      </x:c>
      <x:c r="N901" s="21" t="str">
        <x:v>否</x:v>
      </x:c>
      <x:c r="O901" s="21" t="str"/>
      <x:c r="P901" s="21" t="str">
        <x:v>lemma_frequency_verified</x:v>
      </x:c>
      <x:c r="Q901" s="21" t="str">
        <x:v>rule_generated_exception_review</x:v>
      </x:c>
      <x:c r="R901" s="20" t="str">
        <x:v>https://github.com/openscriptures/morphhb</x:v>
      </x:c>
    </x:row>
    <x:row r="902" ht="28" customHeight="1">
      <x:c r="A902" s="21" t="n">
        <x:v>898</x:v>
      </x:c>
      <x:c r="B902" s="21" t="n">
        <x:f>ROUNDUP(A902/20,0)</x:f>
        <x:v>45</x:v>
      </x:c>
      <x:c r="C902" s="21" t="n">
        <x:f>MOD(A902-1,20)+1</x:f>
        <x:v>18</x:v>
      </x:c>
      <x:c r="D902" s="18" t="str">
        <x:v>תָּבוּן</x:v>
      </x:c>
      <x:c r="E902" s="19" t="str">
        <x:v>tāḇûn</x:v>
      </x:c>
      <x:c r="F902" s="16" t="str">
        <x:v>תבון</x:v>
      </x:c>
      <x:c r="G902" s="20" t="str">
        <x:v>intelligence; by implication, an argument; by extension, caprice</x:v>
      </x:c>
      <x:c r="H902" s="20" t="str"/>
      <x:c r="I902" s="21" t="str">
        <x:v>自編延伸</x:v>
      </x:c>
      <x:c r="J902" s="21"/>
      <x:c r="K902" s="22" t="n">
        <x:v>43</x:v>
      </x:c>
      <x:c r="L902" s="21" t="str">
        <x:v>H8394</x:v>
      </x:c>
      <x:c r="M902" s="21" t="str">
        <x:v>noun</x:v>
      </x:c>
      <x:c r="N902" s="21" t="str">
        <x:v>否</x:v>
      </x:c>
      <x:c r="O902" s="21" t="str"/>
      <x:c r="P902" s="21" t="str">
        <x:v>lemma_frequency_verified</x:v>
      </x:c>
      <x:c r="Q902" s="21" t="str">
        <x:v>rule_generated_exception_review</x:v>
      </x:c>
      <x:c r="R902" s="20" t="str">
        <x:v>https://github.com/openscriptures/morphhb</x:v>
      </x:c>
    </x:row>
    <x:row r="903" ht="28" customHeight="1">
      <x:c r="A903" s="21" t="n">
        <x:v>899</x:v>
      </x:c>
      <x:c r="B903" s="21" t="n">
        <x:f>ROUNDUP(A903/20,0)</x:f>
        <x:v>45</x:v>
      </x:c>
      <x:c r="C903" s="21" t="n">
        <x:f>MOD(A903-1,20)+1</x:f>
        <x:v>19</x:v>
      </x:c>
      <x:c r="D903" s="18" t="str">
        <x:v>לוּחַ</x:v>
      </x:c>
      <x:c r="E903" s="19" t="str">
        <x:v>lûaḥ</x:v>
      </x:c>
      <x:c r="F903" s="16" t="str">
        <x:v>לוח</x:v>
      </x:c>
      <x:c r="G903" s="20" t="str">
        <x:v>probably meaning to glisten; a tablet (as polished), of stone, wood or metal</x:v>
      </x:c>
      <x:c r="H903" s="20" t="str"/>
      <x:c r="I903" s="21" t="str">
        <x:v>自編延伸</x:v>
      </x:c>
      <x:c r="J903" s="21"/>
      <x:c r="K903" s="22" t="n">
        <x:v>43</x:v>
      </x:c>
      <x:c r="L903" s="21" t="str">
        <x:v>H3871</x:v>
      </x:c>
      <x:c r="M903" s="21" t="str">
        <x:v>noun</x:v>
      </x:c>
      <x:c r="N903" s="21" t="str">
        <x:v>否</x:v>
      </x:c>
      <x:c r="O903" s="21" t="str"/>
      <x:c r="P903" s="21" t="str">
        <x:v>lemma_frequency_verified</x:v>
      </x:c>
      <x:c r="Q903" s="21" t="str">
        <x:v>rule_generated_exception_review</x:v>
      </x:c>
      <x:c r="R903" s="20" t="str">
        <x:v>https://github.com/openscriptures/morphhb</x:v>
      </x:c>
    </x:row>
    <x:row r="904" ht="28" customHeight="1">
      <x:c r="A904" s="21" t="n">
        <x:v>900</x:v>
      </x:c>
      <x:c r="B904" s="21" t="n">
        <x:f>ROUNDUP(A904/20,0)</x:f>
        <x:v>45</x:v>
      </x:c>
      <x:c r="C904" s="21" t="n">
        <x:f>MOD(A904-1,20)+1</x:f>
        <x:v>20</x:v>
      </x:c>
      <x:c r="D904" s="18" t="str">
        <x:v>נָקִי</x:v>
      </x:c>
      <x:c r="E904" s="19" t="str">
        <x:v>nāqî</x:v>
      </x:c>
      <x:c r="F904" s="16" t="str">
        <x:v>נקי</x:v>
      </x:c>
      <x:c r="G904" s="20" t="str">
        <x:v>innocent</x:v>
      </x:c>
      <x:c r="H904" s="20" t="str"/>
      <x:c r="I904" s="21" t="str">
        <x:v>自編延伸</x:v>
      </x:c>
      <x:c r="J904" s="21"/>
      <x:c r="K904" s="22" t="n">
        <x:v>43</x:v>
      </x:c>
      <x:c r="L904" s="21" t="str">
        <x:v>H5355</x:v>
      </x:c>
      <x:c r="M904" s="21" t="str">
        <x:v>adjective</x:v>
      </x:c>
      <x:c r="N904" s="21" t="str">
        <x:v>否</x:v>
      </x:c>
      <x:c r="O904" s="21" t="str"/>
      <x:c r="P904" s="21" t="str">
        <x:v>lemma_frequency_verified</x:v>
      </x:c>
      <x:c r="Q904" s="21" t="str">
        <x:v>rule_generated_exception_review</x:v>
      </x:c>
      <x:c r="R904" s="20" t="str">
        <x:v>https://github.com/openscriptures/morphhb</x:v>
      </x:c>
    </x:row>
    <x:row r="905" ht="28" customHeight="1">
      <x:c r="A905" s="21" t="n">
        <x:v>901</x:v>
      </x:c>
      <x:c r="B905" s="21" t="n">
        <x:f>ROUNDUP(A905/20,0)</x:f>
        <x:v>46</x:v>
      </x:c>
      <x:c r="C905" s="21" t="n">
        <x:f>MOD(A905-1,20)+1</x:f>
        <x:v>1</x:v>
      </x:c>
      <x:c r="D905" s="18" t="str">
        <x:v>מָתַי</x:v>
      </x:c>
      <x:c r="E905" s="19" t="str">
        <x:v>māṯay</x:v>
      </x:c>
      <x:c r="F905" s="16" t="str">
        <x:v>מתי</x:v>
      </x:c>
      <x:c r="G905" s="20" t="str">
        <x:v>properly, extent (of time); but used only adverbially (especially with other particle prefixes), when (either relative or interrogative)</x:v>
      </x:c>
      <x:c r="H905" s="20" t="str"/>
      <x:c r="I905" s="21" t="str">
        <x:v>自編延伸</x:v>
      </x:c>
      <x:c r="J905" s="21"/>
      <x:c r="K905" s="22" t="n">
        <x:v>43</x:v>
      </x:c>
      <x:c r="L905" s="21" t="str">
        <x:v>H4970</x:v>
      </x:c>
      <x:c r="M905" s="21" t="str">
        <x:v>particle</x:v>
      </x:c>
      <x:c r="N905" s="21" t="str">
        <x:v>否</x:v>
      </x:c>
      <x:c r="O905" s="21" t="str"/>
      <x:c r="P905" s="21" t="str">
        <x:v>lemma_frequency_verified</x:v>
      </x:c>
      <x:c r="Q905" s="21" t="str">
        <x:v>rule_generated_exception_review</x:v>
      </x:c>
      <x:c r="R905" s="20" t="str">
        <x:v>https://github.com/openscriptures/morphhb</x:v>
      </x:c>
    </x:row>
    <x:row r="906" ht="28" customHeight="1">
      <x:c r="A906" s="21" t="n">
        <x:v>902</x:v>
      </x:c>
      <x:c r="B906" s="21" t="n">
        <x:f>ROUNDUP(A906/20,0)</x:f>
        <x:v>46</x:v>
      </x:c>
      <x:c r="C906" s="21" t="n">
        <x:f>MOD(A906-1,20)+1</x:f>
        <x:v>2</x:v>
      </x:c>
      <x:c r="D906" s="18" t="str">
        <x:v>אוֹר</x:v>
      </x:c>
      <x:c r="E906" s="19" t="str">
        <x:v>ʾôr</x:v>
      </x:c>
      <x:c r="F906" s="16" t="str">
        <x:v>אור</x:v>
      </x:c>
      <x:c r="G906" s="20" t="str">
        <x:v>to be (causative, make) luminous (literally and metaphorically)</x:v>
      </x:c>
      <x:c r="H906" s="20" t="str"/>
      <x:c r="I906" s="21" t="str">
        <x:v>自編延伸</x:v>
      </x:c>
      <x:c r="J906" s="21"/>
      <x:c r="K906" s="22" t="n">
        <x:v>43</x:v>
      </x:c>
      <x:c r="L906" s="21" t="str">
        <x:v>H215</x:v>
      </x:c>
      <x:c r="M906" s="21" t="str">
        <x:v>verb</x:v>
      </x:c>
      <x:c r="N906" s="21" t="str">
        <x:v>否</x:v>
      </x:c>
      <x:c r="O906" s="21" t="str"/>
      <x:c r="P906" s="21" t="str">
        <x:v>lemma_frequency_verified</x:v>
      </x:c>
      <x:c r="Q906" s="21" t="str">
        <x:v>rule_generated_exception_review</x:v>
      </x:c>
      <x:c r="R906" s="20" t="str">
        <x:v>https://github.com/openscriptures/morphhb</x:v>
      </x:c>
    </x:row>
    <x:row r="907" ht="28" customHeight="1">
      <x:c r="A907" s="21" t="n">
        <x:v>903</x:v>
      </x:c>
      <x:c r="B907" s="21" t="n">
        <x:f>ROUNDUP(A907/20,0)</x:f>
        <x:v>46</x:v>
      </x:c>
      <x:c r="C907" s="21" t="n">
        <x:f>MOD(A907-1,20)+1</x:f>
        <x:v>3</x:v>
      </x:c>
      <x:c r="D907" s="18" t="str">
        <x:v>בָּזַז</x:v>
      </x:c>
      <x:c r="E907" s="19" t="str">
        <x:v>bāzaz</x:v>
      </x:c>
      <x:c r="F907" s="16" t="str">
        <x:v>בזז</x:v>
      </x:c>
      <x:c r="G907" s="20" t="str">
        <x:v>to plunder</x:v>
      </x:c>
      <x:c r="H907" s="20" t="str"/>
      <x:c r="I907" s="21" t="str">
        <x:v>自編延伸</x:v>
      </x:c>
      <x:c r="J907" s="21"/>
      <x:c r="K907" s="22" t="n">
        <x:v>43</x:v>
      </x:c>
      <x:c r="L907" s="21" t="str">
        <x:v>H962</x:v>
      </x:c>
      <x:c r="M907" s="21" t="str">
        <x:v>verb</x:v>
      </x:c>
      <x:c r="N907" s="21" t="str">
        <x:v>否</x:v>
      </x:c>
      <x:c r="O907" s="21" t="str"/>
      <x:c r="P907" s="21" t="str">
        <x:v>lemma_frequency_verified</x:v>
      </x:c>
      <x:c r="Q907" s="21" t="str">
        <x:v>rule_generated_exception_review</x:v>
      </x:c>
      <x:c r="R907" s="20" t="str">
        <x:v>https://github.com/openscriptures/morphhb</x:v>
      </x:c>
    </x:row>
    <x:row r="908" ht="28" customHeight="1">
      <x:c r="A908" s="21" t="n">
        <x:v>904</x:v>
      </x:c>
      <x:c r="B908" s="21" t="n">
        <x:f>ROUNDUP(A908/20,0)</x:f>
        <x:v>46</x:v>
      </x:c>
      <x:c r="C908" s="21" t="n">
        <x:f>MOD(A908-1,20)+1</x:f>
        <x:v>4</x:v>
      </x:c>
      <x:c r="D908" s="18" t="str">
        <x:v>מַעֲלָל</x:v>
      </x:c>
      <x:c r="E908" s="19" t="str">
        <x:v>maʿălāl</x:v>
      </x:c>
      <x:c r="F908" s="16" t="str">
        <x:v>מעלל</x:v>
      </x:c>
      <x:c r="G908" s="20" t="str">
        <x:v>an act (good or bad)</x:v>
      </x:c>
      <x:c r="H908" s="20" t="str"/>
      <x:c r="I908" s="21" t="str">
        <x:v>自編延伸</x:v>
      </x:c>
      <x:c r="J908" s="21"/>
      <x:c r="K908" s="22" t="n">
        <x:v>43</x:v>
      </x:c>
      <x:c r="L908" s="21" t="str">
        <x:v>H4611</x:v>
      </x:c>
      <x:c r="M908" s="21" t="str">
        <x:v>noun</x:v>
      </x:c>
      <x:c r="N908" s="21" t="str">
        <x:v>否</x:v>
      </x:c>
      <x:c r="O908" s="21" t="str"/>
      <x:c r="P908" s="21" t="str">
        <x:v>lemma_frequency_verified</x:v>
      </x:c>
      <x:c r="Q908" s="21" t="str">
        <x:v>rule_generated_exception_review</x:v>
      </x:c>
      <x:c r="R908" s="20" t="str">
        <x:v>https://github.com/openscriptures/morphhb</x:v>
      </x:c>
    </x:row>
    <x:row r="909" ht="28" customHeight="1">
      <x:c r="A909" s="21" t="n">
        <x:v>905</x:v>
      </x:c>
      <x:c r="B909" s="21" t="n">
        <x:f>ROUNDUP(A909/20,0)</x:f>
        <x:v>46</x:v>
      </x:c>
      <x:c r="C909" s="21" t="n">
        <x:f>MOD(A909-1,20)+1</x:f>
        <x:v>5</x:v>
      </x:c>
      <x:c r="D909" s="18" t="str">
        <x:v>רְחֹב</x:v>
      </x:c>
      <x:c r="E909" s="19" t="str">
        <x:v>rəḥōḇ</x:v>
      </x:c>
      <x:c r="F909" s="16" t="str">
        <x:v>רחב</x:v>
      </x:c>
      <x:c r="G909" s="20" t="str">
        <x:v>a width, i.e. (concretely) avenue or area</x:v>
      </x:c>
      <x:c r="H909" s="20" t="str"/>
      <x:c r="I909" s="21" t="str">
        <x:v>自編延伸</x:v>
      </x:c>
      <x:c r="J909" s="21"/>
      <x:c r="K909" s="22" t="n">
        <x:v>43</x:v>
      </x:c>
      <x:c r="L909" s="21" t="str">
        <x:v>H7339</x:v>
      </x:c>
      <x:c r="M909" s="21" t="str">
        <x:v>noun</x:v>
      </x:c>
      <x:c r="N909" s="21" t="str">
        <x:v>否</x:v>
      </x:c>
      <x:c r="O909" s="21" t="str"/>
      <x:c r="P909" s="21" t="str">
        <x:v>lemma_frequency_verified</x:v>
      </x:c>
      <x:c r="Q909" s="21" t="str">
        <x:v>rule_generated_exception_review</x:v>
      </x:c>
      <x:c r="R909" s="20" t="str">
        <x:v>https://github.com/openscriptures/morphhb</x:v>
      </x:c>
    </x:row>
    <x:row r="910" ht="28" customHeight="1">
      <x:c r="A910" s="21" t="n">
        <x:v>906</x:v>
      </x:c>
      <x:c r="B910" s="21" t="n">
        <x:f>ROUNDUP(A910/20,0)</x:f>
        <x:v>46</x:v>
      </x:c>
      <x:c r="C910" s="21" t="n">
        <x:f>MOD(A910-1,20)+1</x:f>
        <x:v>6</x:v>
      </x:c>
      <x:c r="D910" s="18" t="str">
        <x:v>תְּבוּאָה</x:v>
      </x:c>
      <x:c r="E910" s="19" t="str">
        <x:v>təḇûʾâ</x:v>
      </x:c>
      <x:c r="F910" s="16" t="str">
        <x:v>תבואה</x:v>
      </x:c>
      <x:c r="G910" s="20" t="str">
        <x:v>income, i.e. produce (literally or figuratively)</x:v>
      </x:c>
      <x:c r="H910" s="20" t="str"/>
      <x:c r="I910" s="21" t="str">
        <x:v>自編延伸</x:v>
      </x:c>
      <x:c r="J910" s="21"/>
      <x:c r="K910" s="22" t="n">
        <x:v>43</x:v>
      </x:c>
      <x:c r="L910" s="21" t="str">
        <x:v>H8393</x:v>
      </x:c>
      <x:c r="M910" s="21" t="str">
        <x:v>noun</x:v>
      </x:c>
      <x:c r="N910" s="21" t="str">
        <x:v>否</x:v>
      </x:c>
      <x:c r="O910" s="21" t="str"/>
      <x:c r="P910" s="21" t="str">
        <x:v>lemma_frequency_verified</x:v>
      </x:c>
      <x:c r="Q910" s="21" t="str">
        <x:v>rule_generated_exception_review</x:v>
      </x:c>
      <x:c r="R910" s="20" t="str">
        <x:v>https://github.com/openscriptures/morphhb</x:v>
      </x:c>
    </x:row>
    <x:row r="911" ht="28" customHeight="1">
      <x:c r="A911" s="21" t="n">
        <x:v>907</x:v>
      </x:c>
      <x:c r="B911" s="21" t="n">
        <x:f>ROUNDUP(A911/20,0)</x:f>
        <x:v>46</x:v>
      </x:c>
      <x:c r="C911" s="21" t="n">
        <x:f>MOD(A911-1,20)+1</x:f>
        <x:v>7</x:v>
      </x:c>
      <x:c r="D911" s="18" t="str">
        <x:v>קִנְאָה</x:v>
      </x:c>
      <x:c r="E911" s="19" t="str">
        <x:v>qinʾâ</x:v>
      </x:c>
      <x:c r="F911" s="16" t="str">
        <x:v>קנאה</x:v>
      </x:c>
      <x:c r="G911" s="20" t="str">
        <x:v>jealousy or envy</x:v>
      </x:c>
      <x:c r="H911" s="20" t="str"/>
      <x:c r="I911" s="21" t="str">
        <x:v>自編延伸</x:v>
      </x:c>
      <x:c r="J911" s="21"/>
      <x:c r="K911" s="22" t="n">
        <x:v>43</x:v>
      </x:c>
      <x:c r="L911" s="21" t="str">
        <x:v>H7068</x:v>
      </x:c>
      <x:c r="M911" s="21" t="str">
        <x:v>noun</x:v>
      </x:c>
      <x:c r="N911" s="21" t="str">
        <x:v>否</x:v>
      </x:c>
      <x:c r="O911" s="21" t="str"/>
      <x:c r="P911" s="21" t="str">
        <x:v>lemma_frequency_verified</x:v>
      </x:c>
      <x:c r="Q911" s="21" t="str">
        <x:v>rule_generated_exception_review</x:v>
      </x:c>
      <x:c r="R911" s="20" t="str">
        <x:v>https://github.com/openscriptures/morphhb</x:v>
      </x:c>
    </x:row>
    <x:row r="912" ht="28" customHeight="1">
      <x:c r="A912" s="21" t="n">
        <x:v>908</x:v>
      </x:c>
      <x:c r="B912" s="21" t="n">
        <x:f>ROUNDUP(A912/20,0)</x:f>
        <x:v>46</x:v>
      </x:c>
      <x:c r="C912" s="21" t="n">
        <x:f>MOD(A912-1,20)+1</x:f>
        <x:v>8</x:v>
      </x:c>
      <x:c r="D912" s="18" t="str">
        <x:v>תּוֹלָע</x:v>
      </x:c>
      <x:c r="E912" s="19" t="str">
        <x:v>tôlāʿ</x:v>
      </x:c>
      <x:c r="F912" s="16" t="str">
        <x:v>תולע</x:v>
      </x:c>
      <x:c r="G912" s="20" t="str">
        <x:v>the crimson-grub, but used only (in this connection) of the colorfrom it, and cloths dyed therewith</x:v>
      </x:c>
      <x:c r="H912" s="20" t="str"/>
      <x:c r="I912" s="21" t="str">
        <x:v>自編延伸</x:v>
      </x:c>
      <x:c r="J912" s="21"/>
      <x:c r="K912" s="22" t="n">
        <x:v>43</x:v>
      </x:c>
      <x:c r="L912" s="21" t="str">
        <x:v>H8438</x:v>
      </x:c>
      <x:c r="M912" s="21" t="str">
        <x:v>noun</x:v>
      </x:c>
      <x:c r="N912" s="21" t="str">
        <x:v>否</x:v>
      </x:c>
      <x:c r="O912" s="21" t="str"/>
      <x:c r="P912" s="21" t="str">
        <x:v>lemma_frequency_verified</x:v>
      </x:c>
      <x:c r="Q912" s="21" t="str">
        <x:v>rule_generated_exception_review</x:v>
      </x:c>
      <x:c r="R912" s="20" t="str">
        <x:v>https://github.com/openscriptures/morphhb</x:v>
      </x:c>
    </x:row>
    <x:row r="913" ht="28" customHeight="1">
      <x:c r="A913" s="21" t="n">
        <x:v>909</x:v>
      </x:c>
      <x:c r="B913" s="21" t="n">
        <x:f>ROUNDUP(A913/20,0)</x:f>
        <x:v>46</x:v>
      </x:c>
      <x:c r="C913" s="21" t="n">
        <x:f>MOD(A913-1,20)+1</x:f>
        <x:v>9</x:v>
      </x:c>
      <x:c r="D913" s="18" t="str">
        <x:v>בָּלַל</x:v>
      </x:c>
      <x:c r="E913" s="19" t="str">
        <x:v>bālal</x:v>
      </x:c>
      <x:c r="F913" s="16" t="str">
        <x:v>בלל</x:v>
      </x:c>
      <x:c r="G913" s="20" t="str">
        <x:v>to overflow (specifically with oil.); by implication, to mix; to fodder</x:v>
      </x:c>
      <x:c r="H913" s="20" t="str"/>
      <x:c r="I913" s="21" t="str">
        <x:v>自編延伸</x:v>
      </x:c>
      <x:c r="J913" s="21"/>
      <x:c r="K913" s="22" t="n">
        <x:v>43</x:v>
      </x:c>
      <x:c r="L913" s="21" t="str">
        <x:v>H1101</x:v>
      </x:c>
      <x:c r="M913" s="21" t="str">
        <x:v>verb</x:v>
      </x:c>
      <x:c r="N913" s="21" t="str">
        <x:v>否</x:v>
      </x:c>
      <x:c r="O913" s="21" t="str"/>
      <x:c r="P913" s="21" t="str">
        <x:v>lemma_frequency_verified</x:v>
      </x:c>
      <x:c r="Q913" s="21" t="str">
        <x:v>rule_generated_exception_review</x:v>
      </x:c>
      <x:c r="R913" s="20" t="str">
        <x:v>https://github.com/openscriptures/morphhb</x:v>
      </x:c>
    </x:row>
    <x:row r="914" ht="28" customHeight="1">
      <x:c r="A914" s="21" t="n">
        <x:v>910</x:v>
      </x:c>
      <x:c r="B914" s="21" t="n">
        <x:f>ROUNDUP(A914/20,0)</x:f>
        <x:v>46</x:v>
      </x:c>
      <x:c r="C914" s="21" t="n">
        <x:f>MOD(A914-1,20)+1</x:f>
        <x:v>10</x:v>
      </x:c>
      <x:c r="D914" s="18" t="str">
        <x:v>נִיחוֹחַ</x:v>
      </x:c>
      <x:c r="E914" s="19" t="str">
        <x:v>nîḥôaḥ</x:v>
      </x:c>
      <x:c r="F914" s="16" t="str">
        <x:v>ניחוח</x:v>
      </x:c>
      <x:c r="G914" s="20" t="str">
        <x:v>properly, restful, i.e. pleasant; abstractly, delight</x:v>
      </x:c>
      <x:c r="H914" s="20" t="str"/>
      <x:c r="I914" s="21" t="str">
        <x:v>自編延伸</x:v>
      </x:c>
      <x:c r="J914" s="21"/>
      <x:c r="K914" s="22" t="n">
        <x:v>43</x:v>
      </x:c>
      <x:c r="L914" s="21" t="str">
        <x:v>H5207</x:v>
      </x:c>
      <x:c r="M914" s="21" t="str">
        <x:v>noun</x:v>
      </x:c>
      <x:c r="N914" s="21" t="str">
        <x:v>否</x:v>
      </x:c>
      <x:c r="O914" s="21" t="str"/>
      <x:c r="P914" s="21" t="str">
        <x:v>lemma_frequency_verified</x:v>
      </x:c>
      <x:c r="Q914" s="21" t="str">
        <x:v>rule_generated_exception_review</x:v>
      </x:c>
      <x:c r="R914" s="20" t="str">
        <x:v>https://github.com/openscriptures/morphhb</x:v>
      </x:c>
    </x:row>
    <x:row r="915" ht="28" customHeight="1">
      <x:c r="A915" s="21" t="n">
        <x:v>911</x:v>
      </x:c>
      <x:c r="B915" s="21" t="n">
        <x:f>ROUNDUP(A915/20,0)</x:f>
        <x:v>46</x:v>
      </x:c>
      <x:c r="C915" s="21" t="n">
        <x:f>MOD(A915-1,20)+1</x:f>
        <x:v>11</x:v>
      </x:c>
      <x:c r="D915" s="18" t="str">
        <x:v>בָּלָק</x:v>
      </x:c>
      <x:c r="E915" s="19" t="str">
        <x:v>bālāq</x:v>
      </x:c>
      <x:c r="F915" s="16" t="str">
        <x:v>בלק</x:v>
      </x:c>
      <x:c r="G915" s="20" t="str">
        <x:v>Balak, a Moabitish king</x:v>
      </x:c>
      <x:c r="H915" s="20" t="str"/>
      <x:c r="I915" s="21" t="str">
        <x:v>自編延伸</x:v>
      </x:c>
      <x:c r="J915" s="21"/>
      <x:c r="K915" s="22" t="n">
        <x:v>43</x:v>
      </x:c>
      <x:c r="L915" s="21" t="str">
        <x:v>H1111</x:v>
      </x:c>
      <x:c r="M915" s="21" t="str">
        <x:v>proper_name</x:v>
      </x:c>
      <x:c r="N915" s="21" t="str">
        <x:v>是</x:v>
      </x:c>
      <x:c r="O915" s="21" t="str">
        <x:v>人名</x:v>
      </x:c>
      <x:c r="P915" s="21" t="str">
        <x:v>lemma_frequency_verified</x:v>
      </x:c>
      <x:c r="Q915" s="21" t="str">
        <x:v>rule_generated_exception_review</x:v>
      </x:c>
      <x:c r="R915" s="20" t="str">
        <x:v>https://github.com/openscriptures/morphhb</x:v>
      </x:c>
    </x:row>
    <x:row r="916" ht="28" customHeight="1">
      <x:c r="A916" s="21" t="n">
        <x:v>912</x:v>
      </x:c>
      <x:c r="B916" s="21" t="n">
        <x:f>ROUNDUP(A916/20,0)</x:f>
        <x:v>46</x:v>
      </x:c>
      <x:c r="C916" s="21" t="n">
        <x:f>MOD(A916-1,20)+1</x:f>
        <x:v>12</x:v>
      </x:c>
      <x:c r="D916" s="18" t="str">
        <x:v>יִשַׁי</x:v>
      </x:c>
      <x:c r="E916" s="19" t="str">
        <x:v>yišay</x:v>
      </x:c>
      <x:c r="F916" s="16" t="str">
        <x:v>ישי</x:v>
      </x:c>
      <x:c r="G916" s="20" t="str">
        <x:v>Jishai, David's father</x:v>
      </x:c>
      <x:c r="H916" s="20" t="str"/>
      <x:c r="I916" s="21" t="str">
        <x:v>自編延伸</x:v>
      </x:c>
      <x:c r="J916" s="21"/>
      <x:c r="K916" s="22" t="n">
        <x:v>42</x:v>
      </x:c>
      <x:c r="L916" s="21" t="str">
        <x:v>H3448</x:v>
      </x:c>
      <x:c r="M916" s="21" t="str">
        <x:v>proper_name</x:v>
      </x:c>
      <x:c r="N916" s="21" t="str">
        <x:v>是</x:v>
      </x:c>
      <x:c r="O916" s="21" t="str">
        <x:v>人名</x:v>
      </x:c>
      <x:c r="P916" s="21" t="str">
        <x:v>lemma_frequency_verified</x:v>
      </x:c>
      <x:c r="Q916" s="21" t="str">
        <x:v>rule_generated_exception_review</x:v>
      </x:c>
      <x:c r="R916" s="20" t="str">
        <x:v>https://github.com/openscriptures/morphhb</x:v>
      </x:c>
    </x:row>
    <x:row r="917" ht="28" customHeight="1">
      <x:c r="A917" s="21" t="n">
        <x:v>913</x:v>
      </x:c>
      <x:c r="B917" s="21" t="n">
        <x:f>ROUNDUP(A917/20,0)</x:f>
        <x:v>46</x:v>
      </x:c>
      <x:c r="C917" s="21" t="n">
        <x:f>MOD(A917-1,20)+1</x:f>
        <x:v>13</x:v>
      </x:c>
      <x:c r="D917" s="18" t="str">
        <x:v>נָתָן</x:v>
      </x:c>
      <x:c r="E917" s="19" t="str">
        <x:v>nāṯān</x:v>
      </x:c>
      <x:c r="F917" s="16" t="str">
        <x:v>נתן</x:v>
      </x:c>
      <x:c r="G917" s="20" t="str">
        <x:v>Nathan, the name of five Israelites</x:v>
      </x:c>
      <x:c r="H917" s="20" t="str"/>
      <x:c r="I917" s="21" t="str">
        <x:v>自編延伸</x:v>
      </x:c>
      <x:c r="J917" s="21"/>
      <x:c r="K917" s="22" t="n">
        <x:v>42</x:v>
      </x:c>
      <x:c r="L917" s="21" t="str">
        <x:v>H5416</x:v>
      </x:c>
      <x:c r="M917" s="21" t="str">
        <x:v>proper_name</x:v>
      </x:c>
      <x:c r="N917" s="21" t="str">
        <x:v>是</x:v>
      </x:c>
      <x:c r="O917" s="21" t="str">
        <x:v>人名</x:v>
      </x:c>
      <x:c r="P917" s="21" t="str">
        <x:v>lemma_frequency_verified</x:v>
      </x:c>
      <x:c r="Q917" s="21" t="str">
        <x:v>rule_generated_exception_review</x:v>
      </x:c>
      <x:c r="R917" s="20" t="str">
        <x:v>https://github.com/openscriptures/morphhb</x:v>
      </x:c>
    </x:row>
    <x:row r="918" ht="28" customHeight="1">
      <x:c r="A918" s="21" t="n">
        <x:v>914</x:v>
      </x:c>
      <x:c r="B918" s="21" t="n">
        <x:f>ROUNDUP(A918/20,0)</x:f>
        <x:v>46</x:v>
      </x:c>
      <x:c r="C918" s="21" t="n">
        <x:f>MOD(A918-1,20)+1</x:f>
        <x:v>14</x:v>
      </x:c>
      <x:c r="D918" s="18" t="str">
        <x:v>בְּנָיָה</x:v>
      </x:c>
      <x:c r="E918" s="19" t="str">
        <x:v>bənāyâ</x:v>
      </x:c>
      <x:c r="F918" s="16" t="str">
        <x:v>בניה</x:v>
      </x:c>
      <x:c r="G918" s="20" t="str">
        <x:v>Benajah, the name of twelve Israelites</x:v>
      </x:c>
      <x:c r="H918" s="20" t="str"/>
      <x:c r="I918" s="21" t="str">
        <x:v>自編延伸</x:v>
      </x:c>
      <x:c r="J918" s="21"/>
      <x:c r="K918" s="22" t="n">
        <x:v>42</x:v>
      </x:c>
      <x:c r="L918" s="21" t="str">
        <x:v>H1141</x:v>
      </x:c>
      <x:c r="M918" s="21" t="str">
        <x:v>proper_name</x:v>
      </x:c>
      <x:c r="N918" s="21" t="str">
        <x:v>是</x:v>
      </x:c>
      <x:c r="O918" s="21" t="str">
        <x:v>人名</x:v>
      </x:c>
      <x:c r="P918" s="21" t="str">
        <x:v>lemma_frequency_verified</x:v>
      </x:c>
      <x:c r="Q918" s="21" t="str">
        <x:v>rule_generated_exception_review</x:v>
      </x:c>
      <x:c r="R918" s="20" t="str">
        <x:v>https://github.com/openscriptures/morphhb</x:v>
      </x:c>
    </x:row>
    <x:row r="919" ht="28" customHeight="1">
      <x:c r="A919" s="21" t="n">
        <x:v>915</x:v>
      </x:c>
      <x:c r="B919" s="21" t="n">
        <x:f>ROUNDUP(A919/20,0)</x:f>
        <x:v>46</x:v>
      </x:c>
      <x:c r="C919" s="21" t="n">
        <x:f>MOD(A919-1,20)+1</x:f>
        <x:v>15</x:v>
      </x:c>
      <x:c r="D919" s="18" t="str">
        <x:v>שָׁקַט</x:v>
      </x:c>
      <x:c r="E919" s="19" t="str">
        <x:v>šāqaṭ</x:v>
      </x:c>
      <x:c r="F919" s="16" t="str">
        <x:v>שקט</x:v>
      </x:c>
      <x:c r="G919" s="20" t="str">
        <x:v>to repose (usually figurative)</x:v>
      </x:c>
      <x:c r="H919" s="20" t="str"/>
      <x:c r="I919" s="21" t="str">
        <x:v>自編延伸</x:v>
      </x:c>
      <x:c r="J919" s="21"/>
      <x:c r="K919" s="22" t="n">
        <x:v>42</x:v>
      </x:c>
      <x:c r="L919" s="21" t="str">
        <x:v>H8252</x:v>
      </x:c>
      <x:c r="M919" s="21" t="str">
        <x:v>verb</x:v>
      </x:c>
      <x:c r="N919" s="21" t="str">
        <x:v>否</x:v>
      </x:c>
      <x:c r="O919" s="21" t="str"/>
      <x:c r="P919" s="21" t="str">
        <x:v>lemma_frequency_verified</x:v>
      </x:c>
      <x:c r="Q919" s="21" t="str">
        <x:v>rule_generated_exception_review</x:v>
      </x:c>
      <x:c r="R919" s="20" t="str">
        <x:v>https://github.com/openscriptures/morphhb</x:v>
      </x:c>
    </x:row>
    <x:row r="920" ht="28" customHeight="1">
      <x:c r="A920" s="21" t="n">
        <x:v>916</x:v>
      </x:c>
      <x:c r="B920" s="21" t="n">
        <x:f>ROUNDUP(A920/20,0)</x:f>
        <x:v>46</x:v>
      </x:c>
      <x:c r="C920" s="21" t="n">
        <x:f>MOD(A920-1,20)+1</x:f>
        <x:v>16</x:v>
      </x:c>
      <x:c r="D920" s="18" t="str">
        <x:v>בֵּית שֶׁמֶשׁ</x:v>
      </x:c>
      <x:c r="E920" s="19" t="str">
        <x:v>bêṯ šemeš</x:v>
      </x:c>
      <x:c r="F920" s="16" t="str">
        <x:v>ביתשמש</x:v>
      </x:c>
      <x:c r="G920" s="20" t="str">
        <x:v>Beth-Shemesh, a place in Palestine</x:v>
      </x:c>
      <x:c r="H920" s="20" t="str"/>
      <x:c r="I920" s="21" t="str">
        <x:v>自編延伸</x:v>
      </x:c>
      <x:c r="J920" s="21"/>
      <x:c r="K920" s="22" t="n">
        <x:v>42</x:v>
      </x:c>
      <x:c r="L920" s="21" t="str">
        <x:v>H1053</x:v>
      </x:c>
      <x:c r="M920" s="21" t="str">
        <x:v>proper_name</x:v>
      </x:c>
      <x:c r="N920" s="21" t="str">
        <x:v>是</x:v>
      </x:c>
      <x:c r="O920" s="21" t="str">
        <x:v>地名</x:v>
      </x:c>
      <x:c r="P920" s="21" t="str">
        <x:v>lemma_frequency_verified</x:v>
      </x:c>
      <x:c r="Q920" s="21" t="str">
        <x:v>rule_generated_exception_review</x:v>
      </x:c>
      <x:c r="R920" s="20" t="str">
        <x:v>https://github.com/openscriptures/morphhb</x:v>
      </x:c>
    </x:row>
    <x:row r="921" ht="28" customHeight="1">
      <x:c r="A921" s="21" t="n">
        <x:v>917</x:v>
      </x:c>
      <x:c r="B921" s="21" t="n">
        <x:f>ROUNDUP(A921/20,0)</x:f>
        <x:v>46</x:v>
      </x:c>
      <x:c r="C921" s="21" t="n">
        <x:f>MOD(A921-1,20)+1</x:f>
        <x:v>17</x:v>
      </x:c>
      <x:c r="D921" s="18" t="str">
        <x:v>יָסַד</x:v>
      </x:c>
      <x:c r="E921" s="19" t="str">
        <x:v>yāsaḏ</x:v>
      </x:c>
      <x:c r="F921" s="16" t="str">
        <x:v>יסד</x:v>
      </x:c>
      <x:c r="G921" s="20" t="str">
        <x:v>to set (literally or figuratively); intensively, to found; reflexively, to sit down together, i.e. settle, consult</x:v>
      </x:c>
      <x:c r="H921" s="20" t="str"/>
      <x:c r="I921" s="21" t="str">
        <x:v>自編延伸</x:v>
      </x:c>
      <x:c r="J921" s="21"/>
      <x:c r="K921" s="22" t="n">
        <x:v>42</x:v>
      </x:c>
      <x:c r="L921" s="21" t="str">
        <x:v>H3245</x:v>
      </x:c>
      <x:c r="M921" s="21" t="str">
        <x:v>verb</x:v>
      </x:c>
      <x:c r="N921" s="21" t="str">
        <x:v>否</x:v>
      </x:c>
      <x:c r="O921" s="21" t="str"/>
      <x:c r="P921" s="21" t="str">
        <x:v>lemma_frequency_verified</x:v>
      </x:c>
      <x:c r="Q921" s="21" t="str">
        <x:v>rule_generated_exception_review</x:v>
      </x:c>
      <x:c r="R921" s="20" t="str">
        <x:v>https://github.com/openscriptures/morphhb</x:v>
      </x:c>
    </x:row>
    <x:row r="922" ht="28" customHeight="1">
      <x:c r="A922" s="21" t="n">
        <x:v>918</x:v>
      </x:c>
      <x:c r="B922" s="21" t="n">
        <x:f>ROUNDUP(A922/20,0)</x:f>
        <x:v>46</x:v>
      </x:c>
      <x:c r="C922" s="21" t="n">
        <x:f>MOD(A922-1,20)+1</x:f>
        <x:v>18</x:v>
      </x:c>
      <x:c r="D922" s="18" t="str">
        <x:v>בָּדַל</x:v>
      </x:c>
      <x:c r="E922" s="19" t="str">
        <x:v>bāḏal</x:v>
      </x:c>
      <x:c r="F922" s="16" t="str">
        <x:v>בדל</x:v>
      </x:c>
      <x:c r="G922" s="20" t="str">
        <x:v>to divide (in variation senses literally or figuratively, separate, distinguish, differ, select, etc.)</x:v>
      </x:c>
      <x:c r="H922" s="20" t="str"/>
      <x:c r="I922" s="21" t="str">
        <x:v>自編延伸</x:v>
      </x:c>
      <x:c r="J922" s="21"/>
      <x:c r="K922" s="22" t="n">
        <x:v>42</x:v>
      </x:c>
      <x:c r="L922" s="21" t="str">
        <x:v>H914</x:v>
      </x:c>
      <x:c r="M922" s="21" t="str">
        <x:v>verb</x:v>
      </x:c>
      <x:c r="N922" s="21" t="str">
        <x:v>否</x:v>
      </x:c>
      <x:c r="O922" s="21" t="str"/>
      <x:c r="P922" s="21" t="str">
        <x:v>lemma_frequency_verified</x:v>
      </x:c>
      <x:c r="Q922" s="21" t="str">
        <x:v>rule_generated_exception_review</x:v>
      </x:c>
      <x:c r="R922" s="20" t="str">
        <x:v>https://github.com/openscriptures/morphhb</x:v>
      </x:c>
    </x:row>
    <x:row r="923" ht="28" customHeight="1">
      <x:c r="A923" s="21" t="n">
        <x:v>919</x:v>
      </x:c>
      <x:c r="B923" s="21" t="n">
        <x:f>ROUNDUP(A923/20,0)</x:f>
        <x:v>46</x:v>
      </x:c>
      <x:c r="C923" s="21" t="n">
        <x:f>MOD(A923-1,20)+1</x:f>
        <x:v>19</x:v>
      </x:c>
      <x:c r="D923" s="18" t="str">
        <x:v>כִּנּוֹר</x:v>
      </x:c>
      <x:c r="E923" s="19" t="str">
        <x:v>kinnôr</x:v>
      </x:c>
      <x:c r="F923" s="16" t="str">
        <x:v>כנור</x:v>
      </x:c>
      <x:c r="G923" s="20" t="str">
        <x:v>a harp</x:v>
      </x:c>
      <x:c r="H923" s="20" t="str"/>
      <x:c r="I923" s="21" t="str">
        <x:v>自編延伸</x:v>
      </x:c>
      <x:c r="J923" s="21"/>
      <x:c r="K923" s="22" t="n">
        <x:v>42</x:v>
      </x:c>
      <x:c r="L923" s="21" t="str">
        <x:v>H3658</x:v>
      </x:c>
      <x:c r="M923" s="21" t="str">
        <x:v>noun</x:v>
      </x:c>
      <x:c r="N923" s="21" t="str">
        <x:v>否</x:v>
      </x:c>
      <x:c r="O923" s="21" t="str"/>
      <x:c r="P923" s="21" t="str">
        <x:v>lemma_frequency_verified</x:v>
      </x:c>
      <x:c r="Q923" s="21" t="str">
        <x:v>rule_generated_exception_review</x:v>
      </x:c>
      <x:c r="R923" s="20" t="str">
        <x:v>https://github.com/openscriptures/morphhb</x:v>
      </x:c>
    </x:row>
    <x:row r="924" ht="28" customHeight="1">
      <x:c r="A924" s="21" t="n">
        <x:v>920</x:v>
      </x:c>
      <x:c r="B924" s="21" t="n">
        <x:f>ROUNDUP(A924/20,0)</x:f>
        <x:v>46</x:v>
      </x:c>
      <x:c r="C924" s="21" t="n">
        <x:f>MOD(A924-1,20)+1</x:f>
        <x:v>20</x:v>
      </x:c>
      <x:c r="D924" s="18" t="str">
        <x:v>צֹר</x:v>
      </x:c>
      <x:c r="E924" s="19" t="str">
        <x:v>ṣōr</x:v>
      </x:c>
      <x:c r="F924" s="16" t="str">
        <x:v>צר</x:v>
      </x:c>
      <x:c r="G924" s="20" t="str">
        <x:v>Tsor, a place in Palestine</x:v>
      </x:c>
      <x:c r="H924" s="20" t="str"/>
      <x:c r="I924" s="21" t="str">
        <x:v>自編延伸</x:v>
      </x:c>
      <x:c r="J924" s="21"/>
      <x:c r="K924" s="22" t="n">
        <x:v>42</x:v>
      </x:c>
      <x:c r="L924" s="21" t="str">
        <x:v>H6865</x:v>
      </x:c>
      <x:c r="M924" s="21" t="str">
        <x:v>proper_name</x:v>
      </x:c>
      <x:c r="N924" s="21" t="str">
        <x:v>是</x:v>
      </x:c>
      <x:c r="O924" s="21" t="str">
        <x:v>地名</x:v>
      </x:c>
      <x:c r="P924" s="21" t="str">
        <x:v>lemma_frequency_verified</x:v>
      </x:c>
      <x:c r="Q924" s="21" t="str">
        <x:v>rule_generated_exception_review</x:v>
      </x:c>
      <x:c r="R924" s="20" t="str">
        <x:v>https://github.com/openscriptures/morphhb</x:v>
      </x:c>
    </x:row>
    <x:row r="925" ht="28" customHeight="1">
      <x:c r="A925" s="21" t="n">
        <x:v>921</x:v>
      </x:c>
      <x:c r="B925" s="21" t="n">
        <x:f>ROUNDUP(A925/20,0)</x:f>
        <x:v>47</x:v>
      </x:c>
      <x:c r="C925" s="21" t="n">
        <x:f>MOD(A925-1,20)+1</x:f>
        <x:v>1</x:v>
      </x:c>
      <x:c r="D925" s="18" t="str">
        <x:v>מַחֲלֹקֶת</x:v>
      </x:c>
      <x:c r="E925" s="19" t="str">
        <x:v>maḥălōqeṯ</x:v>
      </x:c>
      <x:c r="F925" s="16" t="str">
        <x:v>מחלקת</x:v>
      </x:c>
      <x:c r="G925" s="20" t="str">
        <x:v>a section (of Levites, people or soldiers)</x:v>
      </x:c>
      <x:c r="H925" s="20" t="str"/>
      <x:c r="I925" s="21" t="str">
        <x:v>自編延伸</x:v>
      </x:c>
      <x:c r="J925" s="21"/>
      <x:c r="K925" s="22" t="n">
        <x:v>42</x:v>
      </x:c>
      <x:c r="L925" s="21" t="str">
        <x:v>H4256</x:v>
      </x:c>
      <x:c r="M925" s="21" t="str">
        <x:v>noun</x:v>
      </x:c>
      <x:c r="N925" s="21" t="str">
        <x:v>否</x:v>
      </x:c>
      <x:c r="O925" s="21" t="str"/>
      <x:c r="P925" s="21" t="str">
        <x:v>lemma_frequency_verified</x:v>
      </x:c>
      <x:c r="Q925" s="21" t="str">
        <x:v>rule_generated_exception_review</x:v>
      </x:c>
      <x:c r="R925" s="20" t="str">
        <x:v>https://github.com/openscriptures/morphhb</x:v>
      </x:c>
    </x:row>
    <x:row r="926" ht="28" customHeight="1">
      <x:c r="A926" s="21" t="n">
        <x:v>922</x:v>
      </x:c>
      <x:c r="B926" s="21" t="n">
        <x:f>ROUNDUP(A926/20,0)</x:f>
        <x:v>47</x:v>
      </x:c>
      <x:c r="C926" s="21" t="n">
        <x:f>MOD(A926-1,20)+1</x:f>
        <x:v>2</x:v>
      </x:c>
      <x:c r="D926" s="18" t="str">
        <x:v>סָרִיס</x:v>
      </x:c>
      <x:c r="E926" s="19" t="str">
        <x:v>sārîs</x:v>
      </x:c>
      <x:c r="F926" s="16" t="str">
        <x:v>סריס</x:v>
      </x:c>
      <x:c r="G926" s="20" t="str">
        <x:v>a eunuch; by implication, valet (especially of the female apartments), and thus, a minister of state</x:v>
      </x:c>
      <x:c r="H926" s="20" t="str"/>
      <x:c r="I926" s="21" t="str">
        <x:v>自編延伸</x:v>
      </x:c>
      <x:c r="J926" s="21"/>
      <x:c r="K926" s="22" t="n">
        <x:v>42</x:v>
      </x:c>
      <x:c r="L926" s="21" t="str">
        <x:v>H5631</x:v>
      </x:c>
      <x:c r="M926" s="21" t="str">
        <x:v>noun</x:v>
      </x:c>
      <x:c r="N926" s="21" t="str">
        <x:v>否</x:v>
      </x:c>
      <x:c r="O926" s="21" t="str"/>
      <x:c r="P926" s="21" t="str">
        <x:v>lemma_frequency_verified</x:v>
      </x:c>
      <x:c r="Q926" s="21" t="str">
        <x:v>rule_generated_exception_review</x:v>
      </x:c>
      <x:c r="R926" s="20" t="str">
        <x:v>https://github.com/openscriptures/morphhb</x:v>
      </x:c>
    </x:row>
    <x:row r="927" ht="28" customHeight="1">
      <x:c r="A927" s="21" t="n">
        <x:v>923</x:v>
      </x:c>
      <x:c r="B927" s="21" t="n">
        <x:f>ROUNDUP(A927/20,0)</x:f>
        <x:v>47</x:v>
      </x:c>
      <x:c r="C927" s="21" t="n">
        <x:f>MOD(A927-1,20)+1</x:f>
        <x:v>3</x:v>
      </x:c>
      <x:c r="D927" s="18" t="str">
        <x:v>מְנוֹרָה</x:v>
      </x:c>
      <x:c r="E927" s="19" t="str">
        <x:v>mənôrâ</x:v>
      </x:c>
      <x:c r="F927" s="16" t="str">
        <x:v>מנורה</x:v>
      </x:c>
      <x:c r="G927" s="20" t="str">
        <x:v>a chandelier</x:v>
      </x:c>
      <x:c r="H927" s="20" t="str"/>
      <x:c r="I927" s="21" t="str">
        <x:v>自編延伸</x:v>
      </x:c>
      <x:c r="J927" s="21"/>
      <x:c r="K927" s="22" t="n">
        <x:v>42</x:v>
      </x:c>
      <x:c r="L927" s="21" t="str">
        <x:v>H4501</x:v>
      </x:c>
      <x:c r="M927" s="21" t="str">
        <x:v>noun</x:v>
      </x:c>
      <x:c r="N927" s="21" t="str">
        <x:v>否</x:v>
      </x:c>
      <x:c r="O927" s="21" t="str"/>
      <x:c r="P927" s="21" t="str">
        <x:v>lemma_frequency_verified</x:v>
      </x:c>
      <x:c r="Q927" s="21" t="str">
        <x:v>rule_generated_exception_review</x:v>
      </x:c>
      <x:c r="R927" s="20" t="str">
        <x:v>https://github.com/openscriptures/morphhb</x:v>
      </x:c>
    </x:row>
    <x:row r="928" ht="28" customHeight="1">
      <x:c r="A928" s="21" t="n">
        <x:v>924</x:v>
      </x:c>
      <x:c r="B928" s="21" t="n">
        <x:f>ROUNDUP(A928/20,0)</x:f>
        <x:v>47</x:v>
      </x:c>
      <x:c r="C928" s="21" t="n">
        <x:f>MOD(A928-1,20)+1</x:f>
        <x:v>4</x:v>
      </x:c>
      <x:c r="D928" s="18" t="str">
        <x:v>בְּרִיחַ</x:v>
      </x:c>
      <x:c r="E928" s="19" t="str">
        <x:v>bərîaḥ</x:v>
      </x:c>
      <x:c r="F928" s="16" t="str">
        <x:v>בריח</x:v>
      </x:c>
      <x:c r="G928" s="20" t="str">
        <x:v>a bolt</x:v>
      </x:c>
      <x:c r="H928" s="20" t="str"/>
      <x:c r="I928" s="21" t="str">
        <x:v>自編延伸</x:v>
      </x:c>
      <x:c r="J928" s="21"/>
      <x:c r="K928" s="22" t="n">
        <x:v>42</x:v>
      </x:c>
      <x:c r="L928" s="21" t="str">
        <x:v>H1280</x:v>
      </x:c>
      <x:c r="M928" s="21" t="str">
        <x:v>noun</x:v>
      </x:c>
      <x:c r="N928" s="21" t="str">
        <x:v>否</x:v>
      </x:c>
      <x:c r="O928" s="21" t="str"/>
      <x:c r="P928" s="21" t="str">
        <x:v>lemma_frequency_verified</x:v>
      </x:c>
      <x:c r="Q928" s="21" t="str">
        <x:v>rule_generated_exception_review</x:v>
      </x:c>
      <x:c r="R928" s="20" t="str">
        <x:v>https://github.com/openscriptures/morphhb</x:v>
      </x:c>
    </x:row>
    <x:row r="929" ht="28" customHeight="1">
      <x:c r="A929" s="21" t="n">
        <x:v>925</x:v>
      </x:c>
      <x:c r="B929" s="21" t="n">
        <x:f>ROUNDUP(A929/20,0)</x:f>
        <x:v>47</x:v>
      </x:c>
      <x:c r="C929" s="21" t="n">
        <x:f>MOD(A929-1,20)+1</x:f>
        <x:v>5</x:v>
      </x:c>
      <x:c r="D929" s="18" t="str">
        <x:v>בֶּטַח</x:v>
      </x:c>
      <x:c r="E929" s="19" t="str">
        <x:v>beṭaḥ</x:v>
      </x:c>
      <x:c r="F929" s="16" t="str">
        <x:v>בטח</x:v>
      </x:c>
      <x:c r="G929" s="20" t="str">
        <x:v>properly, a place of refuge; abstract, safety, both the fact (security) and the feeling (trust); often (adverb with or without preposition) safely</x:v>
      </x:c>
      <x:c r="H929" s="20" t="str"/>
      <x:c r="I929" s="21" t="str">
        <x:v>自編延伸</x:v>
      </x:c>
      <x:c r="J929" s="21"/>
      <x:c r="K929" s="22" t="n">
        <x:v>42</x:v>
      </x:c>
      <x:c r="L929" s="21" t="str">
        <x:v>H983</x:v>
      </x:c>
      <x:c r="M929" s="21" t="str">
        <x:v>noun</x:v>
      </x:c>
      <x:c r="N929" s="21" t="str">
        <x:v>否</x:v>
      </x:c>
      <x:c r="O929" s="21" t="str"/>
      <x:c r="P929" s="21" t="str">
        <x:v>lemma_frequency_verified</x:v>
      </x:c>
      <x:c r="Q929" s="21" t="str">
        <x:v>rule_generated_exception_review</x:v>
      </x:c>
      <x:c r="R929" s="20" t="str">
        <x:v>https://github.com/openscriptures/morphhb</x:v>
      </x:c>
    </x:row>
    <x:row r="930" ht="28" customHeight="1">
      <x:c r="A930" s="21" t="n">
        <x:v>926</x:v>
      </x:c>
      <x:c r="B930" s="21" t="n">
        <x:f>ROUNDUP(A930/20,0)</x:f>
        <x:v>47</x:v>
      </x:c>
      <x:c r="C930" s="21" t="n">
        <x:f>MOD(A930-1,20)+1</x:f>
        <x:v>6</x:v>
      </x:c>
      <x:c r="D930" s="18" t="str">
        <x:v>גַּן</x:v>
      </x:c>
      <x:c r="E930" s="19" t="str">
        <x:v>gan</x:v>
      </x:c>
      <x:c r="F930" s="16" t="str">
        <x:v>גן</x:v>
      </x:c>
      <x:c r="G930" s="20" t="str">
        <x:v>a garden (as fenced)</x:v>
      </x:c>
      <x:c r="H930" s="20" t="str"/>
      <x:c r="I930" s="21" t="str">
        <x:v>自編延伸</x:v>
      </x:c>
      <x:c r="J930" s="21"/>
      <x:c r="K930" s="22" t="n">
        <x:v>42</x:v>
      </x:c>
      <x:c r="L930" s="21" t="str">
        <x:v>H1588</x:v>
      </x:c>
      <x:c r="M930" s="21" t="str">
        <x:v>noun</x:v>
      </x:c>
      <x:c r="N930" s="21" t="str">
        <x:v>否</x:v>
      </x:c>
      <x:c r="O930" s="21" t="str"/>
      <x:c r="P930" s="21" t="str">
        <x:v>lemma_frequency_verified</x:v>
      </x:c>
      <x:c r="Q930" s="21" t="str">
        <x:v>rule_generated_exception_review</x:v>
      </x:c>
      <x:c r="R930" s="20" t="str">
        <x:v>https://github.com/openscriptures/morphhb</x:v>
      </x:c>
    </x:row>
    <x:row r="931" ht="28" customHeight="1">
      <x:c r="A931" s="21" t="n">
        <x:v>927</x:v>
      </x:c>
      <x:c r="B931" s="21" t="n">
        <x:f>ROUNDUP(A931/20,0)</x:f>
        <x:v>47</x:v>
      </x:c>
      <x:c r="C931" s="21" t="n">
        <x:f>MOD(A931-1,20)+1</x:f>
        <x:v>7</x:v>
      </x:c>
      <x:c r="D931" s="18" t="str">
        <x:v>נוּעַ</x:v>
      </x:c>
      <x:c r="E931" s="19" t="str">
        <x:v>nûaʿ</x:v>
      </x:c>
      <x:c r="F931" s="16" t="str">
        <x:v>נוע</x:v>
      </x:c>
      <x:c r="G931" s="20" t="str">
        <x:v>to waver, in a great variety of applications, literally and figuratively (as subjoined)</x:v>
      </x:c>
      <x:c r="H931" s="20" t="str"/>
      <x:c r="I931" s="21" t="str">
        <x:v>自編延伸</x:v>
      </x:c>
      <x:c r="J931" s="21"/>
      <x:c r="K931" s="22" t="n">
        <x:v>42</x:v>
      </x:c>
      <x:c r="L931" s="21" t="str">
        <x:v>H5128</x:v>
      </x:c>
      <x:c r="M931" s="21" t="str">
        <x:v>verb</x:v>
      </x:c>
      <x:c r="N931" s="21" t="str">
        <x:v>否</x:v>
      </x:c>
      <x:c r="O931" s="21" t="str"/>
      <x:c r="P931" s="21" t="str">
        <x:v>lemma_frequency_verified</x:v>
      </x:c>
      <x:c r="Q931" s="21" t="str">
        <x:v>rule_generated_exception_review</x:v>
      </x:c>
      <x:c r="R931" s="20" t="str">
        <x:v>https://github.com/openscriptures/morphhb</x:v>
      </x:c>
    </x:row>
    <x:row r="932" ht="28" customHeight="1">
      <x:c r="A932" s="21" t="n">
        <x:v>928</x:v>
      </x:c>
      <x:c r="B932" s="21" t="n">
        <x:f>ROUNDUP(A932/20,0)</x:f>
        <x:v>47</x:v>
      </x:c>
      <x:c r="C932" s="21" t="n">
        <x:f>MOD(A932-1,20)+1</x:f>
        <x:v>8</x:v>
      </x:c>
      <x:c r="D932" s="18" t="str">
        <x:v>יָחַל</x:v>
      </x:c>
      <x:c r="E932" s="19" t="str">
        <x:v>yāḥal</x:v>
      </x:c>
      <x:c r="F932" s="16" t="str">
        <x:v>יחל</x:v>
      </x:c>
      <x:c r="G932" s="20" t="str">
        <x:v>to wait; by implication, to be patient, hope</x:v>
      </x:c>
      <x:c r="H932" s="20" t="str"/>
      <x:c r="I932" s="21" t="str">
        <x:v>自編延伸</x:v>
      </x:c>
      <x:c r="J932" s="21"/>
      <x:c r="K932" s="22" t="n">
        <x:v>42</x:v>
      </x:c>
      <x:c r="L932" s="21" t="str">
        <x:v>H3176</x:v>
      </x:c>
      <x:c r="M932" s="21" t="str">
        <x:v>verb</x:v>
      </x:c>
      <x:c r="N932" s="21" t="str">
        <x:v>否</x:v>
      </x:c>
      <x:c r="O932" s="21" t="str"/>
      <x:c r="P932" s="21" t="str">
        <x:v>lemma_frequency_verified</x:v>
      </x:c>
      <x:c r="Q932" s="21" t="str">
        <x:v>rule_generated_exception_review</x:v>
      </x:c>
      <x:c r="R932" s="20" t="str">
        <x:v>https://github.com/openscriptures/morphhb</x:v>
      </x:c>
    </x:row>
    <x:row r="933" ht="28" customHeight="1">
      <x:c r="A933" s="21" t="n">
        <x:v>929</x:v>
      </x:c>
      <x:c r="B933" s="21" t="n">
        <x:f>ROUNDUP(A933/20,0)</x:f>
        <x:v>47</x:v>
      </x:c>
      <x:c r="C933" s="21" t="n">
        <x:f>MOD(A933-1,20)+1</x:f>
        <x:v>9</x:v>
      </x:c>
      <x:c r="D933" s="18" t="str">
        <x:v>אֱנוֹשׁ</x:v>
      </x:c>
      <x:c r="E933" s="19" t="str">
        <x:v>ʾĕnôš</x:v>
      </x:c>
      <x:c r="F933" s="16" t="str">
        <x:v>אנוש</x:v>
      </x:c>
      <x:c r="G933" s="20" t="str">
        <x:v>a man in general (singly or collectively)</x:v>
      </x:c>
      <x:c r="H933" s="20" t="str"/>
      <x:c r="I933" s="21" t="str">
        <x:v>自編延伸</x:v>
      </x:c>
      <x:c r="J933" s="21"/>
      <x:c r="K933" s="22" t="n">
        <x:v>42</x:v>
      </x:c>
      <x:c r="L933" s="21" t="str">
        <x:v>H582</x:v>
      </x:c>
      <x:c r="M933" s="21" t="str">
        <x:v>noun</x:v>
      </x:c>
      <x:c r="N933" s="21" t="str">
        <x:v>否</x:v>
      </x:c>
      <x:c r="O933" s="21" t="str"/>
      <x:c r="P933" s="21" t="str">
        <x:v>lemma_frequency_verified</x:v>
      </x:c>
      <x:c r="Q933" s="21" t="str">
        <x:v>rule_generated_exception_review</x:v>
      </x:c>
      <x:c r="R933" s="20" t="str">
        <x:v>https://github.com/openscriptures/morphhb</x:v>
      </x:c>
    </x:row>
    <x:row r="934" ht="28" customHeight="1">
      <x:c r="A934" s="21" t="n">
        <x:v>930</x:v>
      </x:c>
      <x:c r="B934" s="21" t="n">
        <x:f>ROUNDUP(A934/20,0)</x:f>
        <x:v>47</x:v>
      </x:c>
      <x:c r="C934" s="21" t="n">
        <x:f>MOD(A934-1,20)+1</x:f>
        <x:v>10</x:v>
      </x:c>
      <x:c r="D934" s="18" t="str">
        <x:v>יִרְאָה</x:v>
      </x:c>
      <x:c r="E934" s="19" t="str">
        <x:v>yirʾâ</x:v>
      </x:c>
      <x:c r="F934" s="16" t="str">
        <x:v>יראה</x:v>
      </x:c>
      <x:c r="G934" s="20" t="str">
        <x:v>fear (also used as infinitive); morally, reverence</x:v>
      </x:c>
      <x:c r="H934" s="20" t="str"/>
      <x:c r="I934" s="21" t="str">
        <x:v>自編延伸</x:v>
      </x:c>
      <x:c r="J934" s="21"/>
      <x:c r="K934" s="22" t="n">
        <x:v>42</x:v>
      </x:c>
      <x:c r="L934" s="21" t="str">
        <x:v>H3374</x:v>
      </x:c>
      <x:c r="M934" s="21" t="str">
        <x:v>noun</x:v>
      </x:c>
      <x:c r="N934" s="21" t="str">
        <x:v>否</x:v>
      </x:c>
      <x:c r="O934" s="21" t="str"/>
      <x:c r="P934" s="21" t="str">
        <x:v>lemma_frequency_verified</x:v>
      </x:c>
      <x:c r="Q934" s="21" t="str">
        <x:v>rule_generated_exception_review</x:v>
      </x:c>
      <x:c r="R934" s="20" t="str">
        <x:v>https://github.com/openscriptures/morphhb</x:v>
      </x:c>
    </x:row>
    <x:row r="935" ht="28" customHeight="1">
      <x:c r="A935" s="21" t="n">
        <x:v>931</x:v>
      </x:c>
      <x:c r="B935" s="21" t="n">
        <x:f>ROUNDUP(A935/20,0)</x:f>
        <x:v>47</x:v>
      </x:c>
      <x:c r="C935" s="21" t="n">
        <x:f>MOD(A935-1,20)+1</x:f>
        <x:v>11</x:v>
      </x:c>
      <x:c r="D935" s="18" t="str">
        <x:v>טַף</x:v>
      </x:c>
      <x:c r="E935" s="19" t="str">
        <x:v>ṭap̄</x:v>
      </x:c>
      <x:c r="F935" s="16" t="str">
        <x:v>טף</x:v>
      </x:c>
      <x:c r="G935" s="20" t="str">
        <x:v>a family (mostly used collectively in the singular)</x:v>
      </x:c>
      <x:c r="H935" s="20" t="str"/>
      <x:c r="I935" s="21" t="str">
        <x:v>自編延伸</x:v>
      </x:c>
      <x:c r="J935" s="21"/>
      <x:c r="K935" s="22" t="n">
        <x:v>42</x:v>
      </x:c>
      <x:c r="L935" s="21" t="str">
        <x:v>H2945</x:v>
      </x:c>
      <x:c r="M935" s="21" t="str">
        <x:v>noun</x:v>
      </x:c>
      <x:c r="N935" s="21" t="str">
        <x:v>否</x:v>
      </x:c>
      <x:c r="O935" s="21" t="str"/>
      <x:c r="P935" s="21" t="str">
        <x:v>lemma_frequency_verified</x:v>
      </x:c>
      <x:c r="Q935" s="21" t="str">
        <x:v>rule_generated_exception_review</x:v>
      </x:c>
      <x:c r="R935" s="20" t="str">
        <x:v>https://github.com/openscriptures/morphhb</x:v>
      </x:c>
    </x:row>
    <x:row r="936" ht="28" customHeight="1">
      <x:c r="A936" s="21" t="n">
        <x:v>932</x:v>
      </x:c>
      <x:c r="B936" s="21" t="n">
        <x:f>ROUNDUP(A936/20,0)</x:f>
        <x:v>47</x:v>
      </x:c>
      <x:c r="C936" s="21" t="n">
        <x:f>MOD(A936-1,20)+1</x:f>
        <x:v>12</x:v>
      </x:c>
      <x:c r="D936" s="18" t="str">
        <x:v>נָתַץ</x:v>
      </x:c>
      <x:c r="E936" s="19" t="str">
        <x:v>nāṯaṣ</x:v>
      </x:c>
      <x:c r="F936" s="16" t="str">
        <x:v>נתץ</x:v>
      </x:c>
      <x:c r="G936" s="20" t="str">
        <x:v>to tear down</x:v>
      </x:c>
      <x:c r="H936" s="20" t="str"/>
      <x:c r="I936" s="21" t="str">
        <x:v>自編延伸</x:v>
      </x:c>
      <x:c r="J936" s="21"/>
      <x:c r="K936" s="22" t="n">
        <x:v>42</x:v>
      </x:c>
      <x:c r="L936" s="21" t="str">
        <x:v>H5422</x:v>
      </x:c>
      <x:c r="M936" s="21" t="str">
        <x:v>verb</x:v>
      </x:c>
      <x:c r="N936" s="21" t="str">
        <x:v>否</x:v>
      </x:c>
      <x:c r="O936" s="21" t="str"/>
      <x:c r="P936" s="21" t="str">
        <x:v>lemma_frequency_verified</x:v>
      </x:c>
      <x:c r="Q936" s="21" t="str">
        <x:v>rule_generated_exception_review</x:v>
      </x:c>
      <x:c r="R936" s="20" t="str">
        <x:v>https://github.com/openscriptures/morphhb</x:v>
      </x:c>
    </x:row>
    <x:row r="937" ht="28" customHeight="1">
      <x:c r="A937" s="21" t="n">
        <x:v>933</x:v>
      </x:c>
      <x:c r="B937" s="21" t="n">
        <x:f>ROUNDUP(A937/20,0)</x:f>
        <x:v>47</x:v>
      </x:c>
      <x:c r="C937" s="21" t="n">
        <x:f>MOD(A937-1,20)+1</x:f>
        <x:v>13</x:v>
      </x:c>
      <x:c r="D937" s="18" t="str">
        <x:v>חָרַב</x:v>
      </x:c>
      <x:c r="E937" s="19" t="str">
        <x:v>ḥāraḇ</x:v>
      </x:c>
      <x:c r="F937" s="16" t="str">
        <x:v>חרב</x:v>
      </x:c>
      <x:c r="G937" s="20" t="str">
        <x:v>to parch (through drought) i.e. (by analogy,) to desolate, destroy, kill</x:v>
      </x:c>
      <x:c r="H937" s="20" t="str"/>
      <x:c r="I937" s="21" t="str">
        <x:v>自編延伸</x:v>
      </x:c>
      <x:c r="J937" s="21"/>
      <x:c r="K937" s="22" t="n">
        <x:v>42</x:v>
      </x:c>
      <x:c r="L937" s="21" t="str">
        <x:v>H2717</x:v>
      </x:c>
      <x:c r="M937" s="21" t="str">
        <x:v>verb</x:v>
      </x:c>
      <x:c r="N937" s="21" t="str">
        <x:v>否</x:v>
      </x:c>
      <x:c r="O937" s="21" t="str"/>
      <x:c r="P937" s="21" t="str">
        <x:v>lemma_frequency_verified</x:v>
      </x:c>
      <x:c r="Q937" s="21" t="str">
        <x:v>rule_generated_exception_review</x:v>
      </x:c>
      <x:c r="R937" s="20" t="str">
        <x:v>https://github.com/openscriptures/morphhb</x:v>
      </x:c>
    </x:row>
    <x:row r="938" ht="28" customHeight="1">
      <x:c r="A938" s="21" t="n">
        <x:v>934</x:v>
      </x:c>
      <x:c r="B938" s="21" t="n">
        <x:f>ROUNDUP(A938/20,0)</x:f>
        <x:v>47</x:v>
      </x:c>
      <x:c r="C938" s="21" t="n">
        <x:f>MOD(A938-1,20)+1</x:f>
        <x:v>14</x:v>
      </x:c>
      <x:c r="D938" s="18" t="str">
        <x:v>שָׁנִי</x:v>
      </x:c>
      <x:c r="E938" s="19" t="str">
        <x:v>šānî</x:v>
      </x:c>
      <x:c r="F938" s="16" t="str">
        <x:v>שני</x:v>
      </x:c>
      <x:c r="G938" s="20" t="str">
        <x:v>crimson, properly, the insect or its color, also stuff dyed with it</x:v>
      </x:c>
      <x:c r="H938" s="20" t="str"/>
      <x:c r="I938" s="21" t="str">
        <x:v>自編延伸</x:v>
      </x:c>
      <x:c r="J938" s="21"/>
      <x:c r="K938" s="22" t="n">
        <x:v>42</x:v>
      </x:c>
      <x:c r="L938" s="21" t="str">
        <x:v>H8144</x:v>
      </x:c>
      <x:c r="M938" s="21" t="str">
        <x:v>noun</x:v>
      </x:c>
      <x:c r="N938" s="21" t="str">
        <x:v>否</x:v>
      </x:c>
      <x:c r="O938" s="21" t="str"/>
      <x:c r="P938" s="21" t="str">
        <x:v>lemma_frequency_verified</x:v>
      </x:c>
      <x:c r="Q938" s="21" t="str">
        <x:v>rule_generated_exception_review</x:v>
      </x:c>
      <x:c r="R938" s="20" t="str">
        <x:v>https://github.com/openscriptures/morphhb</x:v>
      </x:c>
    </x:row>
    <x:row r="939" ht="28" customHeight="1">
      <x:c r="A939" s="21" t="n">
        <x:v>935</x:v>
      </x:c>
      <x:c r="B939" s="21" t="n">
        <x:f>ROUNDUP(A939/20,0)</x:f>
        <x:v>47</x:v>
      </x:c>
      <x:c r="C939" s="21" t="n">
        <x:f>MOD(A939-1,20)+1</x:f>
        <x:v>15</x:v>
      </x:c>
      <x:c r="D939" s="18" t="str">
        <x:v>זוּב</x:v>
      </x:c>
      <x:c r="E939" s="19" t="str">
        <x:v>zûḇ</x:v>
      </x:c>
      <x:c r="F939" s="16" t="str">
        <x:v>זוב</x:v>
      </x:c>
      <x:c r="G939" s="20" t="str">
        <x:v>to flow freely (as water), i.e. (specifically) to have a (sexual) flux; figuratively, to waste away; also to overflow</x:v>
      </x:c>
      <x:c r="H939" s="20" t="str"/>
      <x:c r="I939" s="21" t="str">
        <x:v>自編延伸</x:v>
      </x:c>
      <x:c r="J939" s="21"/>
      <x:c r="K939" s="22" t="n">
        <x:v>42</x:v>
      </x:c>
      <x:c r="L939" s="21" t="str">
        <x:v>H2100</x:v>
      </x:c>
      <x:c r="M939" s="21" t="str">
        <x:v>verb</x:v>
      </x:c>
      <x:c r="N939" s="21" t="str">
        <x:v>否</x:v>
      </x:c>
      <x:c r="O939" s="21" t="str"/>
      <x:c r="P939" s="21" t="str">
        <x:v>lemma_frequency_verified</x:v>
      </x:c>
      <x:c r="Q939" s="21" t="str">
        <x:v>rule_generated_exception_review</x:v>
      </x:c>
      <x:c r="R939" s="20" t="str">
        <x:v>https://github.com/openscriptures/morphhb</x:v>
      </x:c>
    </x:row>
    <x:row r="940" ht="28" customHeight="1">
      <x:c r="A940" s="21" t="n">
        <x:v>936</x:v>
      </x:c>
      <x:c r="B940" s="21" t="n">
        <x:f>ROUNDUP(A940/20,0)</x:f>
        <x:v>47</x:v>
      </x:c>
      <x:c r="C940" s="21" t="n">
        <x:f>MOD(A940-1,20)+1</x:f>
        <x:v>16</x:v>
      </x:c>
      <x:c r="D940" s="18" t="str">
        <x:v>חׇרְבָּה</x:v>
      </x:c>
      <x:c r="E940" s="19" t="str">
        <x:v>ḥorbâ</x:v>
      </x:c>
      <x:c r="F940" s="16" t="str">
        <x:v>חרבה</x:v>
      </x:c>
      <x:c r="G940" s="20" t="str">
        <x:v>properly, drought, i.e. (by implication) a desolation</x:v>
      </x:c>
      <x:c r="H940" s="20" t="str"/>
      <x:c r="I940" s="21" t="str">
        <x:v>自編延伸</x:v>
      </x:c>
      <x:c r="J940" s="21"/>
      <x:c r="K940" s="22" t="n">
        <x:v>42</x:v>
      </x:c>
      <x:c r="L940" s="21" t="str">
        <x:v>H2723</x:v>
      </x:c>
      <x:c r="M940" s="21" t="str">
        <x:v>noun</x:v>
      </x:c>
      <x:c r="N940" s="21" t="str">
        <x:v>否</x:v>
      </x:c>
      <x:c r="O940" s="21" t="str"/>
      <x:c r="P940" s="21" t="str">
        <x:v>lemma_frequency_verified</x:v>
      </x:c>
      <x:c r="Q940" s="21" t="str">
        <x:v>rule_generated_exception_review</x:v>
      </x:c>
      <x:c r="R940" s="20" t="str">
        <x:v>https://github.com/openscriptures/morphhb</x:v>
      </x:c>
    </x:row>
    <x:row r="941" ht="28" customHeight="1">
      <x:c r="A941" s="21" t="n">
        <x:v>937</x:v>
      </x:c>
      <x:c r="B941" s="21" t="n">
        <x:f>ROUNDUP(A941/20,0)</x:f>
        <x:v>47</x:v>
      </x:c>
      <x:c r="C941" s="21" t="n">
        <x:f>MOD(A941-1,20)+1</x:f>
        <x:v>17</x:v>
      </x:c>
      <x:c r="D941" s="18" t="str">
        <x:v>יָתוֹם</x:v>
      </x:c>
      <x:c r="E941" s="19" t="str">
        <x:v>yāṯôm</x:v>
      </x:c>
      <x:c r="F941" s="16" t="str">
        <x:v>יתום</x:v>
      </x:c>
      <x:c r="G941" s="20" t="str">
        <x:v>a bereaved person</x:v>
      </x:c>
      <x:c r="H941" s="20" t="str"/>
      <x:c r="I941" s="21" t="str">
        <x:v>自編延伸</x:v>
      </x:c>
      <x:c r="J941" s="21"/>
      <x:c r="K941" s="22" t="n">
        <x:v>42</x:v>
      </x:c>
      <x:c r="L941" s="21" t="str">
        <x:v>H3490</x:v>
      </x:c>
      <x:c r="M941" s="21" t="str">
        <x:v>noun</x:v>
      </x:c>
      <x:c r="N941" s="21" t="str">
        <x:v>否</x:v>
      </x:c>
      <x:c r="O941" s="21" t="str"/>
      <x:c r="P941" s="21" t="str">
        <x:v>lemma_frequency_verified</x:v>
      </x:c>
      <x:c r="Q941" s="21" t="str">
        <x:v>rule_generated_exception_review</x:v>
      </x:c>
      <x:c r="R941" s="20" t="str">
        <x:v>https://github.com/openscriptures/morphhb</x:v>
      </x:c>
    </x:row>
    <x:row r="942" ht="28" customHeight="1">
      <x:c r="A942" s="21" t="n">
        <x:v>938</x:v>
      </x:c>
      <x:c r="B942" s="21" t="n">
        <x:f>ROUNDUP(A942/20,0)</x:f>
        <x:v>47</x:v>
      </x:c>
      <x:c r="C942" s="21" t="n">
        <x:f>MOD(A942-1,20)+1</x:f>
        <x:v>18</x:v>
      </x:c>
      <x:c r="D942" s="18" t="str">
        <x:v>שֵׁשׁ</x:v>
      </x:c>
      <x:c r="E942" s="19" t="str">
        <x:v>šēš</x:v>
      </x:c>
      <x:c r="F942" s="16" t="str">
        <x:v>שש</x:v>
      </x:c>
      <x:c r="G942" s="20" t="str">
        <x:v>bleached stuff, i.e. white linen or (by analogy) marble</x:v>
      </x:c>
      <x:c r="H942" s="20" t="str"/>
      <x:c r="I942" s="21" t="str">
        <x:v>自編延伸</x:v>
      </x:c>
      <x:c r="J942" s="21"/>
      <x:c r="K942" s="22" t="n">
        <x:v>42</x:v>
      </x:c>
      <x:c r="L942" s="21" t="str">
        <x:v>H8336</x:v>
      </x:c>
      <x:c r="M942" s="21" t="str">
        <x:v>adjective</x:v>
      </x:c>
      <x:c r="N942" s="21" t="str">
        <x:v>否</x:v>
      </x:c>
      <x:c r="O942" s="21" t="str"/>
      <x:c r="P942" s="21" t="str">
        <x:v>lemma_frequency_verified</x:v>
      </x:c>
      <x:c r="Q942" s="21" t="str">
        <x:v>rule_generated_exception_review</x:v>
      </x:c>
      <x:c r="R942" s="20" t="str">
        <x:v>https://github.com/openscriptures/morphhb</x:v>
      </x:c>
    </x:row>
    <x:row r="943" ht="28" customHeight="1">
      <x:c r="A943" s="21" t="n">
        <x:v>939</x:v>
      </x:c>
      <x:c r="B943" s="21" t="n">
        <x:f>ROUNDUP(A943/20,0)</x:f>
        <x:v>47</x:v>
      </x:c>
      <x:c r="C943" s="21" t="n">
        <x:f>MOD(A943-1,20)+1</x:f>
        <x:v>19</x:v>
      </x:c>
      <x:c r="D943" s="18" t="str">
        <x:v>יְבוּסִי</x:v>
      </x:c>
      <x:c r="E943" s="19" t="str">
        <x:v>yəḇûsî</x:v>
      </x:c>
      <x:c r="F943" s="16" t="str">
        <x:v>יבוסי</x:v>
      </x:c>
      <x:c r="G943" s="20" t="str">
        <x:v>a Jebusite or inhabitant of Jebus</x:v>
      </x:c>
      <x:c r="H943" s="20" t="str"/>
      <x:c r="I943" s="21" t="str">
        <x:v>自編延伸</x:v>
      </x:c>
      <x:c r="J943" s="21"/>
      <x:c r="K943" s="22" t="n">
        <x:v>41</x:v>
      </x:c>
      <x:c r="L943" s="21" t="str">
        <x:v>H2983</x:v>
      </x:c>
      <x:c r="M943" s="21" t="str">
        <x:v>noun</x:v>
      </x:c>
      <x:c r="N943" s="21" t="str">
        <x:v>是</x:v>
      </x:c>
      <x:c r="O943" s="21" t="str">
        <x:v>民族／國族</x:v>
      </x:c>
      <x:c r="P943" s="21" t="str">
        <x:v>lemma_frequency_verified</x:v>
      </x:c>
      <x:c r="Q943" s="21" t="str">
        <x:v>rule_generated_exception_review</x:v>
      </x:c>
      <x:c r="R943" s="20" t="str">
        <x:v>https://github.com/openscriptures/morphhb</x:v>
      </x:c>
    </x:row>
    <x:row r="944" ht="28" customHeight="1">
      <x:c r="A944" s="21" t="n">
        <x:v>940</x:v>
      </x:c>
      <x:c r="B944" s="21" t="n">
        <x:f>ROUNDUP(A944/20,0)</x:f>
        <x:v>47</x:v>
      </x:c>
      <x:c r="C944" s="21" t="n">
        <x:f>MOD(A944-1,20)+1</x:f>
        <x:v>20</x:v>
      </x:c>
      <x:c r="D944" s="18" t="str">
        <x:v>אָחָז</x:v>
      </x:c>
      <x:c r="E944" s="19" t="str">
        <x:v>ʾāḥāz</x:v>
      </x:c>
      <x:c r="F944" s="16" t="str">
        <x:v>אחז</x:v>
      </x:c>
      <x:c r="G944" s="20" t="str">
        <x:v>Achaz, the name of a Jewish king and of an Israelite</x:v>
      </x:c>
      <x:c r="H944" s="20" t="str"/>
      <x:c r="I944" s="21" t="str">
        <x:v>自編延伸</x:v>
      </x:c>
      <x:c r="J944" s="21"/>
      <x:c r="K944" s="22" t="n">
        <x:v>41</x:v>
      </x:c>
      <x:c r="L944" s="21" t="str">
        <x:v>H271</x:v>
      </x:c>
      <x:c r="M944" s="21" t="str">
        <x:v>proper_name</x:v>
      </x:c>
      <x:c r="N944" s="21" t="str">
        <x:v>是</x:v>
      </x:c>
      <x:c r="O944" s="21" t="str">
        <x:v>人名</x:v>
      </x:c>
      <x:c r="P944" s="21" t="str">
        <x:v>lemma_frequency_verified</x:v>
      </x:c>
      <x:c r="Q944" s="21" t="str">
        <x:v>rule_generated_exception_review</x:v>
      </x:c>
      <x:c r="R944" s="20" t="str">
        <x:v>https://github.com/openscriptures/morphhb</x:v>
      </x:c>
    </x:row>
    <x:row r="945" ht="28" customHeight="1">
      <x:c r="A945" s="21" t="n">
        <x:v>941</x:v>
      </x:c>
      <x:c r="B945" s="21" t="n">
        <x:f>ROUNDUP(A945/20,0)</x:f>
        <x:v>48</x:v>
      </x:c>
      <x:c r="C945" s="21" t="n">
        <x:f>MOD(A945-1,20)+1</x:f>
        <x:v>1</x:v>
      </x:c>
      <x:c r="D945" s="18" t="str">
        <x:v>שְׁמַעְיָה</x:v>
      </x:c>
      <x:c r="E945" s="19" t="str">
        <x:v>šəmaʿyâ</x:v>
      </x:c>
      <x:c r="F945" s="16" t="str">
        <x:v>שמעיה</x:v>
      </x:c>
      <x:c r="G945" s="20" t="str">
        <x:v>Shemajah, the name of twenty-five Israelites</x:v>
      </x:c>
      <x:c r="H945" s="20" t="str"/>
      <x:c r="I945" s="21" t="str">
        <x:v>自編延伸</x:v>
      </x:c>
      <x:c r="J945" s="21"/>
      <x:c r="K945" s="22" t="n">
        <x:v>41</x:v>
      </x:c>
      <x:c r="L945" s="21" t="str">
        <x:v>H8098</x:v>
      </x:c>
      <x:c r="M945" s="21" t="str">
        <x:v>proper_name</x:v>
      </x:c>
      <x:c r="N945" s="21" t="str">
        <x:v>是</x:v>
      </x:c>
      <x:c r="O945" s="21" t="str">
        <x:v>人名</x:v>
      </x:c>
      <x:c r="P945" s="21" t="str">
        <x:v>lemma_frequency_verified</x:v>
      </x:c>
      <x:c r="Q945" s="21" t="str">
        <x:v>rule_generated_exception_review</x:v>
      </x:c>
      <x:c r="R945" s="20" t="str">
        <x:v>https://github.com/openscriptures/morphhb</x:v>
      </x:c>
    </x:row>
    <x:row r="946" ht="28" customHeight="1">
      <x:c r="A946" s="21" t="n">
        <x:v>942</x:v>
      </x:c>
      <x:c r="B946" s="21" t="n">
        <x:f>ROUNDUP(A946/20,0)</x:f>
        <x:v>48</x:v>
      </x:c>
      <x:c r="C946" s="21" t="n">
        <x:f>MOD(A946-1,20)+1</x:f>
        <x:v>2</x:v>
      </x:c>
      <x:c r="D946" s="18" t="str">
        <x:v>זְכַרְיָה</x:v>
      </x:c>
      <x:c r="E946" s="19" t="str">
        <x:v>zəḵaryâ</x:v>
      </x:c>
      <x:c r="F946" s="16" t="str">
        <x:v>זכריה</x:v>
      </x:c>
      <x:c r="G946" s="20" t="str">
        <x:v>Zecarjah, the name of twenty-nine Israelites</x:v>
      </x:c>
      <x:c r="H946" s="20" t="str"/>
      <x:c r="I946" s="21" t="str">
        <x:v>自編延伸</x:v>
      </x:c>
      <x:c r="J946" s="21"/>
      <x:c r="K946" s="22" t="n">
        <x:v>41</x:v>
      </x:c>
      <x:c r="L946" s="21" t="str">
        <x:v>H2148</x:v>
      </x:c>
      <x:c r="M946" s="21" t="str">
        <x:v>proper_name</x:v>
      </x:c>
      <x:c r="N946" s="21" t="str">
        <x:v>是</x:v>
      </x:c>
      <x:c r="O946" s="21" t="str">
        <x:v>人名</x:v>
      </x:c>
      <x:c r="P946" s="21" t="str">
        <x:v>lemma_frequency_verified</x:v>
      </x:c>
      <x:c r="Q946" s="21" t="str">
        <x:v>rule_generated_exception_review</x:v>
      </x:c>
      <x:c r="R946" s="20" t="str">
        <x:v>https://github.com/openscriptures/morphhb</x:v>
      </x:c>
    </x:row>
    <x:row r="947" ht="28" customHeight="1">
      <x:c r="A947" s="21" t="n">
        <x:v>943</x:v>
      </x:c>
      <x:c r="B947" s="21" t="n">
        <x:f>ROUNDUP(A947/20,0)</x:f>
        <x:v>48</x:v>
      </x:c>
      <x:c r="C947" s="21" t="n">
        <x:f>MOD(A947-1,20)+1</x:f>
        <x:v>3</x:v>
      </x:c>
      <x:c r="D947" s="18" t="str">
        <x:v>רָגַז</x:v>
      </x:c>
      <x:c r="E947" s="19" t="str">
        <x:v>rāg̅az</x:v>
      </x:c>
      <x:c r="F947" s="16" t="str">
        <x:v>רגז</x:v>
      </x:c>
      <x:c r="G947" s="20" t="str">
        <x:v>to quiver (with any violent emotion, especially anger or fear)</x:v>
      </x:c>
      <x:c r="H947" s="20" t="str"/>
      <x:c r="I947" s="21" t="str">
        <x:v>自編延伸</x:v>
      </x:c>
      <x:c r="J947" s="21"/>
      <x:c r="K947" s="22" t="n">
        <x:v>41</x:v>
      </x:c>
      <x:c r="L947" s="21" t="str">
        <x:v>H7264</x:v>
      </x:c>
      <x:c r="M947" s="21" t="str">
        <x:v>verb</x:v>
      </x:c>
      <x:c r="N947" s="21" t="str">
        <x:v>否</x:v>
      </x:c>
      <x:c r="O947" s="21" t="str"/>
      <x:c r="P947" s="21" t="str">
        <x:v>lemma_frequency_verified</x:v>
      </x:c>
      <x:c r="Q947" s="21" t="str">
        <x:v>rule_generated_exception_review</x:v>
      </x:c>
      <x:c r="R947" s="20" t="str">
        <x:v>https://github.com/openscriptures/morphhb</x:v>
      </x:c>
    </x:row>
    <x:row r="948" ht="28" customHeight="1">
      <x:c r="A948" s="21" t="n">
        <x:v>944</x:v>
      </x:c>
      <x:c r="B948" s="21" t="n">
        <x:f>ROUNDUP(A948/20,0)</x:f>
        <x:v>48</x:v>
      </x:c>
      <x:c r="C948" s="21" t="n">
        <x:f>MOD(A948-1,20)+1</x:f>
        <x:v>4</x:v>
      </x:c>
      <x:c r="D948" s="18" t="str">
        <x:v>אָחוֹר</x:v>
      </x:c>
      <x:c r="E948" s="19" t="str">
        <x:v>ʾāḥôr</x:v>
      </x:c>
      <x:c r="F948" s="16" t="str">
        <x:v>אחור</x:v>
      </x:c>
      <x:c r="G948" s="20" t="str">
        <x:v>the hinder part; hence (adverb) behind, backward; also (as facing north) the West</x:v>
      </x:c>
      <x:c r="H948" s="20" t="str"/>
      <x:c r="I948" s="21" t="str">
        <x:v>自編延伸</x:v>
      </x:c>
      <x:c r="J948" s="21"/>
      <x:c r="K948" s="22" t="n">
        <x:v>41</x:v>
      </x:c>
      <x:c r="L948" s="21" t="str">
        <x:v>H268</x:v>
      </x:c>
      <x:c r="M948" s="21" t="str">
        <x:v>noun</x:v>
      </x:c>
      <x:c r="N948" s="21" t="str">
        <x:v>否</x:v>
      </x:c>
      <x:c r="O948" s="21" t="str"/>
      <x:c r="P948" s="21" t="str">
        <x:v>lemma_frequency_verified</x:v>
      </x:c>
      <x:c r="Q948" s="21" t="str">
        <x:v>rule_generated_exception_review</x:v>
      </x:c>
      <x:c r="R948" s="20" t="str">
        <x:v>https://github.com/openscriptures/morphhb</x:v>
      </x:c>
    </x:row>
    <x:row r="949" ht="28" customHeight="1">
      <x:c r="A949" s="21" t="n">
        <x:v>945</x:v>
      </x:c>
      <x:c r="B949" s="21" t="n">
        <x:f>ROUNDUP(A949/20,0)</x:f>
        <x:v>48</x:v>
      </x:c>
      <x:c r="C949" s="21" t="n">
        <x:f>MOD(A949-1,20)+1</x:f>
        <x:v>5</x:v>
      </x:c>
      <x:c r="D949" s="18" t="str">
        <x:v>חָרַף</x:v>
      </x:c>
      <x:c r="E949" s="19" t="str">
        <x:v>ḥārap̄</x:v>
      </x:c>
      <x:c r="F949" s="16" t="str">
        <x:v>חרף</x:v>
      </x:c>
      <x:c r="G949" s="20" t="str">
        <x:v>to pull off, i.e. (by implication) to expose (as by stripping); specifically, to betroth (as if a surrender); figuratively, to carp at, i.e. defame; to spend the winter</x:v>
      </x:c>
      <x:c r="H949" s="20" t="str"/>
      <x:c r="I949" s="21" t="str">
        <x:v>自編延伸</x:v>
      </x:c>
      <x:c r="J949" s="21"/>
      <x:c r="K949" s="22" t="n">
        <x:v>41</x:v>
      </x:c>
      <x:c r="L949" s="21" t="str">
        <x:v>H2778</x:v>
      </x:c>
      <x:c r="M949" s="21" t="str">
        <x:v>verb</x:v>
      </x:c>
      <x:c r="N949" s="21" t="str">
        <x:v>否</x:v>
      </x:c>
      <x:c r="O949" s="21" t="str"/>
      <x:c r="P949" s="21" t="str">
        <x:v>lemma_frequency_verified</x:v>
      </x:c>
      <x:c r="Q949" s="21" t="str">
        <x:v>rule_generated_exception_review</x:v>
      </x:c>
      <x:c r="R949" s="20" t="str">
        <x:v>https://github.com/openscriptures/morphhb</x:v>
      </x:c>
    </x:row>
    <x:row r="950" ht="28" customHeight="1">
      <x:c r="A950" s="21" t="n">
        <x:v>946</x:v>
      </x:c>
      <x:c r="B950" s="21" t="n">
        <x:f>ROUNDUP(A950/20,0)</x:f>
        <x:v>48</x:v>
      </x:c>
      <x:c r="C950" s="21" t="n">
        <x:f>MOD(A950-1,20)+1</x:f>
        <x:v>6</x:v>
      </x:c>
      <x:c r="D950" s="18" t="str">
        <x:v>אָמַץ</x:v>
      </x:c>
      <x:c r="E950" s="19" t="str">
        <x:v>ʾāmaṣ</x:v>
      </x:c>
      <x:c r="F950" s="16" t="str">
        <x:v>אמץ</x:v>
      </x:c>
      <x:c r="G950" s="20" t="str">
        <x:v>to be alert, physically (on foot) or mentally (in courage)</x:v>
      </x:c>
      <x:c r="H950" s="20" t="str"/>
      <x:c r="I950" s="21" t="str">
        <x:v>自編延伸</x:v>
      </x:c>
      <x:c r="J950" s="21"/>
      <x:c r="K950" s="22" t="n">
        <x:v>41</x:v>
      </x:c>
      <x:c r="L950" s="21" t="str">
        <x:v>H553</x:v>
      </x:c>
      <x:c r="M950" s="21" t="str">
        <x:v>verb</x:v>
      </x:c>
      <x:c r="N950" s="21" t="str">
        <x:v>否</x:v>
      </x:c>
      <x:c r="O950" s="21" t="str"/>
      <x:c r="P950" s="21" t="str">
        <x:v>lemma_frequency_verified</x:v>
      </x:c>
      <x:c r="Q950" s="21" t="str">
        <x:v>rule_generated_exception_review</x:v>
      </x:c>
      <x:c r="R950" s="20" t="str">
        <x:v>https://github.com/openscriptures/morphhb</x:v>
      </x:c>
    </x:row>
    <x:row r="951" ht="28" customHeight="1">
      <x:c r="A951" s="21" t="n">
        <x:v>947</x:v>
      </x:c>
      <x:c r="B951" s="21" t="n">
        <x:f>ROUNDUP(A951/20,0)</x:f>
        <x:v>48</x:v>
      </x:c>
      <x:c r="C951" s="21" t="n">
        <x:f>MOD(A951-1,20)+1</x:f>
        <x:v>7</x:v>
      </x:c>
      <x:c r="D951" s="18" t="str">
        <x:v>צֵלָע</x:v>
      </x:c>
      <x:c r="E951" s="19" t="str">
        <x:v>ṣēlāʿ</x:v>
      </x:c>
      <x:c r="F951" s="16" t="str">
        <x:v>צלע</x:v>
      </x:c>
      <x:c r="G951" s="20" t="str">
        <x:v>a rib (as curved), literally (of the body) or figuratively (of a door, i.e. leaf); hence, a side, literally (of a person) or figuratively (of an object or the sky, i.e. quarter); architecturally, a (especially floor or ceiling) timber or plank (single or collective, i.e. a flooring)</x:v>
      </x:c>
      <x:c r="H951" s="20" t="str"/>
      <x:c r="I951" s="21" t="str">
        <x:v>自編延伸</x:v>
      </x:c>
      <x:c r="J951" s="21"/>
      <x:c r="K951" s="22" t="n">
        <x:v>41</x:v>
      </x:c>
      <x:c r="L951" s="21" t="str">
        <x:v>H6763</x:v>
      </x:c>
      <x:c r="M951" s="21" t="str">
        <x:v>noun</x:v>
      </x:c>
      <x:c r="N951" s="21" t="str">
        <x:v>否</x:v>
      </x:c>
      <x:c r="O951" s="21" t="str"/>
      <x:c r="P951" s="21" t="str">
        <x:v>lemma_frequency_verified</x:v>
      </x:c>
      <x:c r="Q951" s="21" t="str">
        <x:v>rule_generated_exception_review</x:v>
      </x:c>
      <x:c r="R951" s="20" t="str">
        <x:v>https://github.com/openscriptures/morphhb</x:v>
      </x:c>
    </x:row>
    <x:row r="952" ht="28" customHeight="1">
      <x:c r="A952" s="21" t="n">
        <x:v>948</x:v>
      </x:c>
      <x:c r="B952" s="21" t="n">
        <x:f>ROUNDUP(A952/20,0)</x:f>
        <x:v>48</x:v>
      </x:c>
      <x:c r="C952" s="21" t="n">
        <x:f>MOD(A952-1,20)+1</x:f>
        <x:v>8</x:v>
      </x:c>
      <x:c r="D952" s="18" t="str">
        <x:v>צָדַק</x:v>
      </x:c>
      <x:c r="E952" s="19" t="str">
        <x:v>ṣāḏaq</x:v>
      </x:c>
      <x:c r="F952" s="16" t="str">
        <x:v>צדק</x:v>
      </x:c>
      <x:c r="G952" s="20" t="str">
        <x:v>to be (causatively, make) right (in a moral or forensic sense)</x:v>
      </x:c>
      <x:c r="H952" s="20" t="str"/>
      <x:c r="I952" s="21" t="str">
        <x:v>自編延伸</x:v>
      </x:c>
      <x:c r="J952" s="21"/>
      <x:c r="K952" s="22" t="n">
        <x:v>41</x:v>
      </x:c>
      <x:c r="L952" s="21" t="str">
        <x:v>H6663</x:v>
      </x:c>
      <x:c r="M952" s="21" t="str">
        <x:v>verb</x:v>
      </x:c>
      <x:c r="N952" s="21" t="str">
        <x:v>否</x:v>
      </x:c>
      <x:c r="O952" s="21" t="str"/>
      <x:c r="P952" s="21" t="str">
        <x:v>lemma_frequency_verified</x:v>
      </x:c>
      <x:c r="Q952" s="21" t="str">
        <x:v>rule_generated_exception_review</x:v>
      </x:c>
      <x:c r="R952" s="20" t="str">
        <x:v>https://github.com/openscriptures/morphhb</x:v>
      </x:c>
    </x:row>
    <x:row r="953" ht="28" customHeight="1">
      <x:c r="A953" s="21" t="n">
        <x:v>949</x:v>
      </x:c>
      <x:c r="B953" s="21" t="n">
        <x:f>ROUNDUP(A953/20,0)</x:f>
        <x:v>48</x:v>
      </x:c>
      <x:c r="C953" s="21" t="n">
        <x:f>MOD(A953-1,20)+1</x:f>
        <x:v>9</x:v>
      </x:c>
      <x:c r="D953" s="18" t="str">
        <x:v>פָּשַׁע</x:v>
      </x:c>
      <x:c r="E953" s="19" t="str">
        <x:v>pāšaʿ</x:v>
      </x:c>
      <x:c r="F953" s="16" t="str">
        <x:v>פשע</x:v>
      </x:c>
      <x:c r="G953" s="20" t="str">
        <x:v>to break away (from just authority), i.e. trespass, apostatize, quarrel</x:v>
      </x:c>
      <x:c r="H953" s="20" t="str"/>
      <x:c r="I953" s="21" t="str">
        <x:v>自編延伸</x:v>
      </x:c>
      <x:c r="J953" s="21"/>
      <x:c r="K953" s="22" t="n">
        <x:v>41</x:v>
      </x:c>
      <x:c r="L953" s="21" t="str">
        <x:v>H6586</x:v>
      </x:c>
      <x:c r="M953" s="21" t="str">
        <x:v>verb</x:v>
      </x:c>
      <x:c r="N953" s="21" t="str">
        <x:v>否</x:v>
      </x:c>
      <x:c r="O953" s="21" t="str"/>
      <x:c r="P953" s="21" t="str">
        <x:v>lemma_frequency_verified</x:v>
      </x:c>
      <x:c r="Q953" s="21" t="str">
        <x:v>rule_generated_exception_review</x:v>
      </x:c>
      <x:c r="R953" s="20" t="str">
        <x:v>https://github.com/openscriptures/morphhb</x:v>
      </x:c>
    </x:row>
    <x:row r="954" ht="28" customHeight="1">
      <x:c r="A954" s="21" t="n">
        <x:v>950</x:v>
      </x:c>
      <x:c r="B954" s="21" t="n">
        <x:f>ROUNDUP(A954/20,0)</x:f>
        <x:v>48</x:v>
      </x:c>
      <x:c r="C954" s="21" t="n">
        <x:f>MOD(A954-1,20)+1</x:f>
        <x:v>10</x:v>
      </x:c>
      <x:c r="D954" s="18" t="str">
        <x:v>מָאֵן</x:v>
      </x:c>
      <x:c r="E954" s="19" t="str">
        <x:v>māʾēn</x:v>
      </x:c>
      <x:c r="F954" s="16" t="str">
        <x:v>מאן</x:v>
      </x:c>
      <x:c r="G954" s="20" t="str">
        <x:v>to refuse</x:v>
      </x:c>
      <x:c r="H954" s="20" t="str"/>
      <x:c r="I954" s="21" t="str">
        <x:v>自編延伸</x:v>
      </x:c>
      <x:c r="J954" s="21"/>
      <x:c r="K954" s="22" t="n">
        <x:v>41</x:v>
      </x:c>
      <x:c r="L954" s="21" t="str">
        <x:v>H3985</x:v>
      </x:c>
      <x:c r="M954" s="21" t="str">
        <x:v>verb</x:v>
      </x:c>
      <x:c r="N954" s="21" t="str">
        <x:v>否</x:v>
      </x:c>
      <x:c r="O954" s="21" t="str"/>
      <x:c r="P954" s="21" t="str">
        <x:v>lemma_frequency_verified</x:v>
      </x:c>
      <x:c r="Q954" s="21" t="str">
        <x:v>rule_generated_exception_review</x:v>
      </x:c>
      <x:c r="R954" s="20" t="str">
        <x:v>https://github.com/openscriptures/morphhb</x:v>
      </x:c>
    </x:row>
    <x:row r="955" ht="28" customHeight="1">
      <x:c r="A955" s="21" t="n">
        <x:v>951</x:v>
      </x:c>
      <x:c r="B955" s="21" t="n">
        <x:f>ROUNDUP(A955/20,0)</x:f>
        <x:v>48</x:v>
      </x:c>
      <x:c r="C955" s="21" t="n">
        <x:f>MOD(A955-1,20)+1</x:f>
        <x:v>11</x:v>
      </x:c>
      <x:c r="D955" s="18" t="str">
        <x:v>גִּלְגָּל</x:v>
      </x:c>
      <x:c r="E955" s="19" t="str">
        <x:v>gilgāl</x:v>
      </x:c>
      <x:c r="F955" s="16" t="str">
        <x:v>גלגל</x:v>
      </x:c>
      <x:c r="G955" s="20" t="str">
        <x:v>Gilgal, the name of three places in Palestine</x:v>
      </x:c>
      <x:c r="H955" s="20" t="str"/>
      <x:c r="I955" s="21" t="str">
        <x:v>自編延伸</x:v>
      </x:c>
      <x:c r="J955" s="21"/>
      <x:c r="K955" s="22" t="n">
        <x:v>41</x:v>
      </x:c>
      <x:c r="L955" s="21" t="str">
        <x:v>H1537</x:v>
      </x:c>
      <x:c r="M955" s="21" t="str">
        <x:v>proper_name</x:v>
      </x:c>
      <x:c r="N955" s="21" t="str">
        <x:v>是</x:v>
      </x:c>
      <x:c r="O955" s="21" t="str">
        <x:v>地名</x:v>
      </x:c>
      <x:c r="P955" s="21" t="str">
        <x:v>lemma_frequency_verified</x:v>
      </x:c>
      <x:c r="Q955" s="21" t="str">
        <x:v>rule_generated_exception_review</x:v>
      </x:c>
      <x:c r="R955" s="20" t="str">
        <x:v>https://github.com/openscriptures/morphhb</x:v>
      </x:c>
    </x:row>
    <x:row r="956" ht="28" customHeight="1">
      <x:c r="A956" s="21" t="n">
        <x:v>952</x:v>
      </x:c>
      <x:c r="B956" s="21" t="n">
        <x:f>ROUNDUP(A956/20,0)</x:f>
        <x:v>48</x:v>
      </x:c>
      <x:c r="C956" s="21" t="n">
        <x:f>MOD(A956-1,20)+1</x:f>
        <x:v>12</x:v>
      </x:c>
      <x:c r="D956" s="18" t="str">
        <x:v>חָמַל</x:v>
      </x:c>
      <x:c r="E956" s="19" t="str">
        <x:v>ḥāmal</x:v>
      </x:c>
      <x:c r="F956" s="16" t="str">
        <x:v>חמל</x:v>
      </x:c>
      <x:c r="G956" s="20" t="str">
        <x:v>to commiserate; by implication, to spare</x:v>
      </x:c>
      <x:c r="H956" s="20" t="str"/>
      <x:c r="I956" s="21" t="str">
        <x:v>自編延伸</x:v>
      </x:c>
      <x:c r="J956" s="21"/>
      <x:c r="K956" s="22" t="n">
        <x:v>41</x:v>
      </x:c>
      <x:c r="L956" s="21" t="str">
        <x:v>H2550</x:v>
      </x:c>
      <x:c r="M956" s="21" t="str">
        <x:v>verb</x:v>
      </x:c>
      <x:c r="N956" s="21" t="str">
        <x:v>否</x:v>
      </x:c>
      <x:c r="O956" s="21" t="str"/>
      <x:c r="P956" s="21" t="str">
        <x:v>lemma_frequency_verified</x:v>
      </x:c>
      <x:c r="Q956" s="21" t="str">
        <x:v>rule_generated_exception_review</x:v>
      </x:c>
      <x:c r="R956" s="20" t="str">
        <x:v>https://github.com/openscriptures/morphhb</x:v>
      </x:c>
    </x:row>
    <x:row r="957" ht="28" customHeight="1">
      <x:c r="A957" s="21" t="n">
        <x:v>953</x:v>
      </x:c>
      <x:c r="B957" s="21" t="n">
        <x:f>ROUNDUP(A957/20,0)</x:f>
        <x:v>48</x:v>
      </x:c>
      <x:c r="C957" s="21" t="n">
        <x:f>MOD(A957-1,20)+1</x:f>
        <x:v>13</x:v>
      </x:c>
      <x:c r="D957" s="18" t="str">
        <x:v>אָרַב</x:v>
      </x:c>
      <x:c r="E957" s="19" t="str">
        <x:v>ʾāraḇ</x:v>
      </x:c>
      <x:c r="F957" s="16" t="str">
        <x:v>ארב</x:v>
      </x:c>
      <x:c r="G957" s="20" t="str">
        <x:v>to lurk</x:v>
      </x:c>
      <x:c r="H957" s="20" t="str"/>
      <x:c r="I957" s="21" t="str">
        <x:v>自編延伸</x:v>
      </x:c>
      <x:c r="J957" s="21"/>
      <x:c r="K957" s="22" t="n">
        <x:v>41</x:v>
      </x:c>
      <x:c r="L957" s="21" t="str">
        <x:v>H693</x:v>
      </x:c>
      <x:c r="M957" s="21" t="str">
        <x:v>verb</x:v>
      </x:c>
      <x:c r="N957" s="21" t="str">
        <x:v>否</x:v>
      </x:c>
      <x:c r="O957" s="21" t="str"/>
      <x:c r="P957" s="21" t="str">
        <x:v>lemma_frequency_verified</x:v>
      </x:c>
      <x:c r="Q957" s="21" t="str">
        <x:v>rule_generated_exception_review</x:v>
      </x:c>
      <x:c r="R957" s="20" t="str">
        <x:v>https://github.com/openscriptures/morphhb</x:v>
      </x:c>
    </x:row>
    <x:row r="958" ht="28" customHeight="1">
      <x:c r="A958" s="21" t="n">
        <x:v>954</x:v>
      </x:c>
      <x:c r="B958" s="21" t="n">
        <x:f>ROUNDUP(A958/20,0)</x:f>
        <x:v>48</x:v>
      </x:c>
      <x:c r="C958" s="21" t="n">
        <x:f>MOD(A958-1,20)+1</x:f>
        <x:v>14</x:v>
      </x:c>
      <x:c r="D958" s="18" t="str">
        <x:v>חָרוֹן</x:v>
      </x:c>
      <x:c r="E958" s="19" t="str">
        <x:v>ḥārôn</x:v>
      </x:c>
      <x:c r="F958" s="16" t="str">
        <x:v>חרון</x:v>
      </x:c>
      <x:c r="G958" s="20" t="str">
        <x:v>a burning of anger</x:v>
      </x:c>
      <x:c r="H958" s="20" t="str"/>
      <x:c r="I958" s="21" t="str">
        <x:v>自編延伸</x:v>
      </x:c>
      <x:c r="J958" s="21"/>
      <x:c r="K958" s="22" t="n">
        <x:v>41</x:v>
      </x:c>
      <x:c r="L958" s="21" t="str">
        <x:v>H2740</x:v>
      </x:c>
      <x:c r="M958" s="21" t="str">
        <x:v>noun</x:v>
      </x:c>
      <x:c r="N958" s="21" t="str">
        <x:v>否</x:v>
      </x:c>
      <x:c r="O958" s="21" t="str"/>
      <x:c r="P958" s="21" t="str">
        <x:v>lemma_frequency_verified</x:v>
      </x:c>
      <x:c r="Q958" s="21" t="str">
        <x:v>rule_generated_exception_review</x:v>
      </x:c>
      <x:c r="R958" s="20" t="str">
        <x:v>https://github.com/openscriptures/morphhb</x:v>
      </x:c>
    </x:row>
    <x:row r="959" ht="28" customHeight="1">
      <x:c r="A959" s="21" t="n">
        <x:v>955</x:v>
      </x:c>
      <x:c r="B959" s="21" t="n">
        <x:f>ROUNDUP(A959/20,0)</x:f>
        <x:v>48</x:v>
      </x:c>
      <x:c r="C959" s="21" t="n">
        <x:f>MOD(A959-1,20)+1</x:f>
        <x:v>15</x:v>
      </x:c>
      <x:c r="D959" s="18" t="str">
        <x:v>אָזַן</x:v>
      </x:c>
      <x:c r="E959" s="19" t="str">
        <x:v>ʾāzan</x:v>
      </x:c>
      <x:c r="F959" s="16" t="str">
        <x:v>אזן</x:v>
      </x:c>
      <x:c r="G959" s="20" t="str">
        <x:v>to broaden out the ear (with the hand), i.e. (by implication) to listen</x:v>
      </x:c>
      <x:c r="H959" s="20" t="str"/>
      <x:c r="I959" s="21" t="str">
        <x:v>自編延伸</x:v>
      </x:c>
      <x:c r="J959" s="21"/>
      <x:c r="K959" s="22" t="n">
        <x:v>41</x:v>
      </x:c>
      <x:c r="L959" s="21" t="str">
        <x:v>H238</x:v>
      </x:c>
      <x:c r="M959" s="21" t="str">
        <x:v>verb</x:v>
      </x:c>
      <x:c r="N959" s="21" t="str">
        <x:v>否</x:v>
      </x:c>
      <x:c r="O959" s="21" t="str"/>
      <x:c r="P959" s="21" t="str">
        <x:v>lemma_frequency_verified</x:v>
      </x:c>
      <x:c r="Q959" s="21" t="str">
        <x:v>rule_generated_exception_review</x:v>
      </x:c>
      <x:c r="R959" s="20" t="str">
        <x:v>https://github.com/openscriptures/morphhb</x:v>
      </x:c>
    </x:row>
    <x:row r="960" ht="28" customHeight="1">
      <x:c r="A960" s="21" t="n">
        <x:v>956</x:v>
      </x:c>
      <x:c r="B960" s="21" t="n">
        <x:f>ROUNDUP(A960/20,0)</x:f>
        <x:v>48</x:v>
      </x:c>
      <x:c r="C960" s="21" t="n">
        <x:f>MOD(A960-1,20)+1</x:f>
        <x:v>16</x:v>
      </x:c>
      <x:c r="D960" s="18" t="str">
        <x:v>שְׁבוּת</x:v>
      </x:c>
      <x:c r="E960" s="19" t="str">
        <x:v>šəḇûṯ</x:v>
      </x:c>
      <x:c r="F960" s="16" t="str">
        <x:v>שבות</x:v>
      </x:c>
      <x:c r="G960" s="20" t="str">
        <x:v>exile, concretely, prisoners; figuratively, a former state of prosperity</x:v>
      </x:c>
      <x:c r="H960" s="20" t="str"/>
      <x:c r="I960" s="21" t="str">
        <x:v>自編延伸</x:v>
      </x:c>
      <x:c r="J960" s="21"/>
      <x:c r="K960" s="22" t="n">
        <x:v>41</x:v>
      </x:c>
      <x:c r="L960" s="21" t="str">
        <x:v>H7622</x:v>
      </x:c>
      <x:c r="M960" s="21" t="str">
        <x:v>noun</x:v>
      </x:c>
      <x:c r="N960" s="21" t="str">
        <x:v>否</x:v>
      </x:c>
      <x:c r="O960" s="21" t="str"/>
      <x:c r="P960" s="21" t="str">
        <x:v>lemma_frequency_verified</x:v>
      </x:c>
      <x:c r="Q960" s="21" t="str">
        <x:v>rule_generated_exception_review</x:v>
      </x:c>
      <x:c r="R960" s="20" t="str">
        <x:v>https://github.com/openscriptures/morphhb</x:v>
      </x:c>
    </x:row>
    <x:row r="961" ht="28" customHeight="1">
      <x:c r="A961" s="21" t="n">
        <x:v>957</x:v>
      </x:c>
      <x:c r="B961" s="21" t="n">
        <x:f>ROUNDUP(A961/20,0)</x:f>
        <x:v>48</x:v>
      </x:c>
      <x:c r="C961" s="21" t="n">
        <x:f>MOD(A961-1,20)+1</x:f>
        <x:v>17</x:v>
      </x:c>
      <x:c r="D961" s="18" t="str">
        <x:v>צַוָּאר</x:v>
      </x:c>
      <x:c r="E961" s="19" t="str">
        <x:v>ṣawwāʾr</x:v>
      </x:c>
      <x:c r="F961" s="16" t="str">
        <x:v>צואר</x:v>
      </x:c>
      <x:c r="G961" s="20" t="str">
        <x:v>the back of the neck (as that on which burdens are bound)</x:v>
      </x:c>
      <x:c r="H961" s="20" t="str"/>
      <x:c r="I961" s="21" t="str">
        <x:v>自編延伸</x:v>
      </x:c>
      <x:c r="J961" s="21"/>
      <x:c r="K961" s="22" t="n">
        <x:v>41</x:v>
      </x:c>
      <x:c r="L961" s="21" t="str">
        <x:v>H6677</x:v>
      </x:c>
      <x:c r="M961" s="21" t="str">
        <x:v>noun</x:v>
      </x:c>
      <x:c r="N961" s="21" t="str">
        <x:v>否</x:v>
      </x:c>
      <x:c r="O961" s="21" t="str"/>
      <x:c r="P961" s="21" t="str">
        <x:v>lemma_frequency_verified</x:v>
      </x:c>
      <x:c r="Q961" s="21" t="str">
        <x:v>rule_generated_exception_review</x:v>
      </x:c>
      <x:c r="R961" s="20" t="str">
        <x:v>https://github.com/openscriptures/morphhb</x:v>
      </x:c>
    </x:row>
    <x:row r="962" ht="28" customHeight="1">
      <x:c r="A962" s="21" t="n">
        <x:v>958</x:v>
      </x:c>
      <x:c r="B962" s="21" t="n">
        <x:f>ROUNDUP(A962/20,0)</x:f>
        <x:v>48</x:v>
      </x:c>
      <x:c r="C962" s="21" t="n">
        <x:f>MOD(A962-1,20)+1</x:f>
        <x:v>18</x:v>
      </x:c>
      <x:c r="D962" s="18" t="str">
        <x:v>אֲמַצְיָה</x:v>
      </x:c>
      <x:c r="E962" s="19" t="str">
        <x:v>ʾămaṣyâ</x:v>
      </x:c>
      <x:c r="F962" s="16" t="str">
        <x:v>אמציה</x:v>
      </x:c>
      <x:c r="G962" s="20" t="str">
        <x:v>Amatsjah, the name of four Israelites</x:v>
      </x:c>
      <x:c r="H962" s="20" t="str"/>
      <x:c r="I962" s="21" t="str">
        <x:v>自編延伸</x:v>
      </x:c>
      <x:c r="J962" s="21"/>
      <x:c r="K962" s="22" t="n">
        <x:v>40</x:v>
      </x:c>
      <x:c r="L962" s="21" t="str">
        <x:v>H558</x:v>
      </x:c>
      <x:c r="M962" s="21" t="str">
        <x:v>proper_name</x:v>
      </x:c>
      <x:c r="N962" s="21" t="str">
        <x:v>是</x:v>
      </x:c>
      <x:c r="O962" s="21" t="str">
        <x:v>人名</x:v>
      </x:c>
      <x:c r="P962" s="21" t="str">
        <x:v>lemma_frequency_verified</x:v>
      </x:c>
      <x:c r="Q962" s="21" t="str">
        <x:v>rule_generated_exception_review</x:v>
      </x:c>
      <x:c r="R962" s="20" t="str">
        <x:v>https://github.com/openscriptures/morphhb</x:v>
      </x:c>
    </x:row>
    <x:row r="963" ht="28" customHeight="1">
      <x:c r="A963" s="21" t="n">
        <x:v>959</x:v>
      </x:c>
      <x:c r="B963" s="21" t="n">
        <x:f>ROUNDUP(A963/20,0)</x:f>
        <x:v>48</x:v>
      </x:c>
      <x:c r="C963" s="21" t="n">
        <x:f>MOD(A963-1,20)+1</x:f>
        <x:v>19</x:v>
      </x:c>
      <x:c r="D963" s="18" t="str">
        <x:v>מְעָרָה</x:v>
      </x:c>
      <x:c r="E963" s="19" t="str">
        <x:v>məʿārâ</x:v>
      </x:c>
      <x:c r="F963" s="16" t="str">
        <x:v>מערה</x:v>
      </x:c>
      <x:c r="G963" s="20" t="str">
        <x:v>a cavern (as dark)</x:v>
      </x:c>
      <x:c r="H963" s="20" t="str"/>
      <x:c r="I963" s="21" t="str">
        <x:v>自編延伸</x:v>
      </x:c>
      <x:c r="J963" s="21"/>
      <x:c r="K963" s="22" t="n">
        <x:v>40</x:v>
      </x:c>
      <x:c r="L963" s="21" t="str">
        <x:v>H4631</x:v>
      </x:c>
      <x:c r="M963" s="21" t="str">
        <x:v>noun</x:v>
      </x:c>
      <x:c r="N963" s="21" t="str">
        <x:v>否</x:v>
      </x:c>
      <x:c r="O963" s="21" t="str"/>
      <x:c r="P963" s="21" t="str">
        <x:v>lemma_frequency_verified</x:v>
      </x:c>
      <x:c r="Q963" s="21" t="str">
        <x:v>rule_generated_exception_review</x:v>
      </x:c>
      <x:c r="R963" s="20" t="str">
        <x:v>https://github.com/openscriptures/morphhb</x:v>
      </x:c>
    </x:row>
    <x:row r="964" ht="28" customHeight="1">
      <x:c r="A964" s="21" t="n">
        <x:v>960</x:v>
      </x:c>
      <x:c r="B964" s="21" t="n">
        <x:f>ROUNDUP(A964/20,0)</x:f>
        <x:v>48</x:v>
      </x:c>
      <x:c r="C964" s="21" t="n">
        <x:f>MOD(A964-1,20)+1</x:f>
        <x:v>20</x:v>
      </x:c>
      <x:c r="D964" s="18" t="str">
        <x:v>עֹבֵד אֱדוֹם</x:v>
      </x:c>
      <x:c r="E964" s="19" t="str">
        <x:v>ʿōḇēḏ ʾĕḏôm</x:v>
      </x:c>
      <x:c r="F964" s="16" t="str">
        <x:v>עבדאדום</x:v>
      </x:c>
      <x:c r="G964" s="20" t="str">
        <x:v>Obed-Edom, the name of five Israelites</x:v>
      </x:c>
      <x:c r="H964" s="20" t="str"/>
      <x:c r="I964" s="21" t="str">
        <x:v>自編延伸</x:v>
      </x:c>
      <x:c r="J964" s="21"/>
      <x:c r="K964" s="22" t="n">
        <x:v>40</x:v>
      </x:c>
      <x:c r="L964" s="21" t="str">
        <x:v>H5654</x:v>
      </x:c>
      <x:c r="M964" s="21" t="str">
        <x:v>proper_name</x:v>
      </x:c>
      <x:c r="N964" s="21" t="str">
        <x:v>是</x:v>
      </x:c>
      <x:c r="O964" s="21" t="str">
        <x:v>人名</x:v>
      </x:c>
      <x:c r="P964" s="21" t="str">
        <x:v>lemma_frequency_verified</x:v>
      </x:c>
      <x:c r="Q964" s="21" t="str">
        <x:v>rule_generated_exception_review</x:v>
      </x:c>
      <x:c r="R964" s="20" t="str">
        <x:v>https://github.com/openscriptures/morphhb</x:v>
      </x:c>
    </x:row>
    <x:row r="965" ht="28" customHeight="1">
      <x:c r="A965" s="21" t="n">
        <x:v>961</x:v>
      </x:c>
      <x:c r="B965" s="21" t="n">
        <x:f>ROUNDUP(A965/20,0)</x:f>
        <x:v>49</x:v>
      </x:c>
      <x:c r="C965" s="21" t="n">
        <x:f>MOD(A965-1,20)+1</x:f>
        <x:v>1</x:v>
      </x:c>
      <x:c r="D965" s="18" t="str">
        <x:v>נָטַשׁ</x:v>
      </x:c>
      <x:c r="E965" s="19" t="str">
        <x:v>nāṭaš</x:v>
      </x:c>
      <x:c r="F965" s="16" t="str">
        <x:v>נטש</x:v>
      </x:c>
      <x:c r="G965" s="20" t="str">
        <x:v>properly, to pound, i.e. smite; by implication (as if beating out, and thus expanding) to disperse; also, to thrust off, down, out or upon (inclusively, reject, let alone, permit, remit, etc.)</x:v>
      </x:c>
      <x:c r="H965" s="20" t="str"/>
      <x:c r="I965" s="21" t="str">
        <x:v>自編延伸</x:v>
      </x:c>
      <x:c r="J965" s="21"/>
      <x:c r="K965" s="22" t="n">
        <x:v>40</x:v>
      </x:c>
      <x:c r="L965" s="21" t="str">
        <x:v>H5203</x:v>
      </x:c>
      <x:c r="M965" s="21" t="str">
        <x:v>verb</x:v>
      </x:c>
      <x:c r="N965" s="21" t="str">
        <x:v>否</x:v>
      </x:c>
      <x:c r="O965" s="21" t="str"/>
      <x:c r="P965" s="21" t="str">
        <x:v>lemma_frequency_verified</x:v>
      </x:c>
      <x:c r="Q965" s="21" t="str">
        <x:v>rule_generated_exception_review</x:v>
      </x:c>
      <x:c r="R965" s="20" t="str">
        <x:v>https://github.com/openscriptures/morphhb</x:v>
      </x:c>
    </x:row>
    <x:row r="966" ht="28" customHeight="1">
      <x:c r="A966" s="21" t="n">
        <x:v>962</x:v>
      </x:c>
      <x:c r="B966" s="21" t="n">
        <x:f>ROUNDUP(A966/20,0)</x:f>
        <x:v>49</x:v>
      </x:c>
      <x:c r="C966" s="21" t="n">
        <x:f>MOD(A966-1,20)+1</x:f>
        <x:v>2</x:v>
      </x:c>
      <x:c r="D966" s="18" t="str">
        <x:v>אַהֲבָה</x:v>
      </x:c>
      <x:c r="E966" s="19" t="str">
        <x:v>ʾahăḇâ</x:v>
      </x:c>
      <x:c r="F966" s="16" t="str">
        <x:v>אהבה</x:v>
      </x:c>
      <x:c r="G966" s="20" t="str">
        <x:v>{affection (in a good or a bad sense)}</x:v>
      </x:c>
      <x:c r="H966" s="20" t="str"/>
      <x:c r="I966" s="21" t="str">
        <x:v>自編延伸</x:v>
      </x:c>
      <x:c r="J966" s="21"/>
      <x:c r="K966" s="22" t="n">
        <x:v>40</x:v>
      </x:c>
      <x:c r="L966" s="21" t="str">
        <x:v>H160</x:v>
      </x:c>
      <x:c r="M966" s="21" t="str">
        <x:v>noun</x:v>
      </x:c>
      <x:c r="N966" s="21" t="str">
        <x:v>否</x:v>
      </x:c>
      <x:c r="O966" s="21" t="str"/>
      <x:c r="P966" s="21" t="str">
        <x:v>lemma_frequency_verified</x:v>
      </x:c>
      <x:c r="Q966" s="21" t="str">
        <x:v>rule_generated_exception_review</x:v>
      </x:c>
      <x:c r="R966" s="20" t="str">
        <x:v>https://github.com/openscriptures/morphhb</x:v>
      </x:c>
    </x:row>
    <x:row r="967" ht="28" customHeight="1">
      <x:c r="A967" s="21" t="n">
        <x:v>963</x:v>
      </x:c>
      <x:c r="B967" s="21" t="n">
        <x:f>ROUNDUP(A967/20,0)</x:f>
        <x:v>49</x:v>
      </x:c>
      <x:c r="C967" s="21" t="n">
        <x:f>MOD(A967-1,20)+1</x:f>
        <x:v>3</x:v>
      </x:c>
      <x:c r="D967" s="18" t="str">
        <x:v>עֹל</x:v>
      </x:c>
      <x:c r="E967" s="19" t="str">
        <x:v>ʿōl</x:v>
      </x:c>
      <x:c r="F967" s="16" t="str">
        <x:v>על</x:v>
      </x:c>
      <x:c r="G967" s="20" t="str">
        <x:v>a yoke (as imposed on the neck), literally or figuratively</x:v>
      </x:c>
      <x:c r="H967" s="20" t="str"/>
      <x:c r="I967" s="21" t="str">
        <x:v>自編延伸</x:v>
      </x:c>
      <x:c r="J967" s="21"/>
      <x:c r="K967" s="22" t="n">
        <x:v>40</x:v>
      </x:c>
      <x:c r="L967" s="21" t="str">
        <x:v>H5923</x:v>
      </x:c>
      <x:c r="M967" s="21" t="str">
        <x:v>noun</x:v>
      </x:c>
      <x:c r="N967" s="21" t="str">
        <x:v>否</x:v>
      </x:c>
      <x:c r="O967" s="21" t="str"/>
      <x:c r="P967" s="21" t="str">
        <x:v>lemma_frequency_verified</x:v>
      </x:c>
      <x:c r="Q967" s="21" t="str">
        <x:v>rule_generated_exception_review</x:v>
      </x:c>
      <x:c r="R967" s="20" t="str">
        <x:v>https://github.com/openscriptures/morphhb</x:v>
      </x:c>
    </x:row>
    <x:row r="968" ht="28" customHeight="1">
      <x:c r="A968" s="21" t="n">
        <x:v>964</x:v>
      </x:c>
      <x:c r="B968" s="21" t="n">
        <x:f>ROUNDUP(A968/20,0)</x:f>
        <x:v>49</x:v>
      </x:c>
      <x:c r="C968" s="21" t="n">
        <x:f>MOD(A968-1,20)+1</x:f>
        <x:v>4</x:v>
      </x:c>
      <x:c r="D968" s="18" t="str">
        <x:v>אֲשֵׁרָה</x:v>
      </x:c>
      <x:c r="E968" s="19" t="str">
        <x:v>ʾăšērâ</x:v>
      </x:c>
      <x:c r="F968" s="16" t="str">
        <x:v>אשרה</x:v>
      </x:c>
      <x:c r="G968" s="20" t="str">
        <x:v>Asherah (or Astarte) a Phoenician goddess; also an image of the same</x:v>
      </x:c>
      <x:c r="H968" s="20" t="str"/>
      <x:c r="I968" s="21" t="str">
        <x:v>自編延伸</x:v>
      </x:c>
      <x:c r="J968" s="21"/>
      <x:c r="K968" s="22" t="n">
        <x:v>40</x:v>
      </x:c>
      <x:c r="L968" s="21" t="str">
        <x:v>H842</x:v>
      </x:c>
      <x:c r="M968" s="21" t="str">
        <x:v>proper_name</x:v>
      </x:c>
      <x:c r="N968" s="21" t="str">
        <x:v>是</x:v>
      </x:c>
      <x:c r="O968" s="21" t="str">
        <x:v>神名／稱號</x:v>
      </x:c>
      <x:c r="P968" s="21" t="str">
        <x:v>lemma_frequency_verified</x:v>
      </x:c>
      <x:c r="Q968" s="21" t="str">
        <x:v>rule_generated_exception_review</x:v>
      </x:c>
      <x:c r="R968" s="20" t="str">
        <x:v>https://github.com/openscriptures/morphhb</x:v>
      </x:c>
    </x:row>
    <x:row r="969" ht="28" customHeight="1">
      <x:c r="A969" s="21" t="n">
        <x:v>965</x:v>
      </x:c>
      <x:c r="B969" s="21" t="n">
        <x:f>ROUNDUP(A969/20,0)</x:f>
        <x:v>49</x:v>
      </x:c>
      <x:c r="C969" s="21" t="n">
        <x:f>MOD(A969-1,20)+1</x:f>
        <x:v>5</x:v>
      </x:c>
      <x:c r="D969" s="18" t="str">
        <x:v>אֵיפָה</x:v>
      </x:c>
      <x:c r="E969" s="19" t="str">
        <x:v>ʾêp̄â</x:v>
      </x:c>
      <x:c r="F969" s="16" t="str">
        <x:v>איפה</x:v>
      </x:c>
      <x:c r="G969" s="20" t="str">
        <x:v>an ephah or measure for grain; hence, a measure in general</x:v>
      </x:c>
      <x:c r="H969" s="20" t="str"/>
      <x:c r="I969" s="21" t="str">
        <x:v>自編延伸</x:v>
      </x:c>
      <x:c r="J969" s="21"/>
      <x:c r="K969" s="22" t="n">
        <x:v>40</x:v>
      </x:c>
      <x:c r="L969" s="21" t="str">
        <x:v>H374</x:v>
      </x:c>
      <x:c r="M969" s="21" t="str">
        <x:v>noun</x:v>
      </x:c>
      <x:c r="N969" s="21" t="str">
        <x:v>否</x:v>
      </x:c>
      <x:c r="O969" s="21" t="str"/>
      <x:c r="P969" s="21" t="str">
        <x:v>lemma_frequency_verified</x:v>
      </x:c>
      <x:c r="Q969" s="21" t="str">
        <x:v>rule_generated_exception_review</x:v>
      </x:c>
      <x:c r="R969" s="20" t="str">
        <x:v>https://github.com/openscriptures/morphhb</x:v>
      </x:c>
    </x:row>
    <x:row r="970" ht="28" customHeight="1">
      <x:c r="A970" s="21" t="n">
        <x:v>966</x:v>
      </x:c>
      <x:c r="B970" s="21" t="n">
        <x:f>ROUNDUP(A970/20,0)</x:f>
        <x:v>49</x:v>
      </x:c>
      <x:c r="C970" s="21" t="n">
        <x:f>MOD(A970-1,20)+1</x:f>
        <x:v>6</x:v>
      </x:c>
      <x:c r="D970" s="18" t="str">
        <x:v>גָּנַב</x:v>
      </x:c>
      <x:c r="E970" s="19" t="str">
        <x:v>gānaḇ</x:v>
      </x:c>
      <x:c r="F970" s="16" t="str">
        <x:v>גנב</x:v>
      </x:c>
      <x:c r="G970" s="20" t="str">
        <x:v>to thieve (literally or figuratively); by implication, to deceive</x:v>
      </x:c>
      <x:c r="H970" s="20" t="str"/>
      <x:c r="I970" s="21" t="str">
        <x:v>自編延伸</x:v>
      </x:c>
      <x:c r="J970" s="21"/>
      <x:c r="K970" s="22" t="n">
        <x:v>40</x:v>
      </x:c>
      <x:c r="L970" s="21" t="str">
        <x:v>H1589</x:v>
      </x:c>
      <x:c r="M970" s="21" t="str">
        <x:v>verb</x:v>
      </x:c>
      <x:c r="N970" s="21" t="str">
        <x:v>否</x:v>
      </x:c>
      <x:c r="O970" s="21" t="str"/>
      <x:c r="P970" s="21" t="str">
        <x:v>lemma_frequency_verified</x:v>
      </x:c>
      <x:c r="Q970" s="21" t="str">
        <x:v>rule_generated_exception_review</x:v>
      </x:c>
      <x:c r="R970" s="20" t="str">
        <x:v>https://github.com/openscriptures/morphhb</x:v>
      </x:c>
    </x:row>
    <x:row r="971" ht="28" customHeight="1">
      <x:c r="A971" s="21" t="n">
        <x:v>967</x:v>
      </x:c>
      <x:c r="B971" s="21" t="n">
        <x:f>ROUNDUP(A971/20,0)</x:f>
        <x:v>49</x:v>
      </x:c>
      <x:c r="C971" s="21" t="n">
        <x:f>MOD(A971-1,20)+1</x:f>
        <x:v>7</x:v>
      </x:c>
      <x:c r="D971" s="18" t="str">
        <x:v>שַׁמָּה</x:v>
      </x:c>
      <x:c r="E971" s="19" t="str">
        <x:v>šammâ</x:v>
      </x:c>
      <x:c r="F971" s="16" t="str">
        <x:v>שמה</x:v>
      </x:c>
      <x:c r="G971" s="20" t="str">
        <x:v>ruin; by implication, consternation</x:v>
      </x:c>
      <x:c r="H971" s="20" t="str"/>
      <x:c r="I971" s="21" t="str">
        <x:v>自編延伸</x:v>
      </x:c>
      <x:c r="J971" s="21"/>
      <x:c r="K971" s="22" t="n">
        <x:v>40</x:v>
      </x:c>
      <x:c r="L971" s="21" t="str">
        <x:v>H8047</x:v>
      </x:c>
      <x:c r="M971" s="21" t="str">
        <x:v>noun</x:v>
      </x:c>
      <x:c r="N971" s="21" t="str">
        <x:v>否</x:v>
      </x:c>
      <x:c r="O971" s="21" t="str"/>
      <x:c r="P971" s="21" t="str">
        <x:v>lemma_frequency_verified</x:v>
      </x:c>
      <x:c r="Q971" s="21" t="str">
        <x:v>rule_generated_exception_review</x:v>
      </x:c>
      <x:c r="R971" s="20" t="str">
        <x:v>https://github.com/openscriptures/morphhb</x:v>
      </x:c>
    </x:row>
    <x:row r="972" ht="28" customHeight="1">
      <x:c r="A972" s="21" t="n">
        <x:v>968</x:v>
      </x:c>
      <x:c r="B972" s="21" t="n">
        <x:f>ROUNDUP(A972/20,0)</x:f>
        <x:v>49</x:v>
      </x:c>
      <x:c r="C972" s="21" t="n">
        <x:f>MOD(A972-1,20)+1</x:f>
        <x:v>8</x:v>
      </x:c>
      <x:c r="D972" s="18" t="str">
        <x:v>דָּגָן</x:v>
      </x:c>
      <x:c r="E972" s="19" t="str">
        <x:v>dāg̅ān</x:v>
      </x:c>
      <x:c r="F972" s="16" t="str">
        <x:v>דגן</x:v>
      </x:c>
      <x:c r="G972" s="20" t="str">
        <x:v>properly, increase, i.e. grain</x:v>
      </x:c>
      <x:c r="H972" s="20" t="str"/>
      <x:c r="I972" s="21" t="str">
        <x:v>自編延伸</x:v>
      </x:c>
      <x:c r="J972" s="21"/>
      <x:c r="K972" s="22" t="n">
        <x:v>40</x:v>
      </x:c>
      <x:c r="L972" s="21" t="str">
        <x:v>H1715</x:v>
      </x:c>
      <x:c r="M972" s="21" t="str">
        <x:v>noun</x:v>
      </x:c>
      <x:c r="N972" s="21" t="str">
        <x:v>否</x:v>
      </x:c>
      <x:c r="O972" s="21" t="str"/>
      <x:c r="P972" s="21" t="str">
        <x:v>lemma_frequency_verified</x:v>
      </x:c>
      <x:c r="Q972" s="21" t="str">
        <x:v>rule_generated_exception_review</x:v>
      </x:c>
      <x:c r="R972" s="20" t="str">
        <x:v>https://github.com/openscriptures/morphhb</x:v>
      </x:c>
    </x:row>
    <x:row r="973" ht="28" customHeight="1">
      <x:c r="A973" s="21" t="n">
        <x:v>969</x:v>
      </x:c>
      <x:c r="B973" s="21" t="n">
        <x:f>ROUNDUP(A973/20,0)</x:f>
        <x:v>49</x:v>
      </x:c>
      <x:c r="C973" s="21" t="n">
        <x:f>MOD(A973-1,20)+1</x:f>
        <x:v>9</x:v>
      </x:c>
      <x:c r="D973" s="18" t="str">
        <x:v>צִפּוֹר</x:v>
      </x:c>
      <x:c r="E973" s="19" t="str">
        <x:v>ṣippôr</x:v>
      </x:c>
      <x:c r="F973" s="16" t="str">
        <x:v>צפור</x:v>
      </x:c>
      <x:c r="G973" s="20" t="str">
        <x:v>a little bird (as hopping)</x:v>
      </x:c>
      <x:c r="H973" s="20" t="str"/>
      <x:c r="I973" s="21" t="str">
        <x:v>自編延伸</x:v>
      </x:c>
      <x:c r="J973" s="21"/>
      <x:c r="K973" s="22" t="n">
        <x:v>40</x:v>
      </x:c>
      <x:c r="L973" s="21" t="str">
        <x:v>H6833</x:v>
      </x:c>
      <x:c r="M973" s="21" t="str">
        <x:v>noun</x:v>
      </x:c>
      <x:c r="N973" s="21" t="str">
        <x:v>否</x:v>
      </x:c>
      <x:c r="O973" s="21" t="str"/>
      <x:c r="P973" s="21" t="str">
        <x:v>lemma_frequency_verified</x:v>
      </x:c>
      <x:c r="Q973" s="21" t="str">
        <x:v>rule_generated_exception_review</x:v>
      </x:c>
      <x:c r="R973" s="20" t="str">
        <x:v>https://github.com/openscriptures/morphhb</x:v>
      </x:c>
    </x:row>
    <x:row r="974" ht="28" customHeight="1">
      <x:c r="A974" s="21" t="n">
        <x:v>970</x:v>
      </x:c>
      <x:c r="B974" s="21" t="n">
        <x:f>ROUNDUP(A974/20,0)</x:f>
        <x:v>49</x:v>
      </x:c>
      <x:c r="C974" s="21" t="n">
        <x:f>MOD(A974-1,20)+1</x:f>
        <x:v>10</x:v>
      </x:c>
      <x:c r="D974" s="18" t="str">
        <x:v>עַי</x:v>
      </x:c>
      <x:c r="E974" s="19" t="str">
        <x:v>ʿay</x:v>
      </x:c>
      <x:c r="F974" s="16" t="str">
        <x:v>עי</x:v>
      </x:c>
      <x:c r="G974" s="20" t="str">
        <x:v>Ai, Aja or Ajath, a place in Palestine</x:v>
      </x:c>
      <x:c r="H974" s="20" t="str"/>
      <x:c r="I974" s="21" t="str">
        <x:v>自編延伸</x:v>
      </x:c>
      <x:c r="J974" s="21"/>
      <x:c r="K974" s="22" t="n">
        <x:v>40</x:v>
      </x:c>
      <x:c r="L974" s="21" t="str">
        <x:v>H5857</x:v>
      </x:c>
      <x:c r="M974" s="21" t="str">
        <x:v>proper_name</x:v>
      </x:c>
      <x:c r="N974" s="21" t="str">
        <x:v>是</x:v>
      </x:c>
      <x:c r="O974" s="21" t="str">
        <x:v>地名</x:v>
      </x:c>
      <x:c r="P974" s="21" t="str">
        <x:v>lemma_frequency_verified</x:v>
      </x:c>
      <x:c r="Q974" s="21" t="str">
        <x:v>rule_generated_exception_review</x:v>
      </x:c>
      <x:c r="R974" s="20" t="str">
        <x:v>https://github.com/openscriptures/morphhb</x:v>
      </x:c>
    </x:row>
    <x:row r="975" ht="28" customHeight="1">
      <x:c r="A975" s="21" t="n">
        <x:v>971</x:v>
      </x:c>
      <x:c r="B975" s="21" t="n">
        <x:f>ROUNDUP(A975/20,0)</x:f>
        <x:v>49</x:v>
      </x:c>
      <x:c r="C975" s="21" t="n">
        <x:f>MOD(A975-1,20)+1</x:f>
        <x:v>11</x:v>
      </x:c>
      <x:c r="D975" s="18" t="str">
        <x:v>תּוֹלְדָה</x:v>
      </x:c>
      <x:c r="E975" s="19" t="str">
        <x:v>tôləḏâ</x:v>
      </x:c>
      <x:c r="F975" s="16" t="str">
        <x:v>תולדה</x:v>
      </x:c>
      <x:c r="G975" s="20" t="str">
        <x:v>(plural only) descent, i.e. family; (figuratively) history</x:v>
      </x:c>
      <x:c r="H975" s="20" t="str"/>
      <x:c r="I975" s="21" t="str">
        <x:v>自編延伸</x:v>
      </x:c>
      <x:c r="J975" s="21"/>
      <x:c r="K975" s="22" t="n">
        <x:v>39</x:v>
      </x:c>
      <x:c r="L975" s="21" t="str">
        <x:v>H8435</x:v>
      </x:c>
      <x:c r="M975" s="21" t="str">
        <x:v>noun</x:v>
      </x:c>
      <x:c r="N975" s="21" t="str">
        <x:v>否</x:v>
      </x:c>
      <x:c r="O975" s="21" t="str"/>
      <x:c r="P975" s="21" t="str">
        <x:v>lemma_frequency_verified</x:v>
      </x:c>
      <x:c r="Q975" s="21" t="str">
        <x:v>rule_generated_exception_review</x:v>
      </x:c>
      <x:c r="R975" s="20" t="str">
        <x:v>https://github.com/openscriptures/morphhb</x:v>
      </x:c>
    </x:row>
    <x:row r="976" ht="28" customHeight="1">
      <x:c r="A976" s="21" t="n">
        <x:v>972</x:v>
      </x:c>
      <x:c r="B976" s="21" t="n">
        <x:f>ROUNDUP(A976/20,0)</x:f>
        <x:v>49</x:v>
      </x:c>
      <x:c r="C976" s="21" t="n">
        <x:f>MOD(A976-1,20)+1</x:f>
        <x:v>12</x:v>
      </x:c>
      <x:c r="D976" s="18" t="str">
        <x:v>עֲמָלֵק</x:v>
      </x:c>
      <x:c r="E976" s="19" t="str">
        <x:v>ʿămālēq</x:v>
      </x:c>
      <x:c r="F976" s="16" t="str">
        <x:v>עמלק</x:v>
      </x:c>
      <x:c r="G976" s="20" t="str">
        <x:v>Amalek, a descendant of Esau; also his posterity and their country</x:v>
      </x:c>
      <x:c r="H976" s="20" t="str"/>
      <x:c r="I976" s="21" t="str">
        <x:v>自編延伸</x:v>
      </x:c>
      <x:c r="J976" s="21"/>
      <x:c r="K976" s="22" t="n">
        <x:v>39</x:v>
      </x:c>
      <x:c r="L976" s="21" t="str">
        <x:v>H6002</x:v>
      </x:c>
      <x:c r="M976" s="21" t="str">
        <x:v>proper_name</x:v>
      </x:c>
      <x:c r="N976" s="21" t="str">
        <x:v>是</x:v>
      </x:c>
      <x:c r="O976" s="21" t="str">
        <x:v>人名、地名、民族／國族</x:v>
      </x:c>
      <x:c r="P976" s="21" t="str">
        <x:v>lemma_frequency_verified</x:v>
      </x:c>
      <x:c r="Q976" s="21" t="str">
        <x:v>rule_generated_exception_review</x:v>
      </x:c>
      <x:c r="R976" s="20" t="str">
        <x:v>https://github.com/openscriptures/morphhb</x:v>
      </x:c>
    </x:row>
    <x:row r="977" ht="28" customHeight="1">
      <x:c r="A977" s="21" t="n">
        <x:v>973</x:v>
      </x:c>
      <x:c r="B977" s="21" t="n">
        <x:f>ROUNDUP(A977/20,0)</x:f>
        <x:v>49</x:v>
      </x:c>
      <x:c r="C977" s="21" t="n">
        <x:f>MOD(A977-1,20)+1</x:f>
        <x:v>13</x:v>
      </x:c>
      <x:c r="D977" s="18" t="str">
        <x:v>שֵׂעִיר</x:v>
      </x:c>
      <x:c r="E977" s="19" t="str">
        <x:v>śēʿîr</x:v>
      </x:c>
      <x:c r="F977" s="16" t="str">
        <x:v>שעיר</x:v>
      </x:c>
      <x:c r="G977" s="20" t="str">
        <x:v>Seir, a mountain of Idumaea and its aboriginal occupants, also one in Palestine</x:v>
      </x:c>
      <x:c r="H977" s="20" t="str"/>
      <x:c r="I977" s="21" t="str">
        <x:v>自編延伸</x:v>
      </x:c>
      <x:c r="J977" s="21"/>
      <x:c r="K977" s="22" t="n">
        <x:v>39</x:v>
      </x:c>
      <x:c r="L977" s="21" t="str">
        <x:v>H8165</x:v>
      </x:c>
      <x:c r="M977" s="21" t="str">
        <x:v>proper_name</x:v>
      </x:c>
      <x:c r="N977" s="21" t="str">
        <x:v>是</x:v>
      </x:c>
      <x:c r="O977" s="21" t="str">
        <x:v>地名、民族／國族</x:v>
      </x:c>
      <x:c r="P977" s="21" t="str">
        <x:v>lemma_frequency_verified</x:v>
      </x:c>
      <x:c r="Q977" s="21" t="str">
        <x:v>rule_generated_exception_review</x:v>
      </x:c>
      <x:c r="R977" s="20" t="str">
        <x:v>https://github.com/openscriptures/morphhb</x:v>
      </x:c>
    </x:row>
    <x:row r="978" ht="28" customHeight="1">
      <x:c r="A978" s="21" t="n">
        <x:v>974</x:v>
      </x:c>
      <x:c r="B978" s="21" t="n">
        <x:f>ROUNDUP(A978/20,0)</x:f>
        <x:v>49</x:v>
      </x:c>
      <x:c r="C978" s="21" t="n">
        <x:f>MOD(A978-1,20)+1</x:f>
        <x:v>14</x:v>
      </x:c>
      <x:c r="D978" s="18" t="str">
        <x:v>קִרְיַת יְעָרִים</x:v>
      </x:c>
      <x:c r="E978" s="19" t="str">
        <x:v>qiryaṯ yəʿārîm</x:v>
      </x:c>
      <x:c r="F978" s="16" t="str">
        <x:v>קריתיערים</x:v>
      </x:c>
      <x:c r="G978" s="20" t="str">
        <x:v>Kirjath-Jearim or Kirjath-Arim, a place in Palestine</x:v>
      </x:c>
      <x:c r="H978" s="20" t="str"/>
      <x:c r="I978" s="21" t="str">
        <x:v>自編延伸</x:v>
      </x:c>
      <x:c r="J978" s="21"/>
      <x:c r="K978" s="22" t="n">
        <x:v>39</x:v>
      </x:c>
      <x:c r="L978" s="21" t="str">
        <x:v>H7157</x:v>
      </x:c>
      <x:c r="M978" s="21" t="str">
        <x:v>proper_name</x:v>
      </x:c>
      <x:c r="N978" s="21" t="str">
        <x:v>是</x:v>
      </x:c>
      <x:c r="O978" s="21" t="str">
        <x:v>地名</x:v>
      </x:c>
      <x:c r="P978" s="21" t="str">
        <x:v>lemma_frequency_verified</x:v>
      </x:c>
      <x:c r="Q978" s="21" t="str">
        <x:v>rule_generated_exception_review</x:v>
      </x:c>
      <x:c r="R978" s="20" t="str">
        <x:v>https://github.com/openscriptures/morphhb</x:v>
      </x:c>
    </x:row>
    <x:row r="979" ht="28" customHeight="1">
      <x:c r="A979" s="21" t="n">
        <x:v>975</x:v>
      </x:c>
      <x:c r="B979" s="21" t="n">
        <x:f>ROUNDUP(A979/20,0)</x:f>
        <x:v>49</x:v>
      </x:c>
      <x:c r="C979" s="21" t="n">
        <x:f>MOD(A979-1,20)+1</x:f>
        <x:v>15</x:v>
      </x:c>
      <x:c r="D979" s="18" t="str">
        <x:v>יְשַׁעְיָה</x:v>
      </x:c>
      <x:c r="E979" s="19" t="str">
        <x:v>yəšaʿyâ</x:v>
      </x:c>
      <x:c r="F979" s="16" t="str">
        <x:v>ישעיה</x:v>
      </x:c>
      <x:c r="G979" s="20" t="str">
        <x:v>Jeshajah, the name of seven Israelites</x:v>
      </x:c>
      <x:c r="H979" s="20" t="str"/>
      <x:c r="I979" s="21" t="str">
        <x:v>自編延伸</x:v>
      </x:c>
      <x:c r="J979" s="21"/>
      <x:c r="K979" s="22" t="n">
        <x:v>39</x:v>
      </x:c>
      <x:c r="L979" s="21" t="str">
        <x:v>H3470</x:v>
      </x:c>
      <x:c r="M979" s="21" t="str">
        <x:v>proper_name</x:v>
      </x:c>
      <x:c r="N979" s="21" t="str">
        <x:v>是</x:v>
      </x:c>
      <x:c r="O979" s="21" t="str">
        <x:v>人名</x:v>
      </x:c>
      <x:c r="P979" s="21" t="str">
        <x:v>lemma_frequency_verified</x:v>
      </x:c>
      <x:c r="Q979" s="21" t="str">
        <x:v>rule_generated_exception_review</x:v>
      </x:c>
      <x:c r="R979" s="20" t="str">
        <x:v>https://github.com/openscriptures/morphhb</x:v>
      </x:c>
    </x:row>
    <x:row r="980" ht="28" customHeight="1">
      <x:c r="A980" s="21" t="n">
        <x:v>976</x:v>
      </x:c>
      <x:c r="B980" s="21" t="n">
        <x:f>ROUNDUP(A980/20,0)</x:f>
        <x:v>49</x:v>
      </x:c>
      <x:c r="C980" s="21" t="n">
        <x:f>MOD(A980-1,20)+1</x:f>
        <x:v>16</x:v>
      </x:c>
      <x:c r="D980" s="18" t="str">
        <x:v>מְרָרִי</x:v>
      </x:c>
      <x:c r="E980" s="19" t="str">
        <x:v>mərārî</x:v>
      </x:c>
      <x:c r="F980" s="16" t="str">
        <x:v>מררי</x:v>
      </x:c>
      <x:c r="G980" s="20" t="str">
        <x:v>Merari, an Israelite</x:v>
      </x:c>
      <x:c r="H980" s="20" t="str"/>
      <x:c r="I980" s="21" t="str">
        <x:v>自編延伸</x:v>
      </x:c>
      <x:c r="J980" s="21"/>
      <x:c r="K980" s="22" t="n">
        <x:v>39</x:v>
      </x:c>
      <x:c r="L980" s="21" t="str">
        <x:v>H4847</x:v>
      </x:c>
      <x:c r="M980" s="21" t="str">
        <x:v>proper_name</x:v>
      </x:c>
      <x:c r="N980" s="21" t="str">
        <x:v>是</x:v>
      </x:c>
      <x:c r="O980" s="21" t="str">
        <x:v>人名</x:v>
      </x:c>
      <x:c r="P980" s="21" t="str">
        <x:v>lemma_frequency_verified</x:v>
      </x:c>
      <x:c r="Q980" s="21" t="str">
        <x:v>rule_generated_exception_review</x:v>
      </x:c>
      <x:c r="R980" s="20" t="str">
        <x:v>https://github.com/openscriptures/morphhb</x:v>
      </x:c>
    </x:row>
    <x:row r="981" ht="28" customHeight="1">
      <x:c r="A981" s="21" t="n">
        <x:v>977</x:v>
      </x:c>
      <x:c r="B981" s="21" t="n">
        <x:f>ROUNDUP(A981/20,0)</x:f>
        <x:v>49</x:v>
      </x:c>
      <x:c r="C981" s="21" t="n">
        <x:f>MOD(A981-1,20)+1</x:f>
        <x:v>17</x:v>
      </x:c>
      <x:c r="D981" s="18" t="str">
        <x:v>אָבַל</x:v>
      </x:c>
      <x:c r="E981" s="19" t="str">
        <x:v>ʾāḇal</x:v>
      </x:c>
      <x:c r="F981" s="16" t="str">
        <x:v>אבל</x:v>
      </x:c>
      <x:c r="G981" s="20" t="str">
        <x:v>to bewail</x:v>
      </x:c>
      <x:c r="H981" s="20" t="str"/>
      <x:c r="I981" s="21" t="str">
        <x:v>自編延伸</x:v>
      </x:c>
      <x:c r="J981" s="21"/>
      <x:c r="K981" s="22" t="n">
        <x:v>39</x:v>
      </x:c>
      <x:c r="L981" s="21" t="str">
        <x:v>H56</x:v>
      </x:c>
      <x:c r="M981" s="21" t="str">
        <x:v>verb</x:v>
      </x:c>
      <x:c r="N981" s="21" t="str">
        <x:v>否</x:v>
      </x:c>
      <x:c r="O981" s="21" t="str"/>
      <x:c r="P981" s="21" t="str">
        <x:v>lemma_frequency_verified</x:v>
      </x:c>
      <x:c r="Q981" s="21" t="str">
        <x:v>rule_generated_exception_review</x:v>
      </x:c>
      <x:c r="R981" s="20" t="str">
        <x:v>https://github.com/openscriptures/morphhb</x:v>
      </x:c>
    </x:row>
    <x:row r="982" ht="28" customHeight="1">
      <x:c r="A982" s="21" t="n">
        <x:v>978</x:v>
      </x:c>
      <x:c r="B982" s="21" t="n">
        <x:f>ROUNDUP(A982/20,0)</x:f>
        <x:v>49</x:v>
      </x:c>
      <x:c r="C982" s="21" t="n">
        <x:f>MOD(A982-1,20)+1</x:f>
        <x:v>18</x:v>
      </x:c>
      <x:c r="D982" s="18" t="str">
        <x:v>אוּרִיָּה</x:v>
      </x:c>
      <x:c r="E982" s="19" t="str">
        <x:v>ʾûriyyâ</x:v>
      </x:c>
      <x:c r="F982" s="16" t="str">
        <x:v>אוריה</x:v>
      </x:c>
      <x:c r="G982" s="20" t="str">
        <x:v>Urijah, the name of one Hittite and five Israelites</x:v>
      </x:c>
      <x:c r="H982" s="20" t="str"/>
      <x:c r="I982" s="21" t="str">
        <x:v>自編延伸</x:v>
      </x:c>
      <x:c r="J982" s="21"/>
      <x:c r="K982" s="22" t="n">
        <x:v>39</x:v>
      </x:c>
      <x:c r="L982" s="21" t="str">
        <x:v>H223</x:v>
      </x:c>
      <x:c r="M982" s="21" t="str">
        <x:v>proper_name</x:v>
      </x:c>
      <x:c r="N982" s="21" t="str">
        <x:v>是</x:v>
      </x:c>
      <x:c r="O982" s="21" t="str">
        <x:v>人名</x:v>
      </x:c>
      <x:c r="P982" s="21" t="str">
        <x:v>lemma_frequency_verified</x:v>
      </x:c>
      <x:c r="Q982" s="21" t="str">
        <x:v>rule_generated_exception_review</x:v>
      </x:c>
      <x:c r="R982" s="20" t="str">
        <x:v>https://github.com/openscriptures/morphhb</x:v>
      </x:c>
    </x:row>
    <x:row r="983" ht="28" customHeight="1">
      <x:c r="A983" s="21" t="n">
        <x:v>979</x:v>
      </x:c>
      <x:c r="B983" s="21" t="n">
        <x:f>ROUNDUP(A983/20,0)</x:f>
        <x:v>49</x:v>
      </x:c>
      <x:c r="C983" s="21" t="n">
        <x:f>MOD(A983-1,20)+1</x:f>
        <x:v>19</x:v>
      </x:c>
      <x:c r="D983" s="18" t="str">
        <x:v>קָהַל</x:v>
      </x:c>
      <x:c r="E983" s="19" t="str">
        <x:v>qāhal</x:v>
      </x:c>
      <x:c r="F983" s="16" t="str">
        <x:v>קהל</x:v>
      </x:c>
      <x:c r="G983" s="20" t="str">
        <x:v>to convoke</x:v>
      </x:c>
      <x:c r="H983" s="20" t="str"/>
      <x:c r="I983" s="21" t="str">
        <x:v>自編延伸</x:v>
      </x:c>
      <x:c r="J983" s="21"/>
      <x:c r="K983" s="22" t="n">
        <x:v>39</x:v>
      </x:c>
      <x:c r="L983" s="21" t="str">
        <x:v>H6950</x:v>
      </x:c>
      <x:c r="M983" s="21" t="str">
        <x:v>verb</x:v>
      </x:c>
      <x:c r="N983" s="21" t="str">
        <x:v>否</x:v>
      </x:c>
      <x:c r="O983" s="21" t="str"/>
      <x:c r="P983" s="21" t="str">
        <x:v>lemma_frequency_verified</x:v>
      </x:c>
      <x:c r="Q983" s="21" t="str">
        <x:v>rule_generated_exception_review</x:v>
      </x:c>
      <x:c r="R983" s="20" t="str">
        <x:v>https://github.com/openscriptures/morphhb</x:v>
      </x:c>
    </x:row>
    <x:row r="984" ht="28" customHeight="1">
      <x:c r="A984" s="21" t="n">
        <x:v>980</x:v>
      </x:c>
      <x:c r="B984" s="21" t="n">
        <x:f>ROUNDUP(A984/20,0)</x:f>
        <x:v>49</x:v>
      </x:c>
      <x:c r="C984" s="21" t="n">
        <x:f>MOD(A984-1,20)+1</x:f>
        <x:v>20</x:v>
      </x:c>
      <x:c r="D984" s="18" t="str">
        <x:v>מוֹט</x:v>
      </x:c>
      <x:c r="E984" s="19" t="str">
        <x:v>môṭ</x:v>
      </x:c>
      <x:c r="F984" s="16" t="str">
        <x:v>מוט</x:v>
      </x:c>
      <x:c r="G984" s="20" t="str">
        <x:v>to waver; by implication, to slip, shake, fall</x:v>
      </x:c>
      <x:c r="H984" s="20" t="str"/>
      <x:c r="I984" s="21" t="str">
        <x:v>自編延伸</x:v>
      </x:c>
      <x:c r="J984" s="21"/>
      <x:c r="K984" s="22" t="n">
        <x:v>39</x:v>
      </x:c>
      <x:c r="L984" s="21" t="str">
        <x:v>H4131</x:v>
      </x:c>
      <x:c r="M984" s="21" t="str">
        <x:v>verb</x:v>
      </x:c>
      <x:c r="N984" s="21" t="str">
        <x:v>否</x:v>
      </x:c>
      <x:c r="O984" s="21" t="str"/>
      <x:c r="P984" s="21" t="str">
        <x:v>lemma_frequency_verified</x:v>
      </x:c>
      <x:c r="Q984" s="21" t="str">
        <x:v>rule_generated_exception_review</x:v>
      </x:c>
      <x:c r="R984" s="20" t="str">
        <x:v>https://github.com/openscriptures/morphhb</x:v>
      </x:c>
    </x:row>
    <x:row r="985" ht="28" customHeight="1">
      <x:c r="A985" s="21" t="n">
        <x:v>981</x:v>
      </x:c>
      <x:c r="B985" s="21" t="n">
        <x:f>ROUNDUP(A985/20,0)</x:f>
        <x:v>50</x:v>
      </x:c>
      <x:c r="C985" s="21" t="n">
        <x:f>MOD(A985-1,20)+1</x:f>
        <x:v>1</x:v>
      </x:c>
      <x:c r="D985" s="18" t="str">
        <x:v>חָרַד</x:v>
      </x:c>
      <x:c r="E985" s="19" t="str">
        <x:v>ḥāraḏ</x:v>
      </x:c>
      <x:c r="F985" s="16" t="str">
        <x:v>חרד</x:v>
      </x:c>
      <x:c r="G985" s="20" t="str">
        <x:v>to shudder with terror; hence, to fear; also to hasten (with anxiety)</x:v>
      </x:c>
      <x:c r="H985" s="20" t="str"/>
      <x:c r="I985" s="21" t="str">
        <x:v>自編延伸</x:v>
      </x:c>
      <x:c r="J985" s="21"/>
      <x:c r="K985" s="22" t="n">
        <x:v>39</x:v>
      </x:c>
      <x:c r="L985" s="21" t="str">
        <x:v>H2729</x:v>
      </x:c>
      <x:c r="M985" s="21" t="str">
        <x:v>verb</x:v>
      </x:c>
      <x:c r="N985" s="21" t="str">
        <x:v>否</x:v>
      </x:c>
      <x:c r="O985" s="21" t="str"/>
      <x:c r="P985" s="21" t="str">
        <x:v>lemma_frequency_verified</x:v>
      </x:c>
      <x:c r="Q985" s="21" t="str">
        <x:v>rule_generated_exception_review</x:v>
      </x:c>
      <x:c r="R985" s="20" t="str">
        <x:v>https://github.com/openscriptures/morphhb</x:v>
      </x:c>
    </x:row>
    <x:row r="986" ht="28" customHeight="1">
      <x:c r="A986" s="21" t="n">
        <x:v>982</x:v>
      </x:c>
      <x:c r="B986" s="21" t="n">
        <x:f>ROUNDUP(A986/20,0)</x:f>
        <x:v>50</x:v>
      </x:c>
      <x:c r="C986" s="21" t="n">
        <x:f>MOD(A986-1,20)+1</x:f>
        <x:v>2</x:v>
      </x:c>
      <x:c r="D986" s="18" t="str">
        <x:v>כָּבֵד</x:v>
      </x:c>
      <x:c r="E986" s="19" t="str">
        <x:v>kāḇēḏ</x:v>
      </x:c>
      <x:c r="F986" s="16" t="str">
        <x:v>כבד</x:v>
      </x:c>
      <x:c r="G986" s="20" t="str">
        <x:v>heavy; figuratively in a good sense (numerous) or in a bad sense (severe, difficult, stupid)</x:v>
      </x:c>
      <x:c r="H986" s="20" t="str"/>
      <x:c r="I986" s="21" t="str">
        <x:v>自編延伸</x:v>
      </x:c>
      <x:c r="J986" s="21"/>
      <x:c r="K986" s="22" t="n">
        <x:v>39</x:v>
      </x:c>
      <x:c r="L986" s="21" t="str">
        <x:v>H3515</x:v>
      </x:c>
      <x:c r="M986" s="21" t="str">
        <x:v>adjective</x:v>
      </x:c>
      <x:c r="N986" s="21" t="str">
        <x:v>否</x:v>
      </x:c>
      <x:c r="O986" s="21" t="str"/>
      <x:c r="P986" s="21" t="str">
        <x:v>lemma_frequency_verified</x:v>
      </x:c>
      <x:c r="Q986" s="21" t="str">
        <x:v>rule_generated_exception_review</x:v>
      </x:c>
      <x:c r="R986" s="20" t="str">
        <x:v>https://github.com/openscriptures/morphhb</x:v>
      </x:c>
    </x:row>
    <x:row r="987" ht="28" customHeight="1">
      <x:c r="A987" s="21" t="n">
        <x:v>983</x:v>
      </x:c>
      <x:c r="B987" s="21" t="n">
        <x:f>ROUNDUP(A987/20,0)</x:f>
        <x:v>50</x:v>
      </x:c>
      <x:c r="C987" s="21" t="n">
        <x:f>MOD(A987-1,20)+1</x:f>
        <x:v>3</x:v>
      </x:c>
      <x:c r="D987" s="18" t="str">
        <x:v>תְּאֵן</x:v>
      </x:c>
      <x:c r="E987" s="19" t="str">
        <x:v>təʾēn</x:v>
      </x:c>
      <x:c r="F987" s="16" t="str">
        <x:v>תאן</x:v>
      </x:c>
      <x:c r="G987" s="20" t="str">
        <x:v>the fig (tree or fruit)</x:v>
      </x:c>
      <x:c r="H987" s="20" t="str"/>
      <x:c r="I987" s="21" t="str">
        <x:v>自編延伸</x:v>
      </x:c>
      <x:c r="J987" s="21"/>
      <x:c r="K987" s="22" t="n">
        <x:v>39</x:v>
      </x:c>
      <x:c r="L987" s="21" t="str">
        <x:v>H8384</x:v>
      </x:c>
      <x:c r="M987" s="21" t="str">
        <x:v>noun</x:v>
      </x:c>
      <x:c r="N987" s="21" t="str">
        <x:v>否</x:v>
      </x:c>
      <x:c r="O987" s="21" t="str"/>
      <x:c r="P987" s="21" t="str">
        <x:v>lemma_frequency_verified</x:v>
      </x:c>
      <x:c r="Q987" s="21" t="str">
        <x:v>rule_generated_exception_review</x:v>
      </x:c>
      <x:c r="R987" s="20" t="str">
        <x:v>https://github.com/openscriptures/morphhb</x:v>
      </x:c>
    </x:row>
    <x:row r="988" ht="28" customHeight="1">
      <x:c r="A988" s="21" t="n">
        <x:v>984</x:v>
      </x:c>
      <x:c r="B988" s="21" t="n">
        <x:f>ROUNDUP(A988/20,0)</x:f>
        <x:v>50</x:v>
      </x:c>
      <x:c r="C988" s="21" t="n">
        <x:f>MOD(A988-1,20)+1</x:f>
        <x:v>4</x:v>
      </x:c>
      <x:c r="D988" s="18" t="str">
        <x:v>מָשָׁל</x:v>
      </x:c>
      <x:c r="E988" s="19" t="str">
        <x:v>māšāl</x:v>
      </x:c>
      <x:c r="F988" s="16" t="str">
        <x:v>משל</x:v>
      </x:c>
      <x:c r="G988" s="20" t="str">
        <x:v>properly, a pithy maxim, usually of metaphorical nature; hence, a simile (as an adage, poem, discourse)</x:v>
      </x:c>
      <x:c r="H988" s="20" t="str"/>
      <x:c r="I988" s="21" t="str">
        <x:v>自編延伸</x:v>
      </x:c>
      <x:c r="J988" s="21"/>
      <x:c r="K988" s="22" t="n">
        <x:v>39</x:v>
      </x:c>
      <x:c r="L988" s="21" t="str">
        <x:v>H4912</x:v>
      </x:c>
      <x:c r="M988" s="21" t="str">
        <x:v>noun</x:v>
      </x:c>
      <x:c r="N988" s="21" t="str">
        <x:v>否</x:v>
      </x:c>
      <x:c r="O988" s="21" t="str"/>
      <x:c r="P988" s="21" t="str">
        <x:v>lemma_frequency_verified</x:v>
      </x:c>
      <x:c r="Q988" s="21" t="str">
        <x:v>rule_generated_exception_review</x:v>
      </x:c>
      <x:c r="R988" s="20" t="str">
        <x:v>https://github.com/openscriptures/morphhb</x:v>
      </x:c>
    </x:row>
    <x:row r="989" ht="28" customHeight="1">
      <x:c r="A989" s="21" t="n">
        <x:v>985</x:v>
      </x:c>
      <x:c r="B989" s="21" t="n">
        <x:f>ROUNDUP(A989/20,0)</x:f>
        <x:v>50</x:v>
      </x:c>
      <x:c r="C989" s="21" t="n">
        <x:f>MOD(A989-1,20)+1</x:f>
        <x:v>5</x:v>
      </x:c>
      <x:c r="D989" s="18" t="str">
        <x:v>חֵפֶץ</x:v>
      </x:c>
      <x:c r="E989" s="19" t="str">
        <x:v>ḥēp̄eṣ</x:v>
      </x:c>
      <x:c r="F989" s="16" t="str">
        <x:v>חפץ</x:v>
      </x:c>
      <x:c r="G989" s="20" t="str">
        <x:v>pleasure; hence (abstractly) desire; concretely, a valuable thing; hence (by extension) a matter (as something in mind)</x:v>
      </x:c>
      <x:c r="H989" s="20" t="str"/>
      <x:c r="I989" s="21" t="str">
        <x:v>自編延伸</x:v>
      </x:c>
      <x:c r="J989" s="21"/>
      <x:c r="K989" s="22" t="n">
        <x:v>39</x:v>
      </x:c>
      <x:c r="L989" s="21" t="str">
        <x:v>H2656</x:v>
      </x:c>
      <x:c r="M989" s="21" t="str">
        <x:v>noun</x:v>
      </x:c>
      <x:c r="N989" s="21" t="str">
        <x:v>否</x:v>
      </x:c>
      <x:c r="O989" s="21" t="str"/>
      <x:c r="P989" s="21" t="str">
        <x:v>lemma_frequency_verified</x:v>
      </x:c>
      <x:c r="Q989" s="21" t="str">
        <x:v>rule_generated_exception_review</x:v>
      </x:c>
      <x:c r="R989" s="20" t="str">
        <x:v>https://github.com/openscriptures/morphhb</x:v>
      </x:c>
    </x:row>
    <x:row r="990" ht="28" customHeight="1">
      <x:c r="A990" s="21" t="n">
        <x:v>986</x:v>
      </x:c>
      <x:c r="B990" s="21" t="n">
        <x:f>ROUNDUP(A990/20,0)</x:f>
        <x:v>50</x:v>
      </x:c>
      <x:c r="C990" s="21" t="n">
        <x:f>MOD(A990-1,20)+1</x:f>
        <x:v>6</x:v>
      </x:c>
      <x:c r="D990" s="18" t="str">
        <x:v>נָחָה</x:v>
      </x:c>
      <x:c r="E990" s="19" t="str">
        <x:v>nāḥâ</x:v>
      </x:c>
      <x:c r="F990" s="16" t="str">
        <x:v>נחה</x:v>
      </x:c>
      <x:c r="G990" s="20" t="str">
        <x:v>to guide; by implication, to transport (into exile, or as colonists)</x:v>
      </x:c>
      <x:c r="H990" s="20" t="str"/>
      <x:c r="I990" s="21" t="str">
        <x:v>自編延伸</x:v>
      </x:c>
      <x:c r="J990" s="21"/>
      <x:c r="K990" s="22" t="n">
        <x:v>39</x:v>
      </x:c>
      <x:c r="L990" s="21" t="str">
        <x:v>H5148</x:v>
      </x:c>
      <x:c r="M990" s="21" t="str">
        <x:v>verb</x:v>
      </x:c>
      <x:c r="N990" s="21" t="str">
        <x:v>否</x:v>
      </x:c>
      <x:c r="O990" s="21" t="str"/>
      <x:c r="P990" s="21" t="str">
        <x:v>lemma_frequency_verified</x:v>
      </x:c>
      <x:c r="Q990" s="21" t="str">
        <x:v>rule_generated_exception_review</x:v>
      </x:c>
      <x:c r="R990" s="20" t="str">
        <x:v>https://github.com/openscriptures/morphhb</x:v>
      </x:c>
    </x:row>
    <x:row r="991" ht="28" customHeight="1">
      <x:c r="A991" s="21" t="n">
        <x:v>987</x:v>
      </x:c>
      <x:c r="B991" s="21" t="n">
        <x:f>ROUNDUP(A991/20,0)</x:f>
        <x:v>50</x:v>
      </x:c>
      <x:c r="C991" s="21" t="n">
        <x:f>MOD(A991-1,20)+1</x:f>
        <x:v>7</x:v>
      </x:c>
      <x:c r="D991" s="18" t="str">
        <x:v>זָרָה</x:v>
      </x:c>
      <x:c r="E991" s="19" t="str">
        <x:v>zārâ</x:v>
      </x:c>
      <x:c r="F991" s="16" t="str">
        <x:v>זרה</x:v>
      </x:c>
      <x:c r="G991" s="20" t="str">
        <x:v>to toss about; by implication, to diffuse, winnow</x:v>
      </x:c>
      <x:c r="H991" s="20" t="str"/>
      <x:c r="I991" s="21" t="str">
        <x:v>自編延伸</x:v>
      </x:c>
      <x:c r="J991" s="21"/>
      <x:c r="K991" s="22" t="n">
        <x:v>39</x:v>
      </x:c>
      <x:c r="L991" s="21" t="str">
        <x:v>H2219</x:v>
      </x:c>
      <x:c r="M991" s="21" t="str">
        <x:v>verb</x:v>
      </x:c>
      <x:c r="N991" s="21" t="str">
        <x:v>否</x:v>
      </x:c>
      <x:c r="O991" s="21" t="str"/>
      <x:c r="P991" s="21" t="str">
        <x:v>lemma_frequency_verified</x:v>
      </x:c>
      <x:c r="Q991" s="21" t="str">
        <x:v>rule_generated_exception_review</x:v>
      </x:c>
      <x:c r="R991" s="20" t="str">
        <x:v>https://github.com/openscriptures/morphhb</x:v>
      </x:c>
    </x:row>
    <x:row r="992" ht="28" customHeight="1">
      <x:c r="A992" s="21" t="n">
        <x:v>988</x:v>
      </x:c>
      <x:c r="B992" s="21" t="n">
        <x:f>ROUNDUP(A992/20,0)</x:f>
        <x:v>50</x:v>
      </x:c>
      <x:c r="C992" s="21" t="n">
        <x:f>MOD(A992-1,20)+1</x:f>
        <x:v>8</x:v>
      </x:c>
      <x:c r="D992" s="18" t="str">
        <x:v>דַּי</x:v>
      </x:c>
      <x:c r="E992" s="19" t="str">
        <x:v>day</x:v>
      </x:c>
      <x:c r="F992" s="16" t="str">
        <x:v>די</x:v>
      </x:c>
      <x:c r="G992" s="20" t="str">
        <x:v>enough (as noun or adverb), used chiefly with preposition in phrases</x:v>
      </x:c>
      <x:c r="H992" s="20" t="str"/>
      <x:c r="I992" s="21" t="str">
        <x:v>自編延伸</x:v>
      </x:c>
      <x:c r="J992" s="21"/>
      <x:c r="K992" s="22" t="n">
        <x:v>39</x:v>
      </x:c>
      <x:c r="L992" s="21" t="str">
        <x:v>H1767</x:v>
      </x:c>
      <x:c r="M992" s="21" t="str">
        <x:v>noun</x:v>
      </x:c>
      <x:c r="N992" s="21" t="str">
        <x:v>否</x:v>
      </x:c>
      <x:c r="O992" s="21" t="str"/>
      <x:c r="P992" s="21" t="str">
        <x:v>lemma_frequency_verified</x:v>
      </x:c>
      <x:c r="Q992" s="21" t="str">
        <x:v>rule_generated_exception_review</x:v>
      </x:c>
      <x:c r="R992" s="20" t="str">
        <x:v>https://github.com/openscriptures/morphhb</x:v>
      </x:c>
    </x:row>
    <x:row r="993" ht="28" customHeight="1">
      <x:c r="A993" s="21" t="n">
        <x:v>989</x:v>
      </x:c>
      <x:c r="B993" s="21" t="n">
        <x:f>ROUNDUP(A993/20,0)</x:f>
        <x:v>50</x:v>
      </x:c>
      <x:c r="C993" s="21" t="n">
        <x:f>MOD(A993-1,20)+1</x:f>
        <x:v>9</x:v>
      </x:c>
      <x:c r="D993" s="18" t="str">
        <x:v>מַר</x:v>
      </x:c>
      <x:c r="E993" s="19" t="str">
        <x:v>mar</x:v>
      </x:c>
      <x:c r="F993" s="16" t="str">
        <x:v>מר</x:v>
      </x:c>
      <x:c r="G993" s="20" t="str">
        <x:v>bitter (literally or figuratively); also (as noun) bitterness, or (adverbially) bitterly</x:v>
      </x:c>
      <x:c r="H993" s="20" t="str"/>
      <x:c r="I993" s="21" t="str">
        <x:v>自編延伸</x:v>
      </x:c>
      <x:c r="J993" s="21"/>
      <x:c r="K993" s="22" t="n">
        <x:v>39</x:v>
      </x:c>
      <x:c r="L993" s="21" t="str">
        <x:v>H4751</x:v>
      </x:c>
      <x:c r="M993" s="21" t="str">
        <x:v>adjective</x:v>
      </x:c>
      <x:c r="N993" s="21" t="str">
        <x:v>否</x:v>
      </x:c>
      <x:c r="O993" s="21" t="str"/>
      <x:c r="P993" s="21" t="str">
        <x:v>lemma_frequency_verified</x:v>
      </x:c>
      <x:c r="Q993" s="21" t="str">
        <x:v>rule_generated_exception_review</x:v>
      </x:c>
      <x:c r="R993" s="20" t="str">
        <x:v>https://github.com/openscriptures/morphhb</x:v>
      </x:c>
    </x:row>
    <x:row r="994" ht="28" customHeight="1">
      <x:c r="A994" s="21" t="n">
        <x:v>990</x:v>
      </x:c>
      <x:c r="B994" s="21" t="n">
        <x:f>ROUNDUP(A994/20,0)</x:f>
        <x:v>50</x:v>
      </x:c>
      <x:c r="C994" s="21" t="n">
        <x:f>MOD(A994-1,20)+1</x:f>
        <x:v>10</x:v>
      </x:c>
      <x:c r="D994" s="18" t="str">
        <x:v>עֵדֶר</x:v>
      </x:c>
      <x:c r="E994" s="19" t="str">
        <x:v>ʿēḏer</x:v>
      </x:c>
      <x:c r="F994" s="16" t="str">
        <x:v>עדר</x:v>
      </x:c>
      <x:c r="G994" s="20" t="str">
        <x:v>an arrangement, i.e. muster (of animals)</x:v>
      </x:c>
      <x:c r="H994" s="20" t="str"/>
      <x:c r="I994" s="21" t="str">
        <x:v>自編延伸</x:v>
      </x:c>
      <x:c r="J994" s="21"/>
      <x:c r="K994" s="22" t="n">
        <x:v>39</x:v>
      </x:c>
      <x:c r="L994" s="21" t="str">
        <x:v>H5739</x:v>
      </x:c>
      <x:c r="M994" s="21" t="str">
        <x:v>noun</x:v>
      </x:c>
      <x:c r="N994" s="21" t="str">
        <x:v>否</x:v>
      </x:c>
      <x:c r="O994" s="21" t="str"/>
      <x:c r="P994" s="21" t="str">
        <x:v>lemma_frequency_verified</x:v>
      </x:c>
      <x:c r="Q994" s="21" t="str">
        <x:v>rule_generated_exception_review</x:v>
      </x:c>
      <x:c r="R994" s="20" t="str">
        <x:v>https://github.com/openscriptures/morphhb</x:v>
      </x:c>
    </x:row>
    <x:row r="995" ht="28" customHeight="1">
      <x:c r="A995" s="21" t="n">
        <x:v>991</x:v>
      </x:c>
      <x:c r="B995" s="21" t="n">
        <x:f>ROUNDUP(A995/20,0)</x:f>
        <x:v>50</x:v>
      </x:c>
      <x:c r="C995" s="21" t="n">
        <x:f>MOD(A995-1,20)+1</x:f>
        <x:v>11</x:v>
      </x:c>
      <x:c r="D995" s="18" t="str">
        <x:v>בָּהַל</x:v>
      </x:c>
      <x:c r="E995" s="19" t="str">
        <x:v>bāhal</x:v>
      </x:c>
      <x:c r="F995" s="16" t="str">
        <x:v>בהל</x:v>
      </x:c>
      <x:c r="G995" s="20" t="str">
        <x:v>to tremble inwardly (or palpitate), i.e. (figuratively) be (causative, make) (suddenly) alarmed or agitated; by implication to hasten anxiously</x:v>
      </x:c>
      <x:c r="H995" s="20" t="str"/>
      <x:c r="I995" s="21" t="str">
        <x:v>自編延伸</x:v>
      </x:c>
      <x:c r="J995" s="21"/>
      <x:c r="K995" s="22" t="n">
        <x:v>39</x:v>
      </x:c>
      <x:c r="L995" s="21" t="str">
        <x:v>H926</x:v>
      </x:c>
      <x:c r="M995" s="21" t="str">
        <x:v>verb</x:v>
      </x:c>
      <x:c r="N995" s="21" t="str">
        <x:v>否</x:v>
      </x:c>
      <x:c r="O995" s="21" t="str"/>
      <x:c r="P995" s="21" t="str">
        <x:v>lemma_frequency_verified</x:v>
      </x:c>
      <x:c r="Q995" s="21" t="str">
        <x:v>rule_generated_exception_review</x:v>
      </x:c>
      <x:c r="R995" s="20" t="str">
        <x:v>https://github.com/openscriptures/morphhb</x:v>
      </x:c>
    </x:row>
    <x:row r="996" ht="28" customHeight="1">
      <x:c r="A996" s="21" t="n">
        <x:v>992</x:v>
      </x:c>
      <x:c r="B996" s="21" t="n">
        <x:f>ROUNDUP(A996/20,0)</x:f>
        <x:v>50</x:v>
      </x:c>
      <x:c r="C996" s="21" t="n">
        <x:f>MOD(A996-1,20)+1</x:f>
        <x:v>12</x:v>
      </x:c>
      <x:c r="D996" s="18" t="str">
        <x:v>מִרְמָה</x:v>
      </x:c>
      <x:c r="E996" s="19" t="str">
        <x:v>mirmâ</x:v>
      </x:c>
      <x:c r="F996" s="16" t="str">
        <x:v>מרמה</x:v>
      </x:c>
      <x:c r="G996" s="20" t="str">
        <x:v>fraud</x:v>
      </x:c>
      <x:c r="H996" s="20" t="str"/>
      <x:c r="I996" s="21" t="str">
        <x:v>自編延伸</x:v>
      </x:c>
      <x:c r="J996" s="21"/>
      <x:c r="K996" s="22" t="n">
        <x:v>39</x:v>
      </x:c>
      <x:c r="L996" s="21" t="str">
        <x:v>H4820</x:v>
      </x:c>
      <x:c r="M996" s="21" t="str">
        <x:v>noun</x:v>
      </x:c>
      <x:c r="N996" s="21" t="str">
        <x:v>否</x:v>
      </x:c>
      <x:c r="O996" s="21" t="str"/>
      <x:c r="P996" s="21" t="str">
        <x:v>lemma_frequency_verified</x:v>
      </x:c>
      <x:c r="Q996" s="21" t="str">
        <x:v>rule_generated_exception_review</x:v>
      </x:c>
      <x:c r="R996" s="20" t="str">
        <x:v>https://github.com/openscriptures/morphhb</x:v>
      </x:c>
    </x:row>
    <x:row r="997" ht="28" customHeight="1">
      <x:c r="A997" s="21" t="n">
        <x:v>993</x:v>
      </x:c>
      <x:c r="B997" s="21" t="n">
        <x:f>ROUNDUP(A997/20,0)</x:f>
        <x:v>50</x:v>
      </x:c>
      <x:c r="C997" s="21" t="n">
        <x:f>MOD(A997-1,20)+1</x:f>
        <x:v>13</x:v>
      </x:c>
      <x:c r="D997" s="18" t="str">
        <x:v>סְדֹם</x:v>
      </x:c>
      <x:c r="E997" s="19" t="str">
        <x:v>səḏōm</x:v>
      </x:c>
      <x:c r="F997" s="16" t="str">
        <x:v>סדם</x:v>
      </x:c>
      <x:c r="G997" s="20" t="str">
        <x:v>Sedom, a place near the Dead Sea</x:v>
      </x:c>
      <x:c r="H997" s="20" t="str"/>
      <x:c r="I997" s="21" t="str">
        <x:v>自編延伸</x:v>
      </x:c>
      <x:c r="J997" s="21"/>
      <x:c r="K997" s="22" t="n">
        <x:v>39</x:v>
      </x:c>
      <x:c r="L997" s="21" t="str">
        <x:v>H5467</x:v>
      </x:c>
      <x:c r="M997" s="21" t="str">
        <x:v>proper_name</x:v>
      </x:c>
      <x:c r="N997" s="21" t="str">
        <x:v>是</x:v>
      </x:c>
      <x:c r="O997" s="21" t="str">
        <x:v>地名</x:v>
      </x:c>
      <x:c r="P997" s="21" t="str">
        <x:v>lemma_frequency_verified</x:v>
      </x:c>
      <x:c r="Q997" s="21" t="str">
        <x:v>rule_generated_exception_review</x:v>
      </x:c>
      <x:c r="R997" s="20" t="str">
        <x:v>https://github.com/openscriptures/morphhb</x:v>
      </x:c>
    </x:row>
    <x:row r="998" ht="28" customHeight="1">
      <x:c r="A998" s="21" t="n">
        <x:v>994</x:v>
      </x:c>
      <x:c r="B998" s="21" t="n">
        <x:f>ROUNDUP(A998/20,0)</x:f>
        <x:v>50</x:v>
      </x:c>
      <x:c r="C998" s="21" t="n">
        <x:f>MOD(A998-1,20)+1</x:f>
        <x:v>14</x:v>
      </x:c>
      <x:c r="D998" s="18" t="str">
        <x:v>גִּדְעוֹן</x:v>
      </x:c>
      <x:c r="E998" s="19" t="str">
        <x:v>giḏʿôn</x:v>
      </x:c>
      <x:c r="F998" s="16" t="str">
        <x:v>גדעון</x:v>
      </x:c>
      <x:c r="G998" s="20" t="str">
        <x:v>Gidon, an Israelite</x:v>
      </x:c>
      <x:c r="H998" s="20" t="str"/>
      <x:c r="I998" s="21" t="str">
        <x:v>自編延伸</x:v>
      </x:c>
      <x:c r="J998" s="21"/>
      <x:c r="K998" s="22" t="n">
        <x:v>39</x:v>
      </x:c>
      <x:c r="L998" s="21" t="str">
        <x:v>H1439</x:v>
      </x:c>
      <x:c r="M998" s="21" t="str">
        <x:v>proper_name</x:v>
      </x:c>
      <x:c r="N998" s="21" t="str">
        <x:v>是</x:v>
      </x:c>
      <x:c r="O998" s="21" t="str">
        <x:v>人名</x:v>
      </x:c>
      <x:c r="P998" s="21" t="str">
        <x:v>lemma_frequency_verified</x:v>
      </x:c>
      <x:c r="Q998" s="21" t="str">
        <x:v>rule_generated_exception_review</x:v>
      </x:c>
      <x:c r="R998" s="20" t="str">
        <x:v>https://github.com/openscriptures/morphhb</x:v>
      </x:c>
    </x:row>
    <x:row r="999" ht="28" customHeight="1">
      <x:c r="A999" s="21" t="n">
        <x:v>995</x:v>
      </x:c>
      <x:c r="B999" s="21" t="n">
        <x:f>ROUNDUP(A999/20,0)</x:f>
        <x:v>50</x:v>
      </x:c>
      <x:c r="C999" s="21" t="n">
        <x:f>MOD(A999-1,20)+1</x:f>
        <x:v>15</x:v>
      </x:c>
      <x:c r="D999" s="18" t="str">
        <x:v>חֵרֶם</x:v>
      </x:c>
      <x:c r="E999" s="19" t="str">
        <x:v>ḥērem</x:v>
      </x:c>
      <x:c r="F999" s="16" t="str">
        <x:v>חרם</x:v>
      </x:c>
      <x:c r="G999" s="20" t="str">
        <x:v>physical (as shutting in) a net (either literally or figuratively); usually a doomed object; abstractly extermination</x:v>
      </x:c>
      <x:c r="H999" s="20" t="str"/>
      <x:c r="I999" s="21" t="str">
        <x:v>自編延伸</x:v>
      </x:c>
      <x:c r="J999" s="21"/>
      <x:c r="K999" s="22" t="n">
        <x:v>38</x:v>
      </x:c>
      <x:c r="L999" s="21" t="str">
        <x:v>H2764</x:v>
      </x:c>
      <x:c r="M999" s="21" t="str">
        <x:v>noun</x:v>
      </x:c>
      <x:c r="N999" s="21" t="str">
        <x:v>否</x:v>
      </x:c>
      <x:c r="O999" s="21" t="str"/>
      <x:c r="P999" s="21" t="str">
        <x:v>lemma_frequency_verified</x:v>
      </x:c>
      <x:c r="Q999" s="21" t="str">
        <x:v>rule_generated_exception_review</x:v>
      </x:c>
      <x:c r="R999" s="20" t="str">
        <x:v>https://github.com/openscriptures/morphhb</x:v>
      </x:c>
    </x:row>
    <x:row r="1000" ht="28" customHeight="1">
      <x:c r="A1000" s="21" t="n">
        <x:v>996</x:v>
      </x:c>
      <x:c r="B1000" s="21" t="n">
        <x:f>ROUNDUP(A1000/20,0)</x:f>
        <x:v>50</x:v>
      </x:c>
      <x:c r="C1000" s="21" t="n">
        <x:f>MOD(A1000-1,20)+1</x:f>
        <x:v>16</x:v>
      </x:c>
      <x:c r="D1000" s="18" t="str">
        <x:v>חֶשְׁבּוֹן</x:v>
      </x:c>
      <x:c r="E1000" s="19" t="str">
        <x:v>ḥešbôn</x:v>
      </x:c>
      <x:c r="F1000" s="16" t="str">
        <x:v>חשבון</x:v>
      </x:c>
      <x:c r="G1000" s="20" t="str">
        <x:v>Cheshbon, a place East of the Jordan</x:v>
      </x:c>
      <x:c r="H1000" s="20" t="str"/>
      <x:c r="I1000" s="21" t="str">
        <x:v>自編延伸</x:v>
      </x:c>
      <x:c r="J1000" s="21"/>
      <x:c r="K1000" s="22" t="n">
        <x:v>38</x:v>
      </x:c>
      <x:c r="L1000" s="21" t="str">
        <x:v>H2809</x:v>
      </x:c>
      <x:c r="M1000" s="21" t="str">
        <x:v>proper_name</x:v>
      </x:c>
      <x:c r="N1000" s="21" t="str">
        <x:v>是</x:v>
      </x:c>
      <x:c r="O1000" s="21" t="str">
        <x:v>地名</x:v>
      </x:c>
      <x:c r="P1000" s="21" t="str">
        <x:v>lemma_frequency_verified</x:v>
      </x:c>
      <x:c r="Q1000" s="21" t="str">
        <x:v>rule_generated_exception_review</x:v>
      </x:c>
      <x:c r="R1000" s="20" t="str">
        <x:v>https://github.com/openscriptures/morphhb</x:v>
      </x:c>
    </x:row>
    <x:row r="1001" ht="28" customHeight="1">
      <x:c r="A1001" s="21" t="n">
        <x:v>997</x:v>
      </x:c>
      <x:c r="B1001" s="21" t="n">
        <x:f>ROUNDUP(A1001/20,0)</x:f>
        <x:v>50</x:v>
      </x:c>
      <x:c r="C1001" s="21" t="n">
        <x:f>MOD(A1001-1,20)+1</x:f>
        <x:v>17</x:v>
      </x:c>
      <x:c r="D1001" s="18" t="str">
        <x:v>שְׁמֹנִים</x:v>
      </x:c>
      <x:c r="E1001" s="19" t="str">
        <x:v>šəmōnîm</x:v>
      </x:c>
      <x:c r="F1001" s="16" t="str">
        <x:v>שמנים</x:v>
      </x:c>
      <x:c r="G1001" s="20" t="str">
        <x:v>eighty, also eightieth</x:v>
      </x:c>
      <x:c r="H1001" s="20" t="str"/>
      <x:c r="I1001" s="21" t="str">
        <x:v>自編延伸</x:v>
      </x:c>
      <x:c r="J1001" s="21"/>
      <x:c r="K1001" s="22" t="n">
        <x:v>38</x:v>
      </x:c>
      <x:c r="L1001" s="21" t="str">
        <x:v>H8084</x:v>
      </x:c>
      <x:c r="M1001" s="21" t="str">
        <x:v>adjective</x:v>
      </x:c>
      <x:c r="N1001" s="21" t="str">
        <x:v>否</x:v>
      </x:c>
      <x:c r="O1001" s="21" t="str"/>
      <x:c r="P1001" s="21" t="str">
        <x:v>lemma_frequency_verified</x:v>
      </x:c>
      <x:c r="Q1001" s="21" t="str">
        <x:v>rule_generated_exception_review</x:v>
      </x:c>
      <x:c r="R1001" s="20" t="str">
        <x:v>https://github.com/openscriptures/morphhb</x:v>
      </x:c>
    </x:row>
    <x:row r="1002" ht="28" customHeight="1">
      <x:c r="A1002" s="21" t="n">
        <x:v>998</x:v>
      </x:c>
      <x:c r="B1002" s="21" t="n">
        <x:f>ROUNDUP(A1002/20,0)</x:f>
        <x:v>50</x:v>
      </x:c>
      <x:c r="C1002" s="21" t="n">
        <x:f>MOD(A1002-1,20)+1</x:f>
        <x:v>18</x:v>
      </x:c>
      <x:c r="D1002" s="18" t="str">
        <x:v>פֹּעַל</x:v>
      </x:c>
      <x:c r="E1002" s="19" t="str">
        <x:v>pōʿal</x:v>
      </x:c>
      <x:c r="F1002" s="16" t="str">
        <x:v>פעל</x:v>
      </x:c>
      <x:c r="G1002" s="20" t="str">
        <x:v>an act or work (concretely)</x:v>
      </x:c>
      <x:c r="H1002" s="20" t="str"/>
      <x:c r="I1002" s="21" t="str">
        <x:v>自編延伸</x:v>
      </x:c>
      <x:c r="J1002" s="21"/>
      <x:c r="K1002" s="22" t="n">
        <x:v>38</x:v>
      </x:c>
      <x:c r="L1002" s="21" t="str">
        <x:v>H6467</x:v>
      </x:c>
      <x:c r="M1002" s="21" t="str">
        <x:v>noun</x:v>
      </x:c>
      <x:c r="N1002" s="21" t="str">
        <x:v>否</x:v>
      </x:c>
      <x:c r="O1002" s="21" t="str"/>
      <x:c r="P1002" s="21" t="str">
        <x:v>lemma_frequency_verified</x:v>
      </x:c>
      <x:c r="Q1002" s="21" t="str">
        <x:v>rule_generated_exception_review</x:v>
      </x:c>
      <x:c r="R1002" s="20" t="str">
        <x:v>https://github.com/openscriptures/morphhb</x:v>
      </x:c>
    </x:row>
    <x:row r="1003" ht="28" customHeight="1">
      <x:c r="A1003" s="21" t="n">
        <x:v>999</x:v>
      </x:c>
      <x:c r="B1003" s="21" t="n">
        <x:f>ROUNDUP(A1003/20,0)</x:f>
        <x:v>50</x:v>
      </x:c>
      <x:c r="C1003" s="21" t="n">
        <x:f>MOD(A1003-1,20)+1</x:f>
        <x:v>19</x:v>
      </x:c>
      <x:c r="D1003" s="18" t="str">
        <x:v>בִּינָה</x:v>
      </x:c>
      <x:c r="E1003" s="19" t="str">
        <x:v>bînâ</x:v>
      </x:c>
      <x:c r="F1003" s="16" t="str">
        <x:v>בינה</x:v>
      </x:c>
      <x:c r="G1003" s="20" t="str">
        <x:v>understanding</x:v>
      </x:c>
      <x:c r="H1003" s="20" t="str"/>
      <x:c r="I1003" s="21" t="str">
        <x:v>自編延伸</x:v>
      </x:c>
      <x:c r="J1003" s="21"/>
      <x:c r="K1003" s="22" t="n">
        <x:v>38</x:v>
      </x:c>
      <x:c r="L1003" s="21" t="str">
        <x:v>H998</x:v>
      </x:c>
      <x:c r="M1003" s="21" t="str">
        <x:v>noun</x:v>
      </x:c>
      <x:c r="N1003" s="21" t="str">
        <x:v>否</x:v>
      </x:c>
      <x:c r="O1003" s="21" t="str"/>
      <x:c r="P1003" s="21" t="str">
        <x:v>lemma_frequency_verified</x:v>
      </x:c>
      <x:c r="Q1003" s="21" t="str">
        <x:v>rule_generated_exception_review</x:v>
      </x:c>
      <x:c r="R1003" s="20" t="str">
        <x:v>https://github.com/openscriptures/morphhb</x:v>
      </x:c>
    </x:row>
    <x:row r="1004" ht="28" customHeight="1">
      <x:c r="A1004" s="21" t="n">
        <x:v>1000</x:v>
      </x:c>
      <x:c r="B1004" s="21" t="n">
        <x:f>ROUNDUP(A1004/20,0)</x:f>
        <x:v>50</x:v>
      </x:c>
      <x:c r="C1004" s="21" t="n">
        <x:f>MOD(A1004-1,20)+1</x:f>
        <x:v>20</x:v>
      </x:c>
      <x:c r="D1004" s="18" t="str">
        <x:v>נֶבֶל</x:v>
      </x:c>
      <x:c r="E1004" s="19" t="str">
        <x:v>neḇel</x:v>
      </x:c>
      <x:c r="F1004" s="16" t="str">
        <x:v>נבל</x:v>
      </x:c>
      <x:c r="G1004" s="20" t="str">
        <x:v>a skin-bag for liquids (from collapsing when empty); hence, a vase (as similar in shape when full); also a lyre (as having a body of like form)</x:v>
      </x:c>
      <x:c r="H1004" s="20" t="str"/>
      <x:c r="I1004" s="21" t="str">
        <x:v>自編延伸</x:v>
      </x:c>
      <x:c r="J1004" s="21"/>
      <x:c r="K1004" s="22" t="n">
        <x:v>38</x:v>
      </x:c>
      <x:c r="L1004" s="21" t="str">
        <x:v>H5035</x:v>
      </x:c>
      <x:c r="M1004" s="21" t="str">
        <x:v>noun</x:v>
      </x:c>
      <x:c r="N1004" s="21" t="str">
        <x:v>否</x:v>
      </x:c>
      <x:c r="O1004" s="21" t="str"/>
      <x:c r="P1004" s="21" t="str">
        <x:v>lemma_frequency_verified</x:v>
      </x:c>
      <x:c r="Q1004" s="21" t="str">
        <x:v>rule_generated_exception_review</x:v>
      </x:c>
      <x:c r="R1004" s="20" t="str">
        <x:v>https://github.com/openscriptures/morphhb</x:v>
      </x:c>
    </x:row>
  </x:sheetData>
  <x:mergeCells>
    <x:mergeCell ref="A1:R1"/>
    <x:mergeCell ref="A2:R2"/>
  </x:mergeCells>
  <x:conditionalFormatting sqref="I5:I1004">
    <x:cfRule type="containsText" dxfId="0" priority="1" operator="containsText" text="自編延伸"/>
  </x:conditionalFormatting>
  <x:conditionalFormatting sqref="N5:N1004">
    <x:cfRule type="containsText" dxfId="1" priority="2" operator="containsText" text="是"/>
  </x:conditionalFormatting>
  <x:conditionalFormatting sqref="P5:Q1004">
    <x:cfRule type="containsText" dxfId="2" priority="3" operator="containsText" text="pending"/>
  </x:conditionalFormatting>
  <x:pageMargins left="0.7" right="0.7" top="0.75" bottom="0.75" header="0.3" footer="0.3"/>
  <x:tableParts count="1">
    <x:tablePart xmlns:r="http://schemas.openxmlformats.org/officeDocument/2006/relationships" r:id="Rdff936eabf284a3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8" hidden="0" customWidth="1"/>
    <x:col min="2" max="2" width="16" hidden="0" customWidth="1"/>
    <x:col min="3" max="3" width="12" hidden="0" customWidth="1"/>
    <x:col min="4" max="4" width="12" hidden="0" customWidth="1"/>
    <x:col min="5" max="5" width="13" hidden="0" customWidth="1"/>
    <x:col min="6" max="6" width="10" hidden="0" customWidth="1"/>
    <x:col min="7" max="7" width="58" hidden="0" customWidth="1"/>
  </x:cols>
  <x:sheetData>
    <x:row r="1" ht="34" customHeight="1">
      <x:c r="A1" s="4" t="str">
        <x:v>希伯來文 50 課課表</x:v>
      </x:c>
      <x:c r="B1" s="4" t="str">
        <x:v>希伯來文 50 課課表</x:v>
      </x:c>
      <x:c r="C1" s="4" t="str">
        <x:v>希伯來文 50 課課表</x:v>
      </x:c>
      <x:c r="D1" s="4" t="str">
        <x:v>希伯來文 50 課課表</x:v>
      </x:c>
      <x:c r="E1" s="4" t="str">
        <x:v>希伯來文 50 課課表</x:v>
      </x:c>
      <x:c r="F1" s="4" t="str">
        <x:v>希伯來文 50 課課表</x:v>
      </x:c>
      <x:c r="G1" s="4" t="str">
        <x:v>希伯來文 50 課課表</x:v>
      </x:c>
    </x:row>
    <x:row r="2" ht="28" customHeight="1">
      <x:c r="A2" s="7" t="str">
        <x:v>每課固定 20 個學習單位；專名數包含人名、地名、民族／國族名、神名與重要稱號。</x:v>
      </x:c>
      <x:c r="B2" s="7" t="str">
        <x:v>每課固定 20 個學習單位；專名數包含人名、地名、民族／國族名、神名與重要稱號。</x:v>
      </x:c>
      <x:c r="C2" s="7" t="str">
        <x:v>每課固定 20 個學習單位；專名數包含人名、地名、民族／國族名、神名與重要稱號。</x:v>
      </x:c>
      <x:c r="D2" s="7" t="str">
        <x:v>每課固定 20 個學習單位；專名數包含人名、地名、民族／國族名、神名與重要稱號。</x:v>
      </x:c>
      <x:c r="E2" s="7" t="str">
        <x:v>每課固定 20 個學習單位；專名數包含人名、地名、民族／國族名、神名與重要稱號。</x:v>
      </x:c>
      <x:c r="F2" s="7" t="str">
        <x:v>每課固定 20 個學習單位；專名數包含人名、地名、民族／國族名、神名與重要稱號。</x:v>
      </x:c>
      <x:c r="G2" s="7" t="str">
        <x:v>每課固定 20 個學習單位；專名數包含人名、地名、民族／國族名、神名與重要稱號。</x:v>
      </x:c>
    </x:row>
    <x:row r="4" ht="30" customHeight="1">
      <x:c r="A4" s="13" t="str">
        <x:v>課次</x:v>
      </x:c>
      <x:c r="B4" s="13" t="str">
        <x:v>序號範圍</x:v>
      </x:c>
      <x:c r="C4" s="13" t="str">
        <x:v>BBH2 詞數</x:v>
      </x:c>
      <x:c r="D4" s="13" t="str">
        <x:v>自編詞數</x:v>
      </x:c>
      <x:c r="E4" s="13" t="str">
        <x:v>專名／族名</x:v>
      </x:c>
      <x:c r="F4" s="13" t="str">
        <x:v>完整性</x:v>
      </x:c>
      <x:c r="G4" s="13" t="str">
        <x:v>本課 20 詞（原文／音標）</x:v>
      </x:c>
    </x:row>
    <x:row r="5" ht="330" customHeight="1">
      <x:c r="A5" s="21" t="n">
        <x:v>1</x:v>
      </x:c>
      <x:c r="B5" s="21" t="str">
        <x:f>"第 "&amp;((A5-1)*20+1)&amp;"–"&amp;(A5*20)&amp;" 詞"</x:f>
        <x:v>第 1–20 詞</x:v>
      </x:c>
      <x:c r="C5" s="21" t="n">
        <x:f>COUNTIFS('希伯來文1000詞'!$B$5:$B$1004,A5,'希伯來文1000詞'!$I$5:$I$1004,"BBH2 課序")</x:f>
        <x:v>20</x:v>
      </x:c>
      <x:c r="D5" s="21" t="n">
        <x:f>COUNTIFS('希伯來文1000詞'!$B$5:$B$1004,A5,'希伯來文1000詞'!$I$5:$I$1004,"自編延伸")</x:f>
        <x:v>0</x:v>
      </x:c>
      <x:c r="E5" s="21" t="n">
        <x:f>COUNTIFS('希伯來文1000詞'!$B$5:$B$1004,A5,'希伯來文1000詞'!$N$5:$N$1004,"是")</x:f>
        <x:v>10</x:v>
      </x:c>
      <x:c r="F5" s="21" t="str">
        <x:f>IF(C5+D5=20,"完整","檢查")</x:f>
        <x:v>完整</x:v>
      </x:c>
      <x:c r="G5" s="25" t="str">
        <x:v>01. אָדָם  /  ʾāḏām
02. אֶ֫רֶץ  /  ʾereṣ
03. אֱלֹהִים  /  ʾĕlōhîm
04. אָב  /  ʾāḇ
05. אֵל  /  ʾēl
06. בֵּן  /  bēn
07. בַּ֫יִת  /  bayiṯ
08. דָּבָר  /  dāḇār
09. יוֹם  /  yôm
10. יִשְׂרָאֵל  /  yiśrāʾēl
11. יְרוּשָׁלַ֫םִ  /  yərûšālayim
12. יְרוּשָׁלַ֫יִם  /  yərûšālayim
13. יְהוָה  /  yhwh
14. מִצְרַ֫יִם  /  miṣrayim
15. מֹשֶׁה  /  mōšê
16. מֶ֫לֶךְ  /  meleḵ
17. סוּס  /  sûs
18. עֶ֫בֶד  /  ʿeḇeḏ
19. פַּרְעֹה  /  parʿô
20. שָׁנָה  /  šānâ</x:v>
      </x:c>
    </x:row>
    <x:row r="6" ht="330" customHeight="1">
      <x:c r="A6" s="21" t="n">
        <x:v>2</x:v>
      </x:c>
      <x:c r="B6" s="21" t="str">
        <x:f>"第 "&amp;((A6-1)*20+1)&amp;"–"&amp;(A6*20)&amp;" 詞"</x:f>
        <x:v>第 21–40 詞</x:v>
      </x:c>
      <x:c r="C6" s="21" t="n">
        <x:f>COUNTIFS('希伯來文1000詞'!$B$5:$B$1004,A6,'希伯來文1000詞'!$I$5:$I$1004,"BBH2 課序")</x:f>
        <x:v>20</x:v>
      </x:c>
      <x:c r="D6" s="21" t="n">
        <x:f>COUNTIFS('希伯來文1000詞'!$B$5:$B$1004,A6,'希伯來文1000詞'!$I$5:$I$1004,"自編延伸")</x:f>
        <x:v>0</x:v>
      </x:c>
      <x:c r="E6" s="21" t="n">
        <x:f>COUNTIFS('希伯來文1000詞'!$B$5:$B$1004,A6,'希伯來文1000詞'!$N$5:$N$1004,"是")</x:f>
        <x:v>1</x:v>
      </x:c>
      <x:c r="F6" s="21" t="str">
        <x:f>IF(C6+D6=20,"完整","檢查")</x:f>
        <x:v>完整</x:v>
      </x:c>
      <x:c r="G6" s="25" t="str">
        <x:v>01. שֵׁם  /  šēm
02. אֲדֹנָי  /  ʾăḏōnāy
03. אָדוֹן  /  ʾāḏôn
04. אָח  /  ʾāḥ
05. אַחִים  /  ʾaḥîm
06. אִישׁ  /  ʾîš
07. אֲנָשִׁים  /  ʾănāšîm
08. אִשָּׁה  /  ʾiššâ
09. נָשִׁים  /  nāšîm
10. בַּת  /  baṯ
11. בָּנוֹת  /  bānôṯ
12. גּוֹי  /  gôy
13. דֶּ֫רֶךְ  /  dereḵ
14. הַר  /  har
15. הָרִים  /  hārîm
16. כֹּהֵן  /  kōhēn
17. לֵב  /  lēḇ
18. לֵבָב  /  lēḇāḇ
19. מַ֫יִם  /  mayim
20. נֶ֫פֶשׁ  /  nep̄eš</x:v>
      </x:c>
    </x:row>
    <x:row r="7" ht="330" customHeight="1">
      <x:c r="A7" s="21" t="n">
        <x:v>3</x:v>
      </x:c>
      <x:c r="B7" s="21" t="str">
        <x:f>"第 "&amp;((A7-1)*20+1)&amp;"–"&amp;(A7*20)&amp;" 詞"</x:f>
        <x:v>第 41–60 詞</x:v>
      </x:c>
      <x:c r="C7" s="21" t="n">
        <x:f>COUNTIFS('希伯來文1000詞'!$B$5:$B$1004,A7,'希伯來文1000詞'!$I$5:$I$1004,"BBH2 課序")</x:f>
        <x:v>20</x:v>
      </x:c>
      <x:c r="D7" s="21" t="n">
        <x:f>COUNTIFS('希伯來文1000詞'!$B$5:$B$1004,A7,'希伯來文1000詞'!$I$5:$I$1004,"自編延伸")</x:f>
        <x:v>0</x:v>
      </x:c>
      <x:c r="E7" s="21" t="n">
        <x:f>COUNTIFS('希伯來文1000詞'!$B$5:$B$1004,A7,'希伯來文1000詞'!$N$5:$N$1004,"是")</x:f>
        <x:v>0</x:v>
      </x:c>
      <x:c r="F7" s="21" t="str">
        <x:f>IF(C7+D7=20,"完整","檢查")</x:f>
        <x:v>完整</x:v>
      </x:c>
      <x:c r="G7" s="25" t="str">
        <x:v>01. נָבִיא  /  nāḇîʾ
02. סֵ֫פֶר  /  sēp̄er
03. עַ֫יִן  /  ʿayin
04. עֵינַ֫יִם  /  ʿênayim
05. עִיר  /  ʿîr
06. עָרִים  /  ʿārîm
07. צָבָא  /  ṣāḇāʾ
08. צְבָאוֹת  /  ṣəḇāʾôṯ
09. קוֹל  /  qôl
10. רֹאשׁ  /  rōʾš
11. תּוֹרָה  /  tôrâ
12. אָבוֹת  /  ʾāḇôṯ
13. בָּֽתִּים  /  bāttîm
14. בָּנִים  /  bānîm
15. יָמִים  /  yāmîm
16. אֵשׁ  /  ʾēš
17. הֵיכָל  /  hêḵāl
18. וְ  /  wə
19. זָהָב  /  zāhāḇ
20. חֶ֫רֶב  /  ḥereḇ</x:v>
      </x:c>
    </x:row>
    <x:row r="8" ht="330" customHeight="1">
      <x:c r="A8" s="21" t="n">
        <x:v>4</x:v>
      </x:c>
      <x:c r="B8" s="21" t="str">
        <x:f>"第 "&amp;((A8-1)*20+1)&amp;"–"&amp;(A8*20)&amp;" 詞"</x:f>
        <x:v>第 61–80 詞</x:v>
      </x:c>
      <x:c r="C8" s="21" t="n">
        <x:f>COUNTIFS('希伯來文1000詞'!$B$5:$B$1004,A8,'希伯來文1000詞'!$I$5:$I$1004,"BBH2 課序")</x:f>
        <x:v>20</x:v>
      </x:c>
      <x:c r="D8" s="21" t="n">
        <x:f>COUNTIFS('希伯來文1000詞'!$B$5:$B$1004,A8,'希伯來文1000詞'!$I$5:$I$1004,"自編延伸")</x:f>
        <x:v>0</x:v>
      </x:c>
      <x:c r="E8" s="21" t="n">
        <x:f>COUNTIFS('希伯來文1000詞'!$B$5:$B$1004,A8,'希伯來文1000詞'!$N$5:$N$1004,"是")</x:f>
        <x:v>0</x:v>
      </x:c>
      <x:c r="F8" s="21" t="str">
        <x:f>IF(C8+D8=20,"完整","檢查")</x:f>
        <x:v>完整</x:v>
      </x:c>
      <x:c r="G8" s="25" t="str">
        <x:v>01. חַי  /  ḥay
02. חַיִּים  /  ḥayyîm
03. יֶ֫לֶד  /  yeleḏ
04. יָם  /  yām
05. יַמִּים  /  yammîm
06. כֶּ֫סֶף  /  kesep̄
07. כֹּה  /  kô
08. מָקוֹם  /  māqôm
09. מִשְׁפָּט  /  mišpāṭ
10. מִזְבֵּחַ  /  mizbēaḥ
11. נְאֻם  /  nəʾum
12. עוֹלָם  /  ʿôlām
13. עָנָן  /  ʿānān
14. רוּחַ  /  rûaḥ
15. שַׂר  /  śar
16. שַׁ֫עַר  /  šaʿar
17. שָׁמַ֫יִם  /  šāmayim
18. אַחַר  /  ʾaḥar
19. אַחֲרֵי  /  ʾaḥărê
20. אֵת/אֶת־  /  ʾēṯ/ʾeṯ-</x:v>
      </x:c>
    </x:row>
    <x:row r="9" ht="330" customHeight="1">
      <x:c r="A9" s="21" t="n">
        <x:v>5</x:v>
      </x:c>
      <x:c r="B9" s="21" t="str">
        <x:f>"第 "&amp;((A9-1)*20+1)&amp;"–"&amp;(A9*20)&amp;" 詞"</x:f>
        <x:v>第 81–100 詞</x:v>
      </x:c>
      <x:c r="C9" s="21" t="n">
        <x:f>COUNTIFS('希伯來文1000詞'!$B$5:$B$1004,A9,'希伯來文1000詞'!$I$5:$I$1004,"BBH2 課序")</x:f>
        <x:v>20</x:v>
      </x:c>
      <x:c r="D9" s="21" t="n">
        <x:f>COUNTIFS('希伯來文1000詞'!$B$5:$B$1004,A9,'希伯來文1000詞'!$I$5:$I$1004,"自編延伸")</x:f>
        <x:v>0</x:v>
      </x:c>
      <x:c r="E9" s="21" t="n">
        <x:f>COUNTIFS('希伯來文1000詞'!$B$5:$B$1004,A9,'希伯來文1000詞'!$N$5:$N$1004,"是")</x:f>
        <x:v>0</x:v>
      </x:c>
      <x:c r="F9" s="21" t="str">
        <x:f>IF(C9+D9=20,"完整","檢查")</x:f>
        <x:v>完整</x:v>
      </x:c>
      <x:c r="G9" s="25" t="str">
        <x:v>01. אֶל/אֶל־  /  ʾel/ʾel-
02. בֵּין  /  bên
03. וּבֵין  /  ûḇên
04. בְּ  /  bə
05. בְּתוֹךְ  /  bəṯôḵ
06. תָּ֫וֶךְ  /  tāweḵ
07. חָכְמָה  /  ḥoḵmâ
08. כְּ  /  kə
09. כֹּל  /  kōl
10. כָּל־  /  kol-
11. לִפְנֵי  /  lip̄nê
12. לְ  /  lə
13. לְמַ֫עַן  /  ləmaʿan
14. מִן / מִן־  /  min / min-
15. מַ֫עַל  /  maʿal
16. מִמַּ֫עַל  /  mimmaʿal
17. מִצְוָה  /  miṣwâ
18. מִצְוֹת  /  miṣôṯ
19. עַד  /  ʿaḏ
20. עַל  /  ʿal</x:v>
      </x:c>
    </x:row>
    <x:row r="10" ht="330" customHeight="1">
      <x:c r="A10" s="21" t="n">
        <x:v>6</x:v>
      </x:c>
      <x:c r="B10" s="21" t="str">
        <x:f>"第 "&amp;((A10-1)*20+1)&amp;"–"&amp;(A10*20)&amp;" 詞"</x:f>
        <x:v>第 101–120 詞</x:v>
      </x:c>
      <x:c r="C10" s="21" t="n">
        <x:f>COUNTIFS('希伯來文1000詞'!$B$5:$B$1004,A10,'希伯來文1000詞'!$I$5:$I$1004,"BBH2 課序")</x:f>
        <x:v>20</x:v>
      </x:c>
      <x:c r="D10" s="21" t="n">
        <x:f>COUNTIFS('希伯來文1000詞'!$B$5:$B$1004,A10,'希伯來文1000詞'!$I$5:$I$1004,"自編延伸")</x:f>
        <x:v>0</x:v>
      </x:c>
      <x:c r="E10" s="21" t="n">
        <x:f>COUNTIFS('希伯來文1000詞'!$B$5:$B$1004,A10,'希伯來文1000詞'!$N$5:$N$1004,"是")</x:f>
        <x:v>0</x:v>
      </x:c>
      <x:c r="F10" s="21" t="str">
        <x:f>IF(C10+D10=20,"完整","檢查")</x:f>
        <x:v>完整</x:v>
      </x:c>
      <x:c r="G10" s="25" t="str">
        <x:v>01. עַל־דְּבַר  /  ʿal-dəḇar
02. עִם  /  ʿim
03. פֶּה  /  pê
04. שָׂדֶה  /  śāḏê
05. תַּ֫חַת  /  taḥaṯ
06. אֶחָד  /  ʾeḥāḏ
07. גָּדוֹל  /  gāḏôl
08. דַּל  /  dal
09. זָקֵן  /  zāqēn
10. חָכָם  /  ḥāḵām
11. טוֹב  /  ṭôḇ
12. יָפֶה  /  yāp̄ê
13. יָשָׁר  /  yāšār
14. כֵּן  /  kēn
15. לָכֵן  /  lāḵēn
16. עַל־כֵּן  /  ʿal-kēn
17. מְאֹד  /  məʾōḏ
18. מְעַט  /  məʿaṭ
19. עַתָּה  /  ʿattâ
20. צַדִּיק  /  ṣaddîq</x:v>
      </x:c>
    </x:row>
    <x:row r="11" ht="330" customHeight="1">
      <x:c r="A11" s="21" t="n">
        <x:v>7</x:v>
      </x:c>
      <x:c r="B11" s="21" t="str">
        <x:f>"第 "&amp;((A11-1)*20+1)&amp;"–"&amp;(A11*20)&amp;" 詞"</x:f>
        <x:v>第 121–140 詞</x:v>
      </x:c>
      <x:c r="C11" s="21" t="n">
        <x:f>COUNTIFS('希伯來文1000詞'!$B$5:$B$1004,A11,'希伯來文1000詞'!$I$5:$I$1004,"BBH2 課序")</x:f>
        <x:v>20</x:v>
      </x:c>
      <x:c r="D11" s="21" t="n">
        <x:f>COUNTIFS('希伯來文1000詞'!$B$5:$B$1004,A11,'希伯來文1000詞'!$I$5:$I$1004,"自編延伸")</x:f>
        <x:v>0</x:v>
      </x:c>
      <x:c r="E11" s="21" t="n">
        <x:f>COUNTIFS('希伯來文1000詞'!$B$5:$B$1004,A11,'希伯來文1000詞'!$N$5:$N$1004,"是")</x:f>
        <x:v>0</x:v>
      </x:c>
      <x:c r="F11" s="21" t="str">
        <x:f>IF(C11+D11=20,"完整","檢查")</x:f>
        <x:v>完整</x:v>
      </x:c>
      <x:c r="G11" s="25" t="str">
        <x:v>01. קֹ֫דֶשׁ  /  qōḏeš
02. קָדוֹשׁ  /  qāḏôš
03. קָטֹן  /  qāṭōn
04. קָרוֹב  /  qārôḇ
05. קָשֶׁה  /  qāšê
06. רָחוֹק  /  rāḥôq
07. רַב  /  raḇ
08. רַע  /  raʿ
09. רָשָׁע  /  rāšāʿ
10. שִׁיר  /  šîr
11. אֹ֫הֶל  /  ʾōhel
12. אַחֵר  /  ʾaḥēr
13. אֵיךְ  /  ʾêḵ
14. אֵיכָה  /  ʾêḵâ
15. אֶ֫לֶף  /  ʾelep̄
16. אֲשֶׁר  /  ʾăšer
17. כַּאֲשֶׁר  /  kaʾăšer
18. בְּהֵמָה  /  bəhēmâ
19. גַּם  /  gam
20. דָּם  /  dām</x:v>
      </x:c>
    </x:row>
    <x:row r="12" ht="330" customHeight="1">
      <x:c r="A12" s="21" t="n">
        <x:v>8</x:v>
      </x:c>
      <x:c r="B12" s="21" t="str">
        <x:f>"第 "&amp;((A12-1)*20+1)&amp;"–"&amp;(A12*20)&amp;" 詞"</x:f>
        <x:v>第 141–160 詞</x:v>
      </x:c>
      <x:c r="C12" s="21" t="n">
        <x:f>COUNTIFS('希伯來文1000詞'!$B$5:$B$1004,A12,'希伯來文1000詞'!$I$5:$I$1004,"BBH2 課序")</x:f>
        <x:v>20</x:v>
      </x:c>
      <x:c r="D12" s="21" t="n">
        <x:f>COUNTIFS('希伯來文1000詞'!$B$5:$B$1004,A12,'希伯來文1000詞'!$I$5:$I$1004,"自編延伸")</x:f>
        <x:v>0</x:v>
      </x:c>
      <x:c r="E12" s="21" t="n">
        <x:f>COUNTIFS('希伯來文1000詞'!$B$5:$B$1004,A12,'希伯來文1000詞'!$N$5:$N$1004,"是")</x:f>
        <x:v>0</x:v>
      </x:c>
      <x:c r="F12" s="21" t="str">
        <x:f>IF(C12+D12=20,"完整","檢查")</x:f>
        <x:v>完整</x:v>
      </x:c>
      <x:c r="G12" s="25" t="str">
        <x:v>01. הֲ  /  hă
02. טָהוֹר  /  ṭāhôr
03. כִּי  /  kî
04. כִּי־אִם  /  kî-ʾim
05. כְּסִיל  /  kəsîl
06. לָ֫מָּה  /  lāmmâ
07. לָמָה  /  lāmâ
08. מָה  /  mâ
09. מַדּוּעַ  /  maddûaʿ
10. מִי  /  mî
11. עָנִי  /  ʿānî
12. שֶׁ֫מֶן  /  šemen
13. שֹׁפֵט  /  šōp̄ēṭ
14. אֲנִי  /  ʾănî
15. אָנֹכִי  /  ʾānōḵî
16. אַתָּה  /  ʾattâ
17. אַתְּ  /  ʾatt
18. הוּא  /  hûʾ
19. הִיא  /  hîʾ
20. אֲנַ֫חְנוּ  /  ʾănaḥnû</x:v>
      </x:c>
    </x:row>
    <x:row r="13" ht="330" customHeight="1">
      <x:c r="A13" s="21" t="n">
        <x:v>9</x:v>
      </x:c>
      <x:c r="B13" s="21" t="str">
        <x:f>"第 "&amp;((A13-1)*20+1)&amp;"–"&amp;(A13*20)&amp;" 詞"</x:f>
        <x:v>第 161–180 詞</x:v>
      </x:c>
      <x:c r="C13" s="21" t="n">
        <x:f>COUNTIFS('希伯來文1000詞'!$B$5:$B$1004,A13,'希伯來文1000詞'!$I$5:$I$1004,"BBH2 課序")</x:f>
        <x:v>20</x:v>
      </x:c>
      <x:c r="D13" s="21" t="n">
        <x:f>COUNTIFS('希伯來文1000詞'!$B$5:$B$1004,A13,'希伯來文1000詞'!$I$5:$I$1004,"自編延伸")</x:f>
        <x:v>0</x:v>
      </x:c>
      <x:c r="E13" s="21" t="n">
        <x:f>COUNTIFS('希伯來文1000詞'!$B$5:$B$1004,A13,'希伯來文1000詞'!$N$5:$N$1004,"是")</x:f>
        <x:v>0</x:v>
      </x:c>
      <x:c r="F13" s="21" t="str">
        <x:f>IF(C13+D13=20,"完整","檢查")</x:f>
        <x:v>完整</x:v>
      </x:c>
      <x:c r="G13" s="25" t="str">
        <x:v>01. אַתֶּם  /  ʾattem
02. אַתֵּ֫נָה  /  ʾattēnâ
03. הֵם  /  hēm
04. הֵ֫מָּה  /  hēmmâ
05. הֵן  /  hēn
06. הֵ֫נָּה  /  hēnnâ
07. זֶה  /  zê
08. זֹאת  /  zōʾṯ
09. אֵ֫לֶּה  /  ʾēllê
10. אוֹ  /  ʾô
11. אַ֫יִן  /  ʾayin
12. אֵין  /  ʾên
13. אַף  /  ʾap̄
14. אַפַּ֫יִם  /  ʾappayim
15. בֹּ֫קֶר  /  bōqer
16. בָּקָר  /  bāqār
17. בְּרָכָה  /  bərāḵâ
18. הֵן  /  hēn
19. הִנֵּה  /  hinnê
20. חַטָּאת  /  ḥaṭṭāʾṯ</x:v>
      </x:c>
    </x:row>
    <x:row r="14" ht="330" customHeight="1">
      <x:c r="A14" s="21" t="n">
        <x:v>10</x:v>
      </x:c>
      <x:c r="B14" s="21" t="str">
        <x:f>"第 "&amp;((A14-1)*20+1)&amp;"–"&amp;(A14*20)&amp;" 詞"</x:f>
        <x:v>第 181–200 詞</x:v>
      </x:c>
      <x:c r="C14" s="21" t="n">
        <x:f>COUNTIFS('希伯來文1000詞'!$B$5:$B$1004,A14,'希伯來文1000詞'!$I$5:$I$1004,"BBH2 課序")</x:f>
        <x:v>20</x:v>
      </x:c>
      <x:c r="D14" s="21" t="n">
        <x:f>COUNTIFS('希伯來文1000詞'!$B$5:$B$1004,A14,'希伯來文1000詞'!$I$5:$I$1004,"自編延伸")</x:f>
        <x:v>0</x:v>
      </x:c>
      <x:c r="E14" s="21" t="n">
        <x:f>COUNTIFS('希伯來文1000詞'!$B$5:$B$1004,A14,'希伯來文1000詞'!$N$5:$N$1004,"是")</x:f>
        <x:v>0</x:v>
      </x:c>
      <x:c r="F14" s="21" t="str">
        <x:f>IF(C14+D14=20,"完整","檢查")</x:f>
        <x:v>完整</x:v>
      </x:c>
      <x:c r="G14" s="25" t="str">
        <x:v>01. יֵשׁ  /  yēš
02. יֶשׁ־  /  yeš-
03. כָּבוֹד  /  kāḇôḏ
04. כְּלִי  /  kəlî
05. לֶ֫חֶם  /  leḥem
06. לְבַד  /  ləḇaḏ
07. מִשְׁפָּחָה  /  mišpāḥâ
08. מִלְחָמָה  /  milḥāmâ
09. סָבִיב  /  sāḇîḇ
10. עַם  /  ʿam
11. עֵץ  /  ʿēṣ
12. אֶ֫בֶן  /  ʾeḇen
13. אֲדָמָה  /  ʾăḏāmâ
14. אֹיֵב  /  ʾōyēḇ
15. בָּשָׂר  /  bāśār
16. בְּרִית  /  bərîṯ
17. גְּבוּל  /  gəḇûl
18. חַ֫יִל  /  ḥayil
19. חֶ֫סֶד  /  ḥeseḏ
20. חֹ֫דֶשׁ  /  ḥōḏeš</x:v>
      </x:c>
    </x:row>
    <x:row r="15" ht="330" customHeight="1">
      <x:c r="A15" s="21" t="n">
        <x:v>11</x:v>
      </x:c>
      <x:c r="B15" s="21" t="str">
        <x:f>"第 "&amp;((A15-1)*20+1)&amp;"–"&amp;(A15*20)&amp;" 詞"</x:f>
        <x:v>第 201–220 詞</x:v>
      </x:c>
      <x:c r="C15" s="21" t="n">
        <x:f>COUNTIFS('希伯來文1000詞'!$B$5:$B$1004,A15,'希伯來文1000詞'!$I$5:$I$1004,"BBH2 課序")</x:f>
        <x:v>20</x:v>
      </x:c>
      <x:c r="D15" s="21" t="n">
        <x:f>COUNTIFS('希伯來文1000詞'!$B$5:$B$1004,A15,'希伯來文1000詞'!$I$5:$I$1004,"自編延伸")</x:f>
        <x:v>0</x:v>
      </x:c>
      <x:c r="E15" s="21" t="n">
        <x:f>COUNTIFS('希伯來文1000詞'!$B$5:$B$1004,A15,'希伯來文1000詞'!$N$5:$N$1004,"是")</x:f>
        <x:v>0</x:v>
      </x:c>
      <x:c r="F15" s="21" t="str">
        <x:f>IF(C15+D15=20,"完整","檢查")</x:f>
        <x:v>完整</x:v>
      </x:c>
      <x:c r="G15" s="25" t="str">
        <x:v>01. יָד  /  yāḏ
02. יָדוֹת  /  yāḏôṯ
03. מָ֫וֶת  /  māweṯ
04. מוֹת  /  môṯ
05. מַטֶּה  /  maṭṭê
06. מִדְבָּר  /  miḏbār
07. עוֹד  /  ʿôḏ
08. עֵת  /  ʿēṯ
09. עֹלָה  /  ʿōlâ
10. פָּנִים  /  pānîm
11. פְּנֵי  /  pənê
12. צֹאן  /  ṣōʾn
13. רֶ֫גֶל  /  reg̅el
14. אֲבִי  /  ʾăḇî
15. אֲחִי  /  ʾăḥî
16. אֵ֫שֶׁת  /  ʾēšeṯ
17. אַמָּה  /  ʾammâ
18. אֵם  /  ʾēm
19. בֶּ֫גֶד  /  beg̅eḏ
20. זֶ֫רַע  /  zeraʿ</x:v>
      </x:c>
    </x:row>
    <x:row r="16" ht="330" customHeight="1">
      <x:c r="A16" s="21" t="n">
        <x:v>12</x:v>
      </x:c>
      <x:c r="B16" s="21" t="str">
        <x:f>"第 "&amp;((A16-1)*20+1)&amp;"–"&amp;(A16*20)&amp;" 詞"</x:f>
        <x:v>第 221–240 詞</x:v>
      </x:c>
      <x:c r="C16" s="21" t="n">
        <x:f>COUNTIFS('希伯來文1000詞'!$B$5:$B$1004,A16,'希伯來文1000詞'!$I$5:$I$1004,"BBH2 課序")</x:f>
        <x:v>20</x:v>
      </x:c>
      <x:c r="D16" s="21" t="n">
        <x:f>COUNTIFS('希伯來文1000詞'!$B$5:$B$1004,A16,'希伯來文1000詞'!$I$5:$I$1004,"自編延伸")</x:f>
        <x:v>0</x:v>
      </x:c>
      <x:c r="E16" s="21" t="n">
        <x:f>COUNTIFS('希伯來文1000詞'!$B$5:$B$1004,A16,'希伯來文1000詞'!$N$5:$N$1004,"是")</x:f>
        <x:v>0</x:v>
      </x:c>
      <x:c r="F16" s="21" t="str">
        <x:f>IF(C16+D16=20,"完整","檢查")</x:f>
        <x:v>完整</x:v>
      </x:c>
      <x:c r="G16" s="25" t="str">
        <x:v>01. חָצֵר  /  ḥāṣēr
02. לַ֫יְלָה  /  laylâ
03. מוֹעֵד  /  môʿēḏ
04. מַחֲנֶה  /  maḥănê
05. מַלְאָךְ  /  malʾāḵ
06. מַעֲשֶׂה  /  maʿăśê
07. נַ֫עַר  /  naʿar
08. נַחֲלָה  /  naḥălâ
09. עָוֹן  /  ʿāôn
10. קֶ֫רֶב  /  qereḇ
11. בְּקֶ֫רֶב  /  bəqereḇ
12. רַק  /  raq
13. שָׁלוֹם  /  šālôm
14. שָׁם  /  šām
15. תָּמִיד  /  tāmîḏ
16. אָכַל  /  ʾāḵal
17. אָמַר  /  ʾāmar
18. הָלַךְ  /  hālaḵ
19. הָיָה  /  hāyâ
20. יָצָא  /  yāṣāʾ</x:v>
      </x:c>
    </x:row>
    <x:row r="17" ht="330" customHeight="1">
      <x:c r="A17" s="21" t="n">
        <x:v>13</x:v>
      </x:c>
      <x:c r="B17" s="21" t="str">
        <x:f>"第 "&amp;((A17-1)*20+1)&amp;"–"&amp;(A17*20)&amp;" 詞"</x:f>
        <x:v>第 241–260 詞</x:v>
      </x:c>
      <x:c r="C17" s="21" t="n">
        <x:f>COUNTIFS('希伯來文1000詞'!$B$5:$B$1004,A17,'希伯來文1000詞'!$I$5:$I$1004,"BBH2 課序")</x:f>
        <x:v>20</x:v>
      </x:c>
      <x:c r="D17" s="21" t="n">
        <x:f>COUNTIFS('希伯來文1000詞'!$B$5:$B$1004,A17,'希伯來文1000詞'!$I$5:$I$1004,"自編延伸")</x:f>
        <x:v>0</x:v>
      </x:c>
      <x:c r="E17" s="21" t="n">
        <x:f>COUNTIFS('希伯來文1000詞'!$B$5:$B$1004,A17,'希伯來文1000詞'!$N$5:$N$1004,"是")</x:f>
        <x:v>1</x:v>
      </x:c>
      <x:c r="F17" s="21" t="str">
        <x:f>IF(C17+D17=20,"完整","檢查")</x:f>
        <x:v>完整</x:v>
      </x:c>
      <x:c r="G17" s="25" t="str">
        <x:v>01. יָשַׁב  /  yāšaḇ
02. נָתַן  /  nāṯan
03. עָשָׂה  /  ʿāśâ
04. רָאָה  /  rāʾâ
05. שָׁבַת  /  šāḇaṯ
06. שָׁמַע  /  šāmaʿ
07. אֲרוֹן  /  ʾărôn
08. מִנְחָה  /  minḥâ
09. שַׁבָּת  /  šabbāṯ
10. אַךְ  /  ʾaḵ
11. אַל  /  ʾal
12. אִם  /  ʾim
13. לֹא  /  lōʾ
14. בָּרַךְ  /  bāraḵ
15. זָכַר  /  zāḵar
16. זָקֵן  /  zāqēn
17. חָזַק  /  ḥāzaq
18. יָדַע  /  yāḏaʿ
19. כָּבֵד  /  kāḇēḏ
20. כָּתַב  /  kāṯaḇ</x:v>
      </x:c>
    </x:row>
    <x:row r="18" ht="330" customHeight="1">
      <x:c r="A18" s="21" t="n">
        <x:v>14</x:v>
      </x:c>
      <x:c r="B18" s="21" t="str">
        <x:f>"第 "&amp;((A18-1)*20+1)&amp;"–"&amp;(A18*20)&amp;" 詞"</x:f>
        <x:v>第 261–280 詞</x:v>
      </x:c>
      <x:c r="C18" s="21" t="n">
        <x:f>COUNTIFS('希伯來文1000詞'!$B$5:$B$1004,A18,'希伯來文1000詞'!$I$5:$I$1004,"BBH2 課序")</x:f>
        <x:v>20</x:v>
      </x:c>
      <x:c r="D18" s="21" t="n">
        <x:f>COUNTIFS('希伯來文1000詞'!$B$5:$B$1004,A18,'希伯來文1000詞'!$I$5:$I$1004,"自編延伸")</x:f>
        <x:v>0</x:v>
      </x:c>
      <x:c r="E18" s="21" t="n">
        <x:f>COUNTIFS('希伯來文1000詞'!$B$5:$B$1004,A18,'希伯來文1000詞'!$N$5:$N$1004,"是")</x:f>
        <x:v>0</x:v>
      </x:c>
      <x:c r="F18" s="21" t="str">
        <x:f>IF(C18+D18=20,"完整","檢查")</x:f>
        <x:v>完整</x:v>
      </x:c>
      <x:c r="G18" s="25" t="str">
        <x:v>01. מָלֵא  /  mālēʾ
02. מָלַךְ  /  mālaḵ
03. מָצָא  /  māṣāʾ
04. פָּקַד  /  pāqaḏ
05. שָׁכַב  /  šāḵaḇ
06. שָׁלַח  /  šālaḥ
07. שָׁמַר  /  šāmar
08. בּוֹא  /  bôʾ
09. בָּנָה  /  bānâ
10. יָלַד  /  yālaḏ
11. יָרֵא  /  yārēʾ
12. יָרַד  /  yāraḏ
13. לָקַח  /  lāqaḥ
14. מוּת  /  mûṯ
15. נָפַל  /  nāp̄al
16. נָשָׂא  /  nāśāʾ
17. עָלָה  /  ʿālâ
18. עָבַר  /  ʿāḇar
19. עָמַד  /  ʿāmaḏ
20. קוּם  /  qûm</x:v>
      </x:c>
    </x:row>
    <x:row r="19" ht="330" customHeight="1">
      <x:c r="A19" s="21" t="n">
        <x:v>15</x:v>
      </x:c>
      <x:c r="B19" s="21" t="str">
        <x:f>"第 "&amp;((A19-1)*20+1)&amp;"–"&amp;(A19*20)&amp;" 詞"</x:f>
        <x:v>第 281–300 詞</x:v>
      </x:c>
      <x:c r="C19" s="21" t="n">
        <x:f>COUNTIFS('希伯來文1000詞'!$B$5:$B$1004,A19,'希伯來文1000詞'!$I$5:$I$1004,"BBH2 課序")</x:f>
        <x:v>20</x:v>
      </x:c>
      <x:c r="D19" s="21" t="n">
        <x:f>COUNTIFS('希伯來文1000詞'!$B$5:$B$1004,A19,'希伯來文1000詞'!$I$5:$I$1004,"自編延伸")</x:f>
        <x:v>0</x:v>
      </x:c>
      <x:c r="E19" s="21" t="n">
        <x:f>COUNTIFS('希伯來文1000詞'!$B$5:$B$1004,A19,'希伯來文1000詞'!$N$5:$N$1004,"是")</x:f>
        <x:v>0</x:v>
      </x:c>
      <x:c r="F19" s="21" t="str">
        <x:f>IF(C19+D19=20,"完整","檢查")</x:f>
        <x:v>完整</x:v>
      </x:c>
      <x:c r="G19" s="25" t="str">
        <x:v>01. קָרָא  /  qārāʾ
02. שִׂים  /  śîm
03. שׁוּב  /  šûḇ
04. פֹּה  /  pô
05. חָיָה  /  ḥāyâ
06. יָכֹל  /  yāḵōl
07. כָּרַת  /  kāraṯ
08. סוּר  /  sûr
09. עָבַד  /  ʿāḇaḏ
10. עָנָה  /  ʿānâ
11. אֹ֫זֶן  /  ʾōzen
12. אַ֫יִל  /  ʾayil
13. גִּבּוֹר  /  gibbôr
14. זֶ֫בַח  /  zeḇaḥ
15. צְדָקָה  /  ṣəḏāqâ
16. צָפוֹן  /  ṣāp̄ôn
17. אָז  /  ʾāz
18. אַף  /  ʾap̄
19. פֶּן־  /  pen-
20. גָּאַל  /  gāʾal</x:v>
      </x:c>
    </x:row>
    <x:row r="20" ht="330" customHeight="1">
      <x:c r="A20" s="21" t="n">
        <x:v>16</x:v>
      </x:c>
      <x:c r="B20" s="21" t="str">
        <x:f>"第 "&amp;((A20-1)*20+1)&amp;"–"&amp;(A20*20)&amp;" 詞"</x:f>
        <x:v>第 301–320 詞</x:v>
      </x:c>
      <x:c r="C20" s="21" t="n">
        <x:f>COUNTIFS('希伯來文1000詞'!$B$5:$B$1004,A20,'希伯來文1000詞'!$I$5:$I$1004,"BBH2 課序")</x:f>
        <x:v>20</x:v>
      </x:c>
      <x:c r="D20" s="21" t="n">
        <x:f>COUNTIFS('希伯來文1000詞'!$B$5:$B$1004,A20,'希伯來文1000詞'!$I$5:$I$1004,"自編延伸")</x:f>
        <x:v>0</x:v>
      </x:c>
      <x:c r="E20" s="21" t="n">
        <x:f>COUNTIFS('希伯來文1000詞'!$B$5:$B$1004,A20,'希伯來文1000詞'!$N$5:$N$1004,"是")</x:f>
        <x:v>0</x:v>
      </x:c>
      <x:c r="F20" s="21" t="str">
        <x:f>IF(C20+D20=20,"完整","檢查")</x:f>
        <x:v>完整</x:v>
      </x:c>
      <x:c r="G20" s="25" t="str">
        <x:v>01. חָטָא  /  ḥāṭāʾ
02. יָסַף  /  yāsap̄
03. יָרַשׁ  /  yāraš
04. כָּפַר  /  kāp̄ar
05. נָטָה  /  nāṭâ
06. עָזַב  /  ʿāzaḇ
07. קָרַב  /  qāraḇ
08. רָבָה  /  rāḇâ
09. שָׁתָה  /  šāṯâ
10. תָּמַם  /  tāmam
11. כַּף  /  kap̄
12. רֵ֫עַ  /  rēaʿ
13. נֶ֫גֶד  /  neg̅eḏ
14. אָבַד  /  ʾāḇaḏ
15. אָהַב  /  ʾāhaḇ
16. אָסַף  /  ʾāsap̄
17. בָּעַר  /  bāʿar
18. גָּלָה  /  gālâ
19. טָהֵר  /  ṭāhēr
20. כָּלָה  /  kālâ</x:v>
      </x:c>
    </x:row>
    <x:row r="21" ht="330" customHeight="1">
      <x:c r="A21" s="21" t="n">
        <x:v>17</x:v>
      </x:c>
      <x:c r="B21" s="21" t="str">
        <x:f>"第 "&amp;((A21-1)*20+1)&amp;"–"&amp;(A21*20)&amp;" 詞"</x:f>
        <x:v>第 321–340 詞</x:v>
      </x:c>
      <x:c r="C21" s="21" t="n">
        <x:f>COUNTIFS('希伯來文1000詞'!$B$5:$B$1004,A21,'希伯來文1000詞'!$I$5:$I$1004,"BBH2 課序")</x:f>
        <x:v>20</x:v>
      </x:c>
      <x:c r="D21" s="21" t="n">
        <x:f>COUNTIFS('希伯來文1000詞'!$B$5:$B$1004,A21,'希伯來文1000詞'!$I$5:$I$1004,"自編延伸")</x:f>
        <x:v>0</x:v>
      </x:c>
      <x:c r="E21" s="21" t="n">
        <x:f>COUNTIFS('希伯來文1000詞'!$B$5:$B$1004,A21,'希伯來文1000詞'!$N$5:$N$1004,"是")</x:f>
        <x:v>1</x:v>
      </x:c>
      <x:c r="F21" s="21" t="str">
        <x:f>IF(C21+D21=20,"完整","檢查")</x:f>
        <x:v>完整</x:v>
      </x:c>
      <x:c r="G21" s="25" t="str">
        <x:v>01. רוּם  /  rûm
02. שָׁפַט  /  šāp̄aṭ
03. אֱמֶת  /  ʾĕmeṯ
04. כִּסֵּא  /  kissēʾ
05. מִסְפָּר  /  mispār
06. עֶ֫שֶׂר  /  ʿeśer
07. שֶׁ֫מֶשׁ  /  šemeš
08. בָּחַר  /  bāḥar
09. בִּין  /  bîn
10. דָּרַשׁ  /  dāraš
11. הָרַג  /  hārag̅
12. חָפֵץ  /  ḥāp̄ēṣ
13. טוֹב  /  ṭôḇ
14. קָדַשׁ  /  qāḏaš
15. רָעָה  /  rāʿâ
16. שָׁאַל  /  šāʾal
17. בַּ֫עַל  /  baʿal
18. שֵׁ֫בֶט  /  šēḇeṭ
19. בַּ֫עַד  /  baʿaḏ
20. בְּעַד  /  bəʿaḏ</x:v>
      </x:c>
    </x:row>
    <x:row r="22" ht="330" customHeight="1">
      <x:c r="A22" s="21" t="n">
        <x:v>18</x:v>
      </x:c>
      <x:c r="B22" s="21" t="str">
        <x:f>"第 "&amp;((A22-1)*20+1)&amp;"–"&amp;(A22*20)&amp;" 詞"</x:f>
        <x:v>第 341–360 詞</x:v>
      </x:c>
      <x:c r="C22" s="21" t="n">
        <x:f>COUNTIFS('希伯來文1000詞'!$B$5:$B$1004,A22,'希伯來文1000詞'!$I$5:$I$1004,"BBH2 課序")</x:f>
        <x:v>20</x:v>
      </x:c>
      <x:c r="D22" s="21" t="n">
        <x:f>COUNTIFS('希伯來文1000詞'!$B$5:$B$1004,A22,'希伯來文1000詞'!$I$5:$I$1004,"自編延伸")</x:f>
        <x:v>0</x:v>
      </x:c>
      <x:c r="E22" s="21" t="n">
        <x:f>COUNTIFS('希伯來文1000詞'!$B$5:$B$1004,A22,'希伯來文1000詞'!$N$5:$N$1004,"是")</x:f>
        <x:v>0</x:v>
      </x:c>
      <x:c r="F22" s="21" t="str">
        <x:f>IF(C22+D22=20,"完整","檢查")</x:f>
        <x:v>完整</x:v>
      </x:c>
      <x:c r="G22" s="25" t="str">
        <x:v>01. יַ֫עַן  /  yaʿan
02. נָא  /  nāʾ
03. בָּטַח  /  bāṭaḥ
04. בָּכָה  /  bāḵâ
05. לָבַשׁ  /  lāḇaš
06. שָׂרַף  /  śārap̄
07. שָׂרָף  /  śārāp̄
08. שָׁלֵם  /  šālēm
09. דּוֹר  /  dôr
10. חוּץ  /  ḥûṣ
11. מְלָאכָה  /  məlāʾḵâ
12. פַּר  /  par
13. פֶּ֫תַח  /  peṯaḥ
14. רֹב  /  rōḇ
15. שָׂפָה  /  śāp̄â
16. אָחַז  /  ʾāḥaz
17. טָמֵא  /  ṭāmēʾ
18. יָצַר  /  yāṣar
19. נוּס  /  nûs
20. נָגַע  /  nāg̅aʿ</x:v>
      </x:c>
    </x:row>
    <x:row r="23" ht="330" customHeight="1">
      <x:c r="A23" s="21" t="n">
        <x:v>19</x:v>
      </x:c>
      <x:c r="B23" s="21" t="str">
        <x:f>"第 "&amp;((A23-1)*20+1)&amp;"–"&amp;(A23*20)&amp;" 詞"</x:f>
        <x:v>第 361–380 詞</x:v>
      </x:c>
      <x:c r="C23" s="21" t="n">
        <x:f>COUNTIFS('希伯來文1000詞'!$B$5:$B$1004,A23,'希伯來文1000詞'!$I$5:$I$1004,"BBH2 課序")</x:f>
        <x:v>20</x:v>
      </x:c>
      <x:c r="D23" s="21" t="n">
        <x:f>COUNTIFS('希伯來文1000詞'!$B$5:$B$1004,A23,'希伯來文1000詞'!$I$5:$I$1004,"自編延伸")</x:f>
        <x:v>0</x:v>
      </x:c>
      <x:c r="E23" s="21" t="n">
        <x:f>COUNTIFS('希伯來文1000詞'!$B$5:$B$1004,A23,'希伯來文1000詞'!$N$5:$N$1004,"是")</x:f>
        <x:v>0</x:v>
      </x:c>
      <x:c r="F23" s="21" t="str">
        <x:f>IF(C23+D23=20,"完整","檢查")</x:f>
        <x:v>完整</x:v>
      </x:c>
      <x:c r="G23" s="25" t="str">
        <x:v>01. סָבַב  /  sāḇaḇ
02. סָפַר  /  sāp̄ar
03. שָׂמַח  /  śāmaḥ
04. שָׁבַר  /  šāḇar
05. יַחְדָּו  /  yaḥdāw
06. יַ֫חַד  /  yaḥaḏ
07. יַ֫יִן  /  yayin
08. עֲבֹדָה  /  ʿăḇōḏâ
09. עֲבוֹדָה  /  ʿăḇôḏâ
10. עֵדָה  /  ʿēḏâ
11. בִּלְתִּי  /  biltî
12. לְבִּלְתִּי  /  ləbiltî
13. זָבַח  /  zāḇaḥ
14. חָנָה  /  ḥānâ
15. נוּחַ  /  nûaḥ
16. נָסַע  /  nāsaʿ
17. פָּנָה  /  pānâ
18. פָּתַח  /  pāṯaḥ
19. רָדַף  /  rāḏap̄
20. שָׂנֵא  /  śānēʾ</x:v>
      </x:c>
    </x:row>
    <x:row r="24" ht="330" customHeight="1">
      <x:c r="A24" s="21" t="n">
        <x:v>20</x:v>
      </x:c>
      <x:c r="B24" s="21" t="str">
        <x:f>"第 "&amp;((A24-1)*20+1)&amp;"–"&amp;(A24*20)&amp;" 詞"</x:f>
        <x:v>第 381–400 詞</x:v>
      </x:c>
      <x:c r="C24" s="21" t="n">
        <x:f>COUNTIFS('希伯來文1000詞'!$B$5:$B$1004,A24,'希伯來文1000詞'!$I$5:$I$1004,"BBH2 課序")</x:f>
        <x:v>20</x:v>
      </x:c>
      <x:c r="D24" s="21" t="n">
        <x:f>COUNTIFS('希伯來文1000詞'!$B$5:$B$1004,A24,'希伯來文1000詞'!$I$5:$I$1004,"自編延伸")</x:f>
        <x:v>0</x:v>
      </x:c>
      <x:c r="E24" s="21" t="n">
        <x:f>COUNTIFS('希伯來文1000詞'!$B$5:$B$1004,A24,'希伯來文1000詞'!$N$5:$N$1004,"是")</x:f>
        <x:v>0</x:v>
      </x:c>
      <x:c r="F24" s="21" t="str">
        <x:f>IF(C24+D24=20,"完整","檢查")</x:f>
        <x:v>完整</x:v>
      </x:c>
      <x:c r="G24" s="25" t="str">
        <x:v>01. שָׁאַר  /  šāʾar
02. בָּמָה  /  bāmâ
03. חֻקָּה  /  ḥuqqâ
04. חֻקּוֹת  /  ḥuqqôṯ
05. חֻקֹּת  /  ḥuqqōṯ
06. יָמִין  /  yāmîn
07. מִשְׁכָּן  /  miškān
08. נַ֫חַל  /  naḥal
09. רָעָב  /  rāʿāḇ
10. רָעֵב  /  rāʿēḇ
11. אָרַר  /  ʾārar
12. בּוֹשׁ  /  bôš
13. גָּדַל  /  gāḏal
14. חָשַׁב  /  ḥāšaḇ
15. יָטַב  /  yāṭaḇ
16. לָכַד  /  lāḵaḏ
17. נָגַשׁ  /  nāg̅aš
18. קָבַץ  /  qāḇaṣ
19. קָבַר  /  qāḇar
20. שָׁכַן  /  šāḵan</x:v>
      </x:c>
    </x:row>
    <x:row r="25" ht="330" customHeight="1">
      <x:c r="A25" s="21" t="n">
        <x:v>21</x:v>
      </x:c>
      <x:c r="B25" s="21" t="str">
        <x:f>"第 "&amp;((A25-1)*20+1)&amp;"–"&amp;(A25*20)&amp;" 詞"</x:f>
        <x:v>第 401–420 詞</x:v>
      </x:c>
      <x:c r="C25" s="21" t="n">
        <x:f>COUNTIFS('希伯來文1000詞'!$B$5:$B$1004,A25,'希伯來文1000詞'!$I$5:$I$1004,"BBH2 課序")</x:f>
        <x:v>20</x:v>
      </x:c>
      <x:c r="D25" s="21" t="n">
        <x:f>COUNTIFS('希伯來文1000詞'!$B$5:$B$1004,A25,'希伯來文1000詞'!$I$5:$I$1004,"自編延伸")</x:f>
        <x:v>0</x:v>
      </x:c>
      <x:c r="E25" s="21" t="n">
        <x:f>COUNTIFS('希伯來文1000詞'!$B$5:$B$1004,A25,'希伯來文1000詞'!$N$5:$N$1004,"是")</x:f>
        <x:v>0</x:v>
      </x:c>
      <x:c r="F25" s="21" t="str">
        <x:f>IF(C25+D25=20,"完整","檢查")</x:f>
        <x:v>完整</x:v>
      </x:c>
      <x:c r="G25" s="25" t="str">
        <x:v>01. שָׁפַךְ  /  šāp̄aḵ
02. חוֹמָה  /  ḥômâ
03. חֹק  /  ḥōq
04. כֶּ֫בֶשׂ  /  keḇeś
05. אוֹר  /  ʾôr
06. בְּכֹר  /  bəḵōr
07. בְּכוֹר  /  bəḵôr
08. חֵמָה  /  ḥēmâ
09. חֲצִי  /  ḥăṣî
10. כֹּחַ  /  kōaḥ
11. נְחֹ֫שֶׁת  /  nəḥōšeṯ
12. נָשִׂיא  /  nāśîʾ
13. עֶ֫רֶב  /  ʿereḇ
14. עֶ֫צֶם  /  ʿeṣem
15. פְּרִי  /  pərî
16. קָהָל  /  qāhāl
17. רֶ֫כֶב  /  reḵeḇ
18. לָשׁוֹן  /  lāšôn
19. תּוֹעֵבָה  /  tôʿēḇâ
20. אָמַן  /  ʾāman</x:v>
      </x:c>
    </x:row>
    <x:row r="26" ht="330" customHeight="1">
      <x:c r="A26" s="21" t="n">
        <x:v>22</x:v>
      </x:c>
      <x:c r="B26" s="21" t="str">
        <x:f>"第 "&amp;((A26-1)*20+1)&amp;"–"&amp;(A26*20)&amp;" 詞"</x:f>
        <x:v>第 421–440 詞</x:v>
      </x:c>
      <x:c r="C26" s="21" t="n">
        <x:f>COUNTIFS('希伯來文1000詞'!$B$5:$B$1004,A26,'希伯來文1000詞'!$I$5:$I$1004,"BBH2 課序")</x:f>
        <x:v>20</x:v>
      </x:c>
      <x:c r="D26" s="21" t="n">
        <x:f>COUNTIFS('希伯來文1000詞'!$B$5:$B$1004,A26,'希伯來文1000詞'!$I$5:$I$1004,"自編延伸")</x:f>
        <x:v>0</x:v>
      </x:c>
      <x:c r="E26" s="21" t="n">
        <x:f>COUNTIFS('希伯來文1000詞'!$B$5:$B$1004,A26,'希伯來文1000詞'!$N$5:$N$1004,"是")</x:f>
        <x:v>0</x:v>
      </x:c>
      <x:c r="F26" s="21" t="str">
        <x:f>IF(C26+D26=20,"完整","檢查")</x:f>
        <x:v>完整</x:v>
      </x:c>
      <x:c r="G26" s="25" t="str">
        <x:v>01. יָשַׁע  /  yāšaʿ
02. יָתַר  /  yāṯar
03. כּוּן  /  kûn
04. לָחַם  /  lāḥam
05. מָלַט  /  mālaṭ
06. נָחַם  /  nāḥam
07. נָכָה  /  nāḵâ
08. נָצַב  /  nāṣaḇ
09. נָצַל  /  nāṣal
10. סָתַר  /  sāṯar
11. פָּלָא  /  pālāʾ
12. רוּץ  /  rûṣ
13. שָׁחַת  /  šāḥaṯ
14. שָׁמַד  /  šāmaḏ
15. הָפַךְ  /  hāp̄aḵ
16. זָנָה  /  zānâ
17. חָרָה  /  ḥārâ
18. רָעַע  /  rāʿaʿ
19. שָׂבַע  /  śāḇaʿ
20. שָׁכַח  /  šāḵaḥ</x:v>
      </x:c>
    </x:row>
    <x:row r="27" ht="330" customHeight="1">
      <x:c r="A27" s="21" t="n">
        <x:v>23</x:v>
      </x:c>
      <x:c r="B27" s="21" t="str">
        <x:f>"第 "&amp;((A27-1)*20+1)&amp;"–"&amp;(A27*20)&amp;" 詞"</x:f>
        <x:v>第 441–460 詞</x:v>
      </x:c>
      <x:c r="C27" s="21" t="n">
        <x:f>COUNTIFS('希伯來文1000詞'!$B$5:$B$1004,A27,'希伯來文1000詞'!$I$5:$I$1004,"BBH2 課序")</x:f>
        <x:v>20</x:v>
      </x:c>
      <x:c r="D27" s="21" t="n">
        <x:f>COUNTIFS('希伯來文1000詞'!$B$5:$B$1004,A27,'希伯來文1000詞'!$I$5:$I$1004,"自編延伸")</x:f>
        <x:v>0</x:v>
      </x:c>
      <x:c r="E27" s="21" t="n">
        <x:f>COUNTIFS('希伯來文1000詞'!$B$5:$B$1004,A27,'希伯來文1000詞'!$N$5:$N$1004,"是")</x:f>
        <x:v>0</x:v>
      </x:c>
      <x:c r="F27" s="21" t="str">
        <x:f>IF(C27+D27=20,"完整","檢查")</x:f>
        <x:v>完整</x:v>
      </x:c>
      <x:c r="G27" s="25" t="str">
        <x:v>01. שָׁמֵם  /  šāmēm
02. זָכָר  /  zāḵār
03. חֹ֫שֶׁךְ  /  ḥōšeḵ
04. מִגְרָשׁ  /  mig̅rāš
05. מַמְלָכָה  /  mamlāḵâ
06. נָהָר  /  nāhār
07. צֶ֫דֶק  /  ṣeḏeq
08. רֹעֶה  /  rōʿê
09. בָּקַשׁ  /  bāqaš
10. דָּבַר  /  dāḇar
11. הָלַל  /  hālal
12. יָדָה  /  yāḏâ
13. כָּסָה  /  kāsâ
14. מָהַר  /  māhar
15. נָבָא  /  nāḇāʾ
16. נָבַט  /  nāḇaṭ
17. סָגַר  /  sāg̅ar
18. צָוָה  /  ṣāwâ
19. קָטַר  /  qāṭar
20. שִׁיר  /  šîr</x:v>
      </x:c>
    </x:row>
    <x:row r="28" ht="330" customHeight="1">
      <x:c r="A28" s="21" t="n">
        <x:v>24</x:v>
      </x:c>
      <x:c r="B28" s="21" t="str">
        <x:f>"第 "&amp;((A28-1)*20+1)&amp;"–"&amp;(A28*20)&amp;" 詞"</x:f>
        <x:v>第 461–480 詞</x:v>
      </x:c>
      <x:c r="C28" s="21" t="n">
        <x:f>COUNTIFS('希伯來文1000詞'!$B$5:$B$1004,A28,'希伯來文1000詞'!$I$5:$I$1004,"BBH2 課序")</x:f>
        <x:v>20</x:v>
      </x:c>
      <x:c r="D28" s="21" t="n">
        <x:f>COUNTIFS('希伯來文1000詞'!$B$5:$B$1004,A28,'希伯來文1000詞'!$I$5:$I$1004,"自編延伸")</x:f>
        <x:v>0</x:v>
      </x:c>
      <x:c r="E28" s="21" t="n">
        <x:f>COUNTIFS('希伯來文1000詞'!$B$5:$B$1004,A28,'希伯來文1000詞'!$N$5:$N$1004,"是")</x:f>
        <x:v>0</x:v>
      </x:c>
      <x:c r="F28" s="21" t="str">
        <x:f>IF(C28+D28=20,"完整","檢查")</x:f>
        <x:v>完整</x:v>
      </x:c>
      <x:c r="G28" s="25" t="str">
        <x:v>01. שִׁית  /  šîṯ
02. שָׁרַת  /  šāraṯ
03. גּוּר  /  gûr
04. יָעַץ  /  yāʿaṣ
05. לָמַד  /  lāmaḏ
06. מָשַׁל  /  māšal
07. מָכַר  /  māḵar
08. עָזַר  /  ʿāzar
09. עָנָה  /  ʿānâ
10. קָלַל  /  qālal
11. קָנָה  /  qānâ
12. רָכַב  /  rāḵaḇ
13. שָׁחַט  /  šāḥaṭ
14. אָחוֹת  /  ʾāḥôṯ
15. כָּנָף  /  kānāp̄
16. עַמּוּד  /  ʿammûḏ
17. שֶׁ֫קֶר  /  šeqer
18. אָסַר  /  ʾāsar
19. זָעַק  /  zāʿaq
20. חָזָה  /  ḥāzâ</x:v>
      </x:c>
    </x:row>
    <x:row r="29" ht="330" customHeight="1">
      <x:c r="A29" s="21" t="n">
        <x:v>25</x:v>
      </x:c>
      <x:c r="B29" s="21" t="str">
        <x:f>"第 "&amp;((A29-1)*20+1)&amp;"–"&amp;(A29*20)&amp;" 詞"</x:f>
        <x:v>第 481–500 詞</x:v>
      </x:c>
      <x:c r="C29" s="21" t="n">
        <x:f>COUNTIFS('希伯來文1000詞'!$B$5:$B$1004,A29,'希伯來文1000詞'!$I$5:$I$1004,"BBH2 課序")</x:f>
        <x:v>20</x:v>
      </x:c>
      <x:c r="D29" s="21" t="n">
        <x:f>COUNTIFS('希伯來文1000詞'!$B$5:$B$1004,A29,'希伯來文1000詞'!$I$5:$I$1004,"自編延伸")</x:f>
        <x:v>0</x:v>
      </x:c>
      <x:c r="E29" s="21" t="n">
        <x:f>COUNTIFS('希伯來文1000詞'!$B$5:$B$1004,A29,'希伯來文1000詞'!$N$5:$N$1004,"是")</x:f>
        <x:v>2</x:v>
      </x:c>
      <x:c r="F29" s="21" t="str">
        <x:f>IF(C29+D29=20,"完整","檢查")</x:f>
        <x:v>完整</x:v>
      </x:c>
      <x:c r="G29" s="25" t="str">
        <x:v>01. חָלָה  /  ḥālâ
02. חָנַן  /  ḥānan
03. מָאַס  /  māʾas
04. עוּר  /  ʿûr
05. עָרַךְ  /  ʿāraḵ
06. רָחַץ  /  rāḥaṣ
07. שָׂכַל  /  śāḵal
08. מַרְאֶה  /  marʾê
09. נֶ֫גֶב  /  neg̅eḇ
10. עָפָר  /  ʿāp̄ār
11. פַּ֫עַם  /  paʿam
12. לִין  /  lîn
13. מָשַׁח  /  māšaḥ
14. מָשִׁיחַ  /  māšîaḥ
15. נָצַר  /  nāṣar
16. גֵּר  /  gēr
17. חַיָּה  /  ḥayyâ
18. חֵ֫לֶב  /  ḥēleḇ
19. חֲמוֹר  /  ḥămôr
20. יֶ֫תֶר  /  yeṯer</x:v>
      </x:c>
    </x:row>
    <x:row r="30" ht="330" customHeight="1">
      <x:c r="A30" s="21" t="n">
        <x:v>26</x:v>
      </x:c>
      <x:c r="B30" s="21" t="str">
        <x:f>"第 "&amp;((A30-1)*20+1)&amp;"–"&amp;(A30*20)&amp;" 詞"</x:f>
        <x:v>第 501–520 詞</x:v>
      </x:c>
      <x:c r="C30" s="21" t="n">
        <x:f>COUNTIFS('希伯來文1000詞'!$B$5:$B$1004,A30,'希伯來文1000詞'!$I$5:$I$1004,"BBH2 課序")</x:f>
        <x:v>20</x:v>
      </x:c>
      <x:c r="D30" s="21" t="n">
        <x:f>COUNTIFS('希伯來文1000詞'!$B$5:$B$1004,A30,'希伯來文1000詞'!$I$5:$I$1004,"自編延伸")</x:f>
        <x:v>0</x:v>
      </x:c>
      <x:c r="E30" s="21" t="n">
        <x:f>COUNTIFS('希伯來文1000詞'!$B$5:$B$1004,A30,'希伯來文1000詞'!$N$5:$N$1004,"是")</x:f>
        <x:v>0</x:v>
      </x:c>
      <x:c r="F30" s="21" t="str">
        <x:f>IF(C30+D30=20,"完整","檢查")</x:f>
        <x:v>完整</x:v>
      </x:c>
      <x:c r="G30" s="25" t="str">
        <x:v>01. עוֹר  /  ʿôr
02. עֹז  /  ʿōz
03. פֶּ֫שַׁע  /  pešaʿ
04. קָצֶה  /  qāṣê
05. שִׂמְחָה  /  śimḥâ
06. תָּמִים  /  tāmîm
07. חָלַל  /  ḥālal
08. נָגַד  /  nāg̅aḏ
09. שָׁבַע  /  šāḇaʿ
10. שָׁלַךְ  /  šālaḵ
11. דַּ֫עַת  /  daʿaṯ
12. דֶּ֫לֶת  /  deleṯ
13. הָמוֹן  /  hāmôn
14. זְרוֹעַ  /  zərôaʿ
15. כְּרוּב  /  kərûḇ
16. כֶּ֫רֶם  /  kerem
17. מַלְכּוּת  /  malkûṯ
18. עֵצָה  /  ʿēṣâ
19. חָלָל  /  ḥālāl
20. טָמֵא  /  ṭāmēʾ</x:v>
      </x:c>
    </x:row>
    <x:row r="31" ht="330" customHeight="1">
      <x:c r="A31" s="21" t="n">
        <x:v>27</x:v>
      </x:c>
      <x:c r="B31" s="21" t="str">
        <x:f>"第 "&amp;((A31-1)*20+1)&amp;"–"&amp;(A31*20)&amp;" 詞"</x:f>
        <x:v>第 521–540 詞</x:v>
      </x:c>
      <x:c r="C31" s="21" t="n">
        <x:f>COUNTIFS('希伯來文1000詞'!$B$5:$B$1004,A31,'希伯來文1000詞'!$I$5:$I$1004,"BBH2 課序")</x:f>
        <x:v>20</x:v>
      </x:c>
      <x:c r="D31" s="21" t="n">
        <x:f>COUNTIFS('希伯來文1000詞'!$B$5:$B$1004,A31,'希伯來文1000詞'!$I$5:$I$1004,"自編延伸")</x:f>
        <x:v>0</x:v>
      </x:c>
      <x:c r="E31" s="21" t="n">
        <x:f>COUNTIFS('希伯來文1000詞'!$B$5:$B$1004,A31,'希伯來文1000詞'!$N$5:$N$1004,"是")</x:f>
        <x:v>0</x:v>
      </x:c>
      <x:c r="F31" s="21" t="str">
        <x:f>IF(C31+D31=20,"完整","檢查")</x:f>
        <x:v>完整</x:v>
      </x:c>
      <x:c r="G31" s="25" t="str">
        <x:v>01. אָוֶן  /  ʾāwen
02. אוֹצָר  /  ʾôṣār
03. אוֹת  /  ʾôṯ
04. גּוֹרָל  /  gôrāl
05. יְשׁוּעָה  /  yəšûʿâ
06. מִקְנֶה  /  miqnê
07. מִשְׁמֶ֫רֶת  /  mišmereṯ
08. נֶ֫גַע  /  neg̅aʿ
09. צַר  /  ṣar
10. קֶ֫דֶם  /  qeḏem
11. קָרְבָּן  /  qorbān
12. אֶ֫רֶז  /  ʾerez
13. צוּר  /  ṣûr
14. קֶ֫רֶן  /  qeren
15. קֶ֫שֶׁת  /  qešeṯ
16. בֶּ֫טֶן  /  beṭen
17. הֶ֫בֶל  /  heḇel
18. חֶרְפָּה  /  ḥerpâ
19. מִזְרָח  /  mizrāḥ
20. מִקְדָּשׁ  /  miqdāš</x:v>
      </x:c>
    </x:row>
    <x:row r="32" ht="330" customHeight="1">
      <x:c r="A32" s="21" t="n">
        <x:v>28</x:v>
      </x:c>
      <x:c r="B32" s="21" t="str">
        <x:f>"第 "&amp;((A32-1)*20+1)&amp;"–"&amp;(A32*20)&amp;" 詞"</x:f>
        <x:v>第 541–560 詞</x:v>
      </x:c>
      <x:c r="C32" s="21" t="n">
        <x:f>COUNTIFS('希伯來文1000詞'!$B$5:$B$1004,A32,'希伯來文1000詞'!$I$5:$I$1004,"BBH2 課序")</x:f>
        <x:v>12</x:v>
      </x:c>
      <x:c r="D32" s="21" t="n">
        <x:f>COUNTIFS('希伯來文1000詞'!$B$5:$B$1004,A32,'希伯來文1000詞'!$I$5:$I$1004,"自編延伸")</x:f>
        <x:v>8</x:v>
      </x:c>
      <x:c r="E32" s="21" t="n">
        <x:f>COUNTIFS('希伯來文1000詞'!$B$5:$B$1004,A32,'希伯來文1000詞'!$N$5:$N$1004,"是")</x:f>
        <x:v>3</x:v>
      </x:c>
      <x:c r="F32" s="21" t="str">
        <x:f>IF(C32+D32=20,"完整","檢查")</x:f>
        <x:v>完整</x:v>
      </x:c>
      <x:c r="G32" s="25" t="str">
        <x:v>01. עוֹף  /  ʿôp̄
02. עוּף  /  ʿûp̄
03. עֵז  /  ʿēz
04. פָּלַל  /  pālal
05. קִיר  /  qîr
06. שׁוֹפָר  /  šôp̄ār
07. בַּרְזֶל  /  barzel
08. עֵד  /  ʿēḏ
09. צָרָה  /  ṣārâ
10. שׁוֹר  /  šôr
11. שֻׁלְחָן  /  šulḥān
12. תְּפִלָּה  /  təp̄illâ
13. דָּוִד  /  dāwiḏ
14. יָלַךְ  /  yālaḵ
15. יְהוּדָה  /  yəhûḏâ
16. שְׁנַיִם  /  šənayim
17. מֵאָה  /  mēʾâ
18. שָׁלוֹשׁ  /  šālôš
19. שָׁאוּל  /  šāʾûl
20. שֶׁבַע  /  šeḇaʿ</x:v>
      </x:c>
    </x:row>
    <x:row r="33" ht="330" customHeight="1">
      <x:c r="A33" s="21" t="n">
        <x:v>29</x:v>
      </x:c>
      <x:c r="B33" s="21" t="str">
        <x:f>"第 "&amp;((A33-1)*20+1)&amp;"–"&amp;(A33*20)&amp;" 詞"</x:f>
        <x:v>第 561–580 詞</x:v>
      </x:c>
      <x:c r="C33" s="21" t="n">
        <x:f>COUNTIFS('希伯來文1000詞'!$B$5:$B$1004,A33,'希伯來文1000詞'!$I$5:$I$1004,"BBH2 課序")</x:f>
        <x:v>0</x:v>
      </x:c>
      <x:c r="D33" s="21" t="n">
        <x:f>COUNTIFS('希伯來文1000詞'!$B$5:$B$1004,A33,'希伯來文1000詞'!$I$5:$I$1004,"自編延伸")</x:f>
        <x:v>20</x:v>
      </x:c>
      <x:c r="E33" s="21" t="n">
        <x:f>COUNTIFS('希伯來文1000詞'!$B$5:$B$1004,A33,'希伯來文1000詞'!$N$5:$N$1004,"是")</x:f>
        <x:v>13</x:v>
      </x:c>
      <x:c r="F33" s="21" t="str">
        <x:f>IF(C33+D33=20,"完整","檢查")</x:f>
        <x:v>完整</x:v>
      </x:c>
      <x:c r="G33" s="25" t="str">
        <x:v>01. יַעֲקֹב  /  yaʿăqōḇ
02. אַהֲרוֹן  /  ʾahărôn
03. חָמֵשׁ  /  ḥāmēš
04. עָשָׂר  /  ʿāśār
05. אַרְבַּע  /  ʾarbaʿ
06. עֶשְׂרִים  /  ʿeśrîm
07. יְהֹוִה  /  yhwh
08. שְׁלֹמֹה  /  šəlōmô
09. פְּלִשְׁתִּי  /  pəlištî
10. לֵוִיִּי  /  lēwiyyî
11. בָּבֶל  /  bāḇel
12. יְהוֹשׁוּעַ  /  yəhôšûaʿ
13. שֵׁשׁ  /  šēš
14. יוֹסֵף  /  yôsēp̄
15. יַרְדֵּן  /  yardēn
16. רִאשׁוֹן  /  riʾšôn
17. מוֹאָב  /  môʾāḇ
18. אֶפְרַיִם  /  ʾep̄rayim
19. אַבְרָהָם  /  ʾaḇrāhām
20. שְׁלוֹשִׁים  /  šəlôšîm</x:v>
      </x:c>
    </x:row>
    <x:row r="34" ht="330" customHeight="1">
      <x:c r="A34" s="21" t="n">
        <x:v>30</x:v>
      </x:c>
      <x:c r="B34" s="21" t="str">
        <x:f>"第 "&amp;((A34-1)*20+1)&amp;"–"&amp;(A34*20)&amp;" 詞"</x:f>
        <x:v>第 581–600 詞</x:v>
      </x:c>
      <x:c r="C34" s="21" t="n">
        <x:f>COUNTIFS('希伯來文1000詞'!$B$5:$B$1004,A34,'希伯來文1000詞'!$I$5:$I$1004,"BBH2 課序")</x:f>
        <x:v>0</x:v>
      </x:c>
      <x:c r="D34" s="21" t="n">
        <x:f>COUNTIFS('希伯來文1000詞'!$B$5:$B$1004,A34,'希伯來文1000詞'!$I$5:$I$1004,"自編延伸")</x:f>
        <x:v>20</x:v>
      </x:c>
      <x:c r="E34" s="21" t="n">
        <x:f>COUNTIFS('希伯來文1000詞'!$B$5:$B$1004,A34,'希伯來文1000詞'!$N$5:$N$1004,"是")</x:f>
        <x:v>14</x:v>
      </x:c>
      <x:c r="F34" s="21" t="str">
        <x:f>IF(C34+D34=20,"完整","檢查")</x:f>
        <x:v>完整</x:v>
      </x:c>
      <x:c r="G34" s="25" t="str">
        <x:v>01. שָׁחָה  /  šāḥâ
02. בִּנְיָמִין  /  binyāmîn
03. חֲמִשִּׁים  /  ḥămiššîm
04. שֵׁנִי  /  šēnî
05. צִיּוֹן  /  ṣîôn
06. אַשּׁוּר  /  ʾaššûr
07. יִרְמְיָה  /  yirməyâ
08. מְנַשֶּׁה  /  mənaššê
09. יוֹאָב  /  yôʾāḇ
10. בֵּית־אֵל  /  bêṯ-ʾēl
11. כְּמוֹ  /  kəmô
12. שְׁמוּאֵל  /  šəmûʾēl
13. אַרְבָּעִים  /  ʾarbāʿîm
14. גִּלְעָד  /  gilʿāḏ
15. אֲרָם  /  ʾărām
16. חִזְקִיָּה  /  ḥizqiyyâ
17. אֲבִישָׁלוֹם  /  ʾăḇîšālôm
18. שְׁמֹנֶה  /  šəmōnê
19. שֹׁמְרוֹן  /  šōmərôn
20. יִצְחָק  /  yiṣḥāq</x:v>
      </x:c>
    </x:row>
    <x:row r="35" ht="330" customHeight="1">
      <x:c r="A35" s="21" t="n">
        <x:v>31</x:v>
      </x:c>
      <x:c r="B35" s="21" t="str">
        <x:f>"第 "&amp;((A35-1)*20+1)&amp;"–"&amp;(A35*20)&amp;" 詞"</x:f>
        <x:v>第 601–620 詞</x:v>
      </x:c>
      <x:c r="C35" s="21" t="n">
        <x:f>COUNTIFS('希伯來文1000詞'!$B$5:$B$1004,A35,'希伯來文1000詞'!$I$5:$I$1004,"BBH2 課序")</x:f>
        <x:v>0</x:v>
      </x:c>
      <x:c r="D35" s="21" t="n">
        <x:f>COUNTIFS('希伯來文1000詞'!$B$5:$B$1004,A35,'希伯來文1000詞'!$I$5:$I$1004,"自編延伸")</x:f>
        <x:v>20</x:v>
      </x:c>
      <x:c r="E35" s="21" t="n">
        <x:f>COUNTIFS('希伯來文1000詞'!$B$5:$B$1004,A35,'希伯來文1000詞'!$N$5:$N$1004,"是")</x:f>
        <x:v>9</x:v>
      </x:c>
      <x:c r="F35" s="21" t="str">
        <x:f>IF(C35+D35=20,"完整","檢查")</x:f>
        <x:v>完整</x:v>
      </x:c>
      <x:c r="G35" s="25" t="str">
        <x:v>01. שְׁלִישִׁי  /  šəlîšî
02. עַמּוֹן  /  ʿammôn
03. יָרׇבְעָם  /  yāroḇʿām
04. רֹחַב  /  rōḥaḇ
05. אֱדֹם  /  ʾĕḏōm
06. קִרְאָה  /  qirʾâ
07. שְׁבִיעִי  /  šəḇîʿî
08. עֵשָׂו  /  ʿēśāw
09. אֹרֶךְ  /  ʾōreḵ
10. כְּנַעַן  /  kənaʿan
11. אַחְאָב  /  ʾaḥʾāḇ
12. עֵבֶר  /  ʿēḇer
13. שִׁבְעִים  /  šiḇʿîm
14. שֶׁקֶל  /  šeqel
15. אֱמֹרִי  /  ʾĕmōrî
16. שֶׁלֶם  /  šelem
17. יָרָה  /  yārâ
18. פֵּאָה  /  pēʾâ
19. יְהוֹשָׁפָט  /  yəhôšāp̄āṭ
20. בֵּית לֶחֶם  /  bêṯ leḥem</x:v>
      </x:c>
    </x:row>
    <x:row r="36" ht="330" customHeight="1">
      <x:c r="A36" s="21" t="n">
        <x:v>32</x:v>
      </x:c>
      <x:c r="B36" s="21" t="str">
        <x:f>"第 "&amp;((A36-1)*20+1)&amp;"–"&amp;(A36*20)&amp;" 詞"</x:f>
        <x:v>第 621–640 詞</x:v>
      </x:c>
      <x:c r="C36" s="21" t="n">
        <x:f>COUNTIFS('希伯來文1000詞'!$B$5:$B$1004,A36,'希伯來文1000詞'!$I$5:$I$1004,"BBH2 課序")</x:f>
        <x:v>0</x:v>
      </x:c>
      <x:c r="D36" s="21" t="n">
        <x:f>COUNTIFS('希伯來文1000詞'!$B$5:$B$1004,A36,'希伯來文1000詞'!$I$5:$I$1004,"自編延伸")</x:f>
        <x:v>20</x:v>
      </x:c>
      <x:c r="E36" s="21" t="n">
        <x:f>COUNTIFS('希伯來文1000詞'!$B$5:$B$1004,A36,'希伯來文1000詞'!$N$5:$N$1004,"是")</x:f>
        <x:v>10</x:v>
      </x:c>
      <x:c r="F36" s="21" t="str">
        <x:f>IF(C36+D36=20,"完整","檢查")</x:f>
        <x:v>完整</x:v>
      </x:c>
      <x:c r="G36" s="25" t="str">
        <x:v>01. כַּשְׂדִּי  /  kaśdî
02. אֲרִי  /  ʾărî
03. יְהוּדִי  /  yəhûḏî
04. בַּעַל  /  baʿal
05. יְהוֹנָתָן  /  yəhônāṯān
06. זוּר  /  zûr
07. מִצְרִי  /  miṣrî
08. נַעֲרָה  /  naʿărâ
09. תְּרוּמָה  /  tərûmâ
10. יָנַח  /  yānaḥ
11. שָׁלָל  /  šālāl
12. סֶלָה  /  selâ
13. כְּנַעַנִי  /  kənaʿanî
14. יָבֵשׁ  /  yāḇēš
15. רְאוּבֵן  /  rəʾûḇēn
16. גָּד  /  gāḏ
17. אֶלְעָזָר  /  ʾelʿāzār
18. בַּל  /  bal
19. חָרַשׁ  /  ḥāraš
20. חֶבְרוֹן  /  ḥeḇrôn</x:v>
      </x:c>
    </x:row>
    <x:row r="37" ht="330" customHeight="1">
      <x:c r="A37" s="21" t="n">
        <x:v>33</x:v>
      </x:c>
      <x:c r="B37" s="21" t="str">
        <x:f>"第 "&amp;((A37-1)*20+1)&amp;"–"&amp;(A37*20)&amp;" 詞"</x:f>
        <x:v>第 641–660 詞</x:v>
      </x:c>
      <x:c r="C37" s="21" t="n">
        <x:f>COUNTIFS('希伯來文1000詞'!$B$5:$B$1004,A37,'希伯來文1000詞'!$I$5:$I$1004,"BBH2 課序")</x:f>
        <x:v>0</x:v>
      </x:c>
      <x:c r="D37" s="21" t="n">
        <x:f>COUNTIFS('希伯來文1000詞'!$B$5:$B$1004,A37,'希伯來文1000詞'!$I$5:$I$1004,"自編延伸")</x:f>
        <x:v>20</x:v>
      </x:c>
      <x:c r="E37" s="21" t="n">
        <x:f>COUNTIFS('希伯來文1000詞'!$B$5:$B$1004,A37,'希伯來文1000詞'!$N$5:$N$1004,"是")</x:f>
        <x:v>5</x:v>
      </x:c>
      <x:c r="F37" s="21" t="str">
        <x:f>IF(C37+D37=20,"完整","檢查")</x:f>
        <x:v>完整</x:v>
      </x:c>
      <x:c r="G37" s="25" t="str">
        <x:v>01. אֵלִיָּה  /  ʾēliyyâ
02. לְבָנוֹן  /  ləḇānôn
03. גִּבְעָה  /  giḇʿâ
04. דָּן  /  dān
05. תָּקַע  /  tāqaʿ
06. רִיב  /  rîḇ
07. אַלּוּף  /  ʾallûp̄
08. עֵמֶק  /  ʿēmeq
09. חֵן  /  ḥēn
10. רָפָא  /  rāp̄āʾ
11. קָדִים  /  qāḏîm
12. בְּאֵר שֶׁבַע  /  bəʾēr šeḇaʿ
13. בּוֹר  /  bôr
14. כִּכָּר  /  kikkār
15. פּוּץ  /  pûṣ
16. כָּתֵף  /  kāṯēp̄
17. אֲבִימֶלֶךְ  /  ʾăḇîmeleḵ
18. פָּרַשׂ  /  pāraś
19. קֵץ  /  qēṣ
20. חֵלֶק  /  ḥēleq</x:v>
      </x:c>
    </x:row>
    <x:row r="38" ht="330" customHeight="1">
      <x:c r="A38" s="21" t="n">
        <x:v>34</x:v>
      </x:c>
      <x:c r="B38" s="21" t="str">
        <x:f>"第 "&amp;((A38-1)*20+1)&amp;"–"&amp;(A38*20)&amp;" 詞"</x:f>
        <x:v>第 661–680 詞</x:v>
      </x:c>
      <x:c r="C38" s="21" t="n">
        <x:f>COUNTIFS('希伯來文1000詞'!$B$5:$B$1004,A38,'希伯來文1000詞'!$I$5:$I$1004,"BBH2 課序")</x:f>
        <x:v>0</x:v>
      </x:c>
      <x:c r="D38" s="21" t="n">
        <x:f>COUNTIFS('希伯來文1000詞'!$B$5:$B$1004,A38,'希伯來文1000詞'!$I$5:$I$1004,"自編延伸")</x:f>
        <x:v>20</x:v>
      </x:c>
      <x:c r="E38" s="21" t="n">
        <x:f>COUNTIFS('希伯來文1000詞'!$B$5:$B$1004,A38,'希伯來文1000詞'!$N$5:$N$1004,"是")</x:f>
        <x:v>4</x:v>
      </x:c>
      <x:c r="F38" s="21" t="str">
        <x:f>IF(C38+D38=20,"完整","檢查")</x:f>
        <x:v>完整</x:v>
      </x:c>
      <x:c r="G38" s="25" t="str">
        <x:v>01. קֶבֶר  /  qeḇer
02. שְׁאֵרִית  /  šəʾērîṯ
03. אֲחֻזָּה  /  ʾăḥuzzâ
04. שְׁאוֹל  /  šəʾôl
05. בָּרַח  /  bāraḥ
06. נָצַח  /  nāṣaḥ
07. מַשָּׂא  /  maśśāʾ
08. חָלַק  /  ḥālaq
09. צָלַח  /  ṣālaḥ
10. גֶּבֶר  /  geḇer
11. תָּפַשׂ  /  tāp̄aś
12. שָׁכַם  /  šāḵam
13. כָּשַׁל  /  kāšal
14. אִשָּׁה  /  ʾiššâ
15. יְאֹר  /  yəʾōr
16. לֵוִי  /  lēwî
17. נֶסֶךְ  /  neseḵ
18. חֲלוֹם  /  ḥălôm
19. צִדְקִיָּה  /  ṣiḏqiyyâ
20. מָגֵן  /  māg̅ēn</x:v>
      </x:c>
    </x:row>
    <x:row r="39" ht="330" customHeight="1">
      <x:c r="A39" s="21" t="n">
        <x:v>35</x:v>
      </x:c>
      <x:c r="B39" s="21" t="str">
        <x:f>"第 "&amp;((A39-1)*20+1)&amp;"–"&amp;(A39*20)&amp;" 詞"</x:f>
        <x:v>第 681–700 詞</x:v>
      </x:c>
      <x:c r="C39" s="21" t="n">
        <x:f>COUNTIFS('希伯來文1000詞'!$B$5:$B$1004,A39,'希伯來文1000詞'!$I$5:$I$1004,"BBH2 課序")</x:f>
        <x:v>0</x:v>
      </x:c>
      <x:c r="D39" s="21" t="n">
        <x:f>COUNTIFS('希伯來文1000詞'!$B$5:$B$1004,A39,'希伯來文1000詞'!$I$5:$I$1004,"自編延伸")</x:f>
        <x:v>20</x:v>
      </x:c>
      <x:c r="E39" s="21" t="n">
        <x:f>COUNTIFS('希伯來文1000詞'!$B$5:$B$1004,A39,'希伯來文1000詞'!$N$5:$N$1004,"是")</x:f>
        <x:v>4</x:v>
      </x:c>
      <x:c r="F39" s="21" t="str">
        <x:f>IF(C39+D39=20,"完整","檢查")</x:f>
        <x:v>完整</x:v>
      </x:c>
      <x:c r="G39" s="25" t="str">
        <x:v>01. דָּרַךְ  /  dāraḵ
02. שְׁכֶם  /  šəḵem
03. אַבְנֵר  /  ʾaḇnēr
04. קָרַע  /  qāraʿ
05. שִׁפְחָה  /  šip̄ḥâ
06. גַּיְא  /  gayʾ
07. שָׁקָה  /  šāqâ
08. חֶבֶל  /  ḥeḇel
09. גְּבוּרָה  /  gəḇûrâ
10. חַג  /  ḥag̅
11. קָנֶה  /  qānê
12. אַבְרָם  /  ʾaḇrām
13. בִּלְעָם  /  bilʿām
14. חוּל  /  ḥûl
15. דּוֹד  /  dôḏ
16. אֵצֶל  /  ʾēṣel
17. אֶבְיוֹן  /  ʾeḇyôn
18. עֲרָבָה  /  ʿărāḇâ
19. רִיב  /  rîḇ
20. אַחֲרִית  /  ʾaḥărîṯ</x:v>
      </x:c>
    </x:row>
    <x:row r="40" ht="330" customHeight="1">
      <x:c r="A40" s="21" t="n">
        <x:v>36</x:v>
      </x:c>
      <x:c r="B40" s="21" t="str">
        <x:f>"第 "&amp;((A40-1)*20+1)&amp;"–"&amp;(A40*20)&amp;" 詞"</x:f>
        <x:v>第 701–720 詞</x:v>
      </x:c>
      <x:c r="C40" s="21" t="n">
        <x:f>COUNTIFS('希伯來文1000詞'!$B$5:$B$1004,A40,'希伯來文1000詞'!$I$5:$I$1004,"BBH2 課序")</x:f>
        <x:v>0</x:v>
      </x:c>
      <x:c r="D40" s="21" t="n">
        <x:f>COUNTIFS('希伯來文1000詞'!$B$5:$B$1004,A40,'希伯來文1000詞'!$I$5:$I$1004,"自編延伸")</x:f>
        <x:v>20</x:v>
      </x:c>
      <x:c r="E40" s="21" t="n">
        <x:f>COUNTIFS('希伯來文1000詞'!$B$5:$B$1004,A40,'希伯來文1000詞'!$N$5:$N$1004,"是")</x:f>
        <x:v>5</x:v>
      </x:c>
      <x:c r="F40" s="21" t="str">
        <x:f>IF(C40+D40=20,"完整","檢查")</x:f>
        <x:v>完整</x:v>
      </x:c>
      <x:c r="G40" s="25" t="str">
        <x:v>01. בָּשָׁן  /  bāšān
02. נְבוּכַדְנֶאצַּר  /  nəḇûḵaḏneʾṣṣar
03. קְטֹרֶת  /  qəṭōreṯ
04. חָמָס  /  ḥāmās
05. נֶדֶר  /  neḏer
06. אֱלוֹהַּ  /  ʾĕlôah
07. מׇרְדְּכַי  /  mordəḵay
08. אֹרַח  /  ʾōraḥ
09. מִדְיָן  /  miḏyān
10. שִׁשִּׁים  /  šiššîm
11. יָכַח  /  yāḵaḥ
12. יַעַר  /  yaʿar
13. נָטַע  /  nāṭaʿ
14. פָּדָה  /  pāḏâ
15. נָחַל  /  nāḥal
16. עֵדוּת  /  ʿēḏûṯ
17. חָדַל  /  ḥāḏal
18. סֶלַע  /  selaʿ
19. שָׂעִיר  /  śāʿîr
20. יֵהוּא  /  yēhûʾ</x:v>
      </x:c>
    </x:row>
    <x:row r="41" ht="330" customHeight="1">
      <x:c r="A41" s="21" t="n">
        <x:v>37</x:v>
      </x:c>
      <x:c r="B41" s="21" t="str">
        <x:f>"第 "&amp;((A41-1)*20+1)&amp;"–"&amp;(A41*20)&amp;" 詞"</x:f>
        <x:v>第 721–740 詞</x:v>
      </x:c>
      <x:c r="C41" s="21" t="n">
        <x:f>COUNTIFS('希伯來文1000詞'!$B$5:$B$1004,A41,'希伯來文1000詞'!$I$5:$I$1004,"BBH2 課序")</x:f>
        <x:v>0</x:v>
      </x:c>
      <x:c r="D41" s="21" t="n">
        <x:f>COUNTIFS('希伯來文1000詞'!$B$5:$B$1004,A41,'希伯來文1000詞'!$I$5:$I$1004,"自編延伸")</x:f>
        <x:v>20</x:v>
      </x:c>
      <x:c r="E41" s="21" t="n">
        <x:f>COUNTIFS('希伯來文1000詞'!$B$5:$B$1004,A41,'希伯來文1000詞'!$N$5:$N$1004,"是")</x:f>
        <x:v>4</x:v>
      </x:c>
      <x:c r="F41" s="21" t="str">
        <x:f>IF(C41+D41=20,"完整","檢查")</x:f>
        <x:v>完整</x:v>
      </x:c>
      <x:c r="G41" s="25" t="str">
        <x:v>01. תֵּשַׁע  /  tēšaʿ
02. אָסָא  /  ʾāsāʾ
03. מָלֵא  /  mālēʾ
04. תְּהִלָּה  /  təhillâ
05. אֱלִישָׁע  /  ʾĕlîšāʿ
06. בְּלִי  /  bəlî
07. שְׁמָמָה  /  šəmāmâ
08. רָחַק  /  rāḥaq
09. רֵיחַ  /  rêaḥ
10. אִיּוֹב  /  ʾîôḇ
11. שָׁדַד  /  šāḏaḏ
12. יְרִיחוֹ  /  yərîḥô
13. פָּרָשׁ  /  pārāš
14. רָצָה  /  rāṣâ
15. טֶרֶם  /  ṭerem
16. אֶדֶן  /  ʾeḏen
17. מִזְמוֹר  /  mizmôr
18. מַחֲשָׁבָה  /  maḥăšāḇâ
19. אָמָה  /  ʾāmâ
20. אַלְמָנָה  /  ʾalmānâ</x:v>
      </x:c>
    </x:row>
    <x:row r="42" ht="330" customHeight="1">
      <x:c r="A42" s="21" t="n">
        <x:v>38</x:v>
      </x:c>
      <x:c r="B42" s="21" t="str">
        <x:f>"第 "&amp;((A42-1)*20+1)&amp;"–"&amp;(A42*20)&amp;" 詞"</x:f>
        <x:v>第 741–760 詞</x:v>
      </x:c>
      <x:c r="C42" s="21" t="n">
        <x:f>COUNTIFS('希伯來文1000詞'!$B$5:$B$1004,A42,'希伯來文1000詞'!$I$5:$I$1004,"BBH2 課序")</x:f>
        <x:v>0</x:v>
      </x:c>
      <x:c r="D42" s="21" t="n">
        <x:f>COUNTIFS('希伯來文1000詞'!$B$5:$B$1004,A42,'希伯來文1000詞'!$I$5:$I$1004,"自編延伸")</x:f>
        <x:v>20</x:v>
      </x:c>
      <x:c r="E42" s="21" t="n">
        <x:f>COUNTIFS('希伯來文1000詞'!$B$5:$B$1004,A42,'希伯來文1000詞'!$N$5:$N$1004,"是")</x:f>
        <x:v>2</x:v>
      </x:c>
      <x:c r="F42" s="21" t="str">
        <x:f>IF(C42+D42=20,"完整","檢查")</x:f>
        <x:v>完整</x:v>
      </x:c>
      <x:c r="G42" s="25" t="str">
        <x:v>01. חָזָק  /  ḥāzāq
02. רָצוֹן  /  rāṣôn
03. זָרַע  /  zāraʿ
04. פָּעַל  /  pāʿal
05. רְבִיעִי  /  rəḇîʿî
06. מִדָּה  /  middâ
07. גֶּפֶן  /  gep̄en
08. שֵׁן  /  šēn
09. כַּעַס  /  kaʿas
10. צָעַק  /  ṣāʿaq
11. לָבָן  /  lāḇān
12. עָמָל  /  ʿāmāl
13. אֶסְתֵּר  /  ʾestēr
14. גָּמָל  /  gāmāl
15. דָּבַק  /  dāḇaq
16. אָבָה  /  ʾāḇâ
17. יְרִיעָה  /  yərîʿâ
18. עֶוֶל  /  ʿewel
19. דְּבַשׁ  /  dəḇaš
20. יָרֵא  /  yārēʾ</x:v>
      </x:c>
    </x:row>
    <x:row r="43" ht="330" customHeight="1">
      <x:c r="A43" s="21" t="n">
        <x:v>39</x:v>
      </x:c>
      <x:c r="B43" s="21" t="str">
        <x:f>"第 "&amp;((A43-1)*20+1)&amp;"–"&amp;(A43*20)&amp;" 詞"</x:f>
        <x:v>第 761–780 詞</x:v>
      </x:c>
      <x:c r="C43" s="21" t="n">
        <x:f>COUNTIFS('希伯來文1000詞'!$B$5:$B$1004,A43,'希伯來文1000詞'!$I$5:$I$1004,"BBH2 課序")</x:f>
        <x:v>0</x:v>
      </x:c>
      <x:c r="D43" s="21" t="n">
        <x:f>COUNTIFS('希伯來文1000詞'!$B$5:$B$1004,A43,'希伯來文1000詞'!$I$5:$I$1004,"自編延伸")</x:f>
        <x:v>20</x:v>
      </x:c>
      <x:c r="E43" s="21" t="n">
        <x:f>COUNTIFS('希伯來文1000詞'!$B$5:$B$1004,A43,'希伯來文1000詞'!$N$5:$N$1004,"是")</x:f>
        <x:v>4</x:v>
      </x:c>
      <x:c r="F43" s="21" t="str">
        <x:f>IF(C43+D43=20,"完整","檢查")</x:f>
        <x:v>完整</x:v>
      </x:c>
      <x:c r="G43" s="25" t="str">
        <x:v>01. בָּרָא  /  bārāʾ
02. קָצִיר  /  qāṣîr
03. עֶרְוָה  /  ʿerwâ
04. מָרוֹם  /  mārôm
05. שָׁוְא  /  šāwʾ
06. הָמָן  /  hāmān
07. יֹאשִׁיָּה  /  yōʾšiyyâ
08. צָדוֹק  /  ṣāḏôq
09. עֶלְיוֹן  /  ʿelyôn
10. סֹלֶת  /  sōleṯ
11. חָדָשׁ  /  ḥāḏāš
12. רָנַן  /  rānan
13. מַצָּה  /  maṣṣâ
14. צָרַר  /  ṣārar
15. מְדִינָה  /  məḏînâ
16. חָרַם  /  ḥāram
17. יָצַק  /  yāṣaq
18. מָחָר  /  māḥār
19. נָדַח  /  nāḏaḥ
20. נַפְתָּלִי  /  nap̄tālî</x:v>
      </x:c>
    </x:row>
    <x:row r="44" ht="330" customHeight="1">
      <x:c r="A44" s="21" t="n">
        <x:v>40</x:v>
      </x:c>
      <x:c r="B44" s="21" t="str">
        <x:f>"第 "&amp;((A44-1)*20+1)&amp;"–"&amp;(A44*20)&amp;" 詞"</x:f>
        <x:v>第 781–800 詞</x:v>
      </x:c>
      <x:c r="C44" s="21" t="n">
        <x:f>COUNTIFS('希伯來文1000詞'!$B$5:$B$1004,A44,'希伯來文1000詞'!$I$5:$I$1004,"BBH2 課序")</x:f>
        <x:v>0</x:v>
      </x:c>
      <x:c r="D44" s="21" t="n">
        <x:f>COUNTIFS('希伯來文1000詞'!$B$5:$B$1004,A44,'希伯來文1000詞'!$I$5:$I$1004,"自編延伸")</x:f>
        <x:v>20</x:v>
      </x:c>
      <x:c r="E44" s="21" t="n">
        <x:f>COUNTIFS('希伯來文1000詞'!$B$5:$B$1004,A44,'希伯來文1000詞'!$N$5:$N$1004,"是")</x:f>
        <x:v>2</x:v>
      </x:c>
      <x:c r="F44" s="21" t="str">
        <x:f>IF(C44+D44=20,"完整","檢查")</x:f>
        <x:v>完整</x:v>
      </x:c>
      <x:c r="G44" s="25" t="str">
        <x:v>01. יוֹמָם  /  yômām
02. בָּקַע  /  bāqaʿ
03. יְהוֹיָדָע  /  yəhôyāḏāʿ
04. תִּפְאָרָה  /  tip̄ʾārâ
05. חָתַת  /  ḥāṯaṯ
06. אַחֲרוֹן  /  ʾaḥărôn
07. עַד  /  ʿaḏ
08. הוֹי  /  hôy
09. מָדַד  /  māḏaḏ
10. רֵאשִׁית  /  rēʾšîṯ
11. קָצַר  /  qāṣar
12. תָּעָה  /  tāʿâ
13. כָּבַס  /  kāḇas
14. קֶרֶשׁ  /  qereš
15. רְחַבְעָם  /  rəḥaḇʿām
16. פָּרַץ  /  pāraṣ
17. הֵנָּה  /  hēnnâ
18. מַעֲלָה  /  maʿălâ
19. נָשַׂג  /  nāśag̅
20. בְּתוּלָה  /  bəṯûlâ</x:v>
      </x:c>
    </x:row>
    <x:row r="45" ht="330" customHeight="1">
      <x:c r="A45" s="21" t="n">
        <x:v>41</x:v>
      </x:c>
      <x:c r="B45" s="21" t="str">
        <x:f>"第 "&amp;((A45-1)*20+1)&amp;"–"&amp;(A45*20)&amp;" 詞"</x:f>
        <x:v>第 801–820 詞</x:v>
      </x:c>
      <x:c r="C45" s="21" t="n">
        <x:f>COUNTIFS('希伯來文1000詞'!$B$5:$B$1004,A45,'希伯來文1000詞'!$I$5:$I$1004,"BBH2 課序")</x:f>
        <x:v>0</x:v>
      </x:c>
      <x:c r="D45" s="21" t="n">
        <x:f>COUNTIFS('希伯來文1000詞'!$B$5:$B$1004,A45,'希伯來文1000詞'!$I$5:$I$1004,"自編延伸")</x:f>
        <x:v>20</x:v>
      </x:c>
      <x:c r="E45" s="21" t="n">
        <x:f>COUNTIFS('希伯來文1000詞'!$B$5:$B$1004,A45,'希伯來文1000詞'!$N$5:$N$1004,"是")</x:f>
        <x:v>2</x:v>
      </x:c>
      <x:c r="F45" s="21" t="str">
        <x:f>IF(C45+D45=20,"完整","檢查")</x:f>
        <x:v>完整</x:v>
      </x:c>
      <x:c r="G45" s="25" t="str">
        <x:v>01. נָכַר  /  nāḵar
02. בֶּן־הֲדַד  /  ben-hăḏaḏ
03. פָּרַר  /  pārar
04. בָּלַע  /  bālaʿ
05. מוּסָר  /  mûsār
06. טַבַּעַת  /  ṭabbaʿaṯ
07. יָהּ  /  yāh
08. אֱמוּנָה  /  ʾĕmûnâ
09. עָבוּר  /  ʿāḇûr
10. פַּחַד  /  paḥaḏ
11. אֵפוֹד  /  ʾēp̄ôḏ
12. נָגַף  /  nāg̅ap̄
13. מִשְׁקָל  /  mišqāl
14. דֶּבֶר  /  deḇer
15. מִגְדָּל  /  mig̅dāl
16. צֵל  /  ṣēl
17. בָּגַד  /  bāg̅aḏ
18. תְּכֵלֶת  /  təḵēleṯ
19. פֶּסַח  /  pesaḥ
20. גָּאוֹן  /  gāʾôn</x:v>
      </x:c>
    </x:row>
    <x:row r="46" ht="330" customHeight="1">
      <x:c r="A46" s="21" t="n">
        <x:v>42</x:v>
      </x:c>
      <x:c r="B46" s="21" t="str">
        <x:f>"第 "&amp;((A46-1)*20+1)&amp;"–"&amp;(A46*20)&amp;" 詞"</x:f>
        <x:v>第 821–840 詞</x:v>
      </x:c>
      <x:c r="C46" s="21" t="n">
        <x:f>COUNTIFS('希伯來文1000詞'!$B$5:$B$1004,A46,'希伯來文1000詞'!$I$5:$I$1004,"BBH2 課序")</x:f>
        <x:v>0</x:v>
      </x:c>
      <x:c r="D46" s="21" t="n">
        <x:f>COUNTIFS('希伯來文1000詞'!$B$5:$B$1004,A46,'希伯來文1000詞'!$I$5:$I$1004,"自編延伸")</x:f>
        <x:v>20</x:v>
      </x:c>
      <x:c r="E46" s="21" t="n">
        <x:f>COUNTIFS('希伯來文1000詞'!$B$5:$B$1004,A46,'希伯來文1000詞'!$N$5:$N$1004,"是")</x:f>
        <x:v>5</x:v>
      </x:c>
      <x:c r="F46" s="21" t="str">
        <x:f>IF(C46+D46=20,"完整","檢查")</x:f>
        <x:v>完整</x:v>
      </x:c>
      <x:c r="G46" s="25" t="str">
        <x:v>01. אֵמֶר  /  ʾēmer
02. קָוָה  /  qāwâ
03. יִשְׁמָעֵאל  /  yišmāʿēʾl
04. עֲזַרְיָה  /  ʿăzaryâ
05. לִשְׁכָּה  /  liškâ
06. חֲנִית  /  ḥănîṯ
07. יָצַב  /  yāṣaḇ
08. חִתִּי  /  ḥittî
09. שַׂק  /  śaq
10. נִיר  /  nîr
11. סָלַח  /  sālaḥ
12. נְבֵלָה  /  nəḇēlâ
13. גִּלּוּל  /  gillûl
14. מַכָּה  /  makkâ
15. שְׁבִי  /  šəḇî
16. סָמַךְ  /  sāmaḵ
17. שַׁדַּי  /  šadday
18. יוֹאָשׁ  /  yôʾāš
19. שָׁבָה  /  šāḇâ
20. גָּרַשׁ  /  gāraš</x:v>
      </x:c>
    </x:row>
    <x:row r="47" ht="330" customHeight="1">
      <x:c r="A47" s="21" t="n">
        <x:v>43</x:v>
      </x:c>
      <x:c r="B47" s="21" t="str">
        <x:f>"第 "&amp;((A47-1)*20+1)&amp;"–"&amp;(A47*20)&amp;" 詞"</x:f>
        <x:v>第 841–860 詞</x:v>
      </x:c>
      <x:c r="C47" s="21" t="n">
        <x:f>COUNTIFS('希伯來文1000詞'!$B$5:$B$1004,A47,'希伯來文1000詞'!$I$5:$I$1004,"BBH2 課序")</x:f>
        <x:v>0</x:v>
      </x:c>
      <x:c r="D47" s="21" t="n">
        <x:f>COUNTIFS('希伯來文1000詞'!$B$5:$B$1004,A47,'希伯來文1000詞'!$I$5:$I$1004,"自編延伸")</x:f>
        <x:v>20</x:v>
      </x:c>
      <x:c r="E47" s="21" t="n">
        <x:f>COUNTIFS('希伯來文1000詞'!$B$5:$B$1004,A47,'希伯來文1000詞'!$N$5:$N$1004,"是")</x:f>
        <x:v>3</x:v>
      </x:c>
      <x:c r="F47" s="21" t="str">
        <x:f>IF(C47+D47=20,"完整","檢查")</x:f>
        <x:v>完整</x:v>
      </x:c>
      <x:c r="G47" s="25" t="str">
        <x:v>01. מֹתֶן  /  mōṯen
02. צָפָה  /  ṣāp̄â
03. רָחַם  /  rāḥam
04. נָעוּר  /  nāʿûr
05. רָצַח  /  rāṣaḥ
06. רָחֵל  /  rāḥēl
07. שֶׂה  /  śê
08. אַיֵּה  /  ʾayyê
09. נֹחַ  /  nōaḥ
10. אָסָף  /  ʾāsāp̄
11. עָצָר  /  ʿāṣār
12. גִּיל  /  gîl
13. רָפָה  /  rāp̄â
14. מִשְׁכָּב  /  miškāḇ
15. פָּגַע  /  pāg̅aʿ
16. מִשְׁתֶּה  /  mištê
17. קוֹמָה  /  qômâ
18. נׇכְרִי  /  noḵrî
19. אָשָׁם  /  ʾāšām
20. בָּחוּר  /  bāḥûr</x:v>
      </x:c>
    </x:row>
    <x:row r="48" ht="330" customHeight="1">
      <x:c r="A48" s="21" t="n">
        <x:v>44</x:v>
      </x:c>
      <x:c r="B48" s="21" t="str">
        <x:f>"第 "&amp;((A48-1)*20+1)&amp;"–"&amp;(A48*20)&amp;" 詞"</x:f>
        <x:v>第 861–880 詞</x:v>
      </x:c>
      <x:c r="C48" s="21" t="n">
        <x:f>COUNTIFS('希伯來文1000詞'!$B$5:$B$1004,A48,'希伯來文1000詞'!$I$5:$I$1004,"BBH2 課序")</x:f>
        <x:v>0</x:v>
      </x:c>
      <x:c r="D48" s="21" t="n">
        <x:f>COUNTIFS('希伯來文1000詞'!$B$5:$B$1004,A48,'希伯來文1000詞'!$I$5:$I$1004,"自編延伸")</x:f>
        <x:v>20</x:v>
      </x:c>
      <x:c r="E48" s="21" t="n">
        <x:f>COUNTIFS('希伯來文1000詞'!$B$5:$B$1004,A48,'希伯來文1000詞'!$N$5:$N$1004,"是")</x:f>
        <x:v>5</x:v>
      </x:c>
      <x:c r="F48" s="21" t="str">
        <x:f>IF(C48+D48=20,"完整","檢查")</x:f>
        <x:v>完整</x:v>
      </x:c>
      <x:c r="G48" s="25" t="str">
        <x:v>01. קָשַׁב  /  qāšaḇ
02. זְבוּלוּן  /  zəḇûlûn
03. חֲמִישִׁי  /  ḥămîšî
04. חֵץ  /  ḥēṣ
05. זָמַר  /  zāmar
06. דַּמֶּשֶׂק  /  dammeśeq
07. רַחַם  /  raḥam
08. אֶשֶׁר  /  ʾešer
09. מָרָה  /  mārâ
10. אוּלַי  /  ʾûlay
11. שִׁמְעוֹן  /  šimʿôn
12. יוֹנָתָן  /  yônāṯān
13. שִׁמְעִי  /  šimʿî
14. מוֹשָׁב  /  môšāḇ
15. נָגִיד  /  nāg̅îḏ
16. חָלַץ  /  ḥālaṣ
17. מֶרְכָּבָה  /  merkāḇâ
18. נָקָה  /  nāqâ
19. עוּד  /  ʿûḏ
20. קָשַׁר  /  qāšar</x:v>
      </x:c>
    </x:row>
    <x:row r="49" ht="330" customHeight="1">
      <x:c r="A49" s="21" t="n">
        <x:v>45</x:v>
      </x:c>
      <x:c r="B49" s="21" t="str">
        <x:f>"第 "&amp;((A49-1)*20+1)&amp;"–"&amp;(A49*20)&amp;" 詞"</x:f>
        <x:v>第 881–900 詞</x:v>
      </x:c>
      <x:c r="C49" s="21" t="n">
        <x:f>COUNTIFS('希伯來文1000詞'!$B$5:$B$1004,A49,'希伯來文1000詞'!$I$5:$I$1004,"BBH2 課序")</x:f>
        <x:v>0</x:v>
      </x:c>
      <x:c r="D49" s="21" t="n">
        <x:f>COUNTIFS('希伯來文1000詞'!$B$5:$B$1004,A49,'希伯來文1000詞'!$I$5:$I$1004,"自編延伸")</x:f>
        <x:v>20</x:v>
      </x:c>
      <x:c r="E49" s="21" t="n">
        <x:f>COUNTIFS('希伯來文1000詞'!$B$5:$B$1004,A49,'希伯來文1000詞'!$N$5:$N$1004,"是")</x:f>
        <x:v>2</x:v>
      </x:c>
      <x:c r="F49" s="21" t="str">
        <x:f>IF(C49+D49=20,"完整","檢查")</x:f>
        <x:v>完整</x:v>
      </x:c>
      <x:c r="G49" s="25" t="str">
        <x:v>01. חָגַר  /  ḥāg̅ar
02. אֶפֶס  /  ʾep̄es
03. רוּעַ  /  rûaʿ
04. חָלָב  /  ḥālāḇ
05. עִמָּד  /  ʿimmāḏ
06. שֶׁבֶר  /  šeḇer
07. אֹכֶל  /  ʾōḵel
08. אָשֵׁר  /  ʾāšēr
09. הָרָה  /  hārâ
10. גּוֹלָה  /  gôlâ
11. פָּשַׁט  /  pāšaṭ
12. גִּבְעָה  /  giḇʿâ
13. יָסַר  /  yāsar
14. בָּזָה  /  bāzâ
15. הָרַס  /  hāras
16. נֶצַח  /  neṣaḥ
17. אָן  /  ʾān
18. תָּבוּן  /  tāḇûn
19. לוּחַ  /  lûaḥ
20. נָקִי  /  nāqî</x:v>
      </x:c>
    </x:row>
    <x:row r="50" ht="330" customHeight="1">
      <x:c r="A50" s="21" t="n">
        <x:v>46</x:v>
      </x:c>
      <x:c r="B50" s="21" t="str">
        <x:f>"第 "&amp;((A50-1)*20+1)&amp;"–"&amp;(A50*20)&amp;" 詞"</x:f>
        <x:v>第 901–920 詞</x:v>
      </x:c>
      <x:c r="C50" s="21" t="n">
        <x:f>COUNTIFS('希伯來文1000詞'!$B$5:$B$1004,A50,'希伯來文1000詞'!$I$5:$I$1004,"BBH2 課序")</x:f>
        <x:v>0</x:v>
      </x:c>
      <x:c r="D50" s="21" t="n">
        <x:f>COUNTIFS('希伯來文1000詞'!$B$5:$B$1004,A50,'希伯來文1000詞'!$I$5:$I$1004,"自編延伸")</x:f>
        <x:v>20</x:v>
      </x:c>
      <x:c r="E50" s="21" t="n">
        <x:f>COUNTIFS('希伯來文1000詞'!$B$5:$B$1004,A50,'希伯來文1000詞'!$N$5:$N$1004,"是")</x:f>
        <x:v>6</x:v>
      </x:c>
      <x:c r="F50" s="21" t="str">
        <x:f>IF(C50+D50=20,"完整","檢查")</x:f>
        <x:v>完整</x:v>
      </x:c>
      <x:c r="G50" s="25" t="str">
        <x:v>01. מָתַי  /  māṯay
02. אוֹר  /  ʾôr
03. בָּזַז  /  bāzaz
04. מַעֲלָל  /  maʿălāl
05. רְחֹב  /  rəḥōḇ
06. תְּבוּאָה  /  təḇûʾâ
07. קִנְאָה  /  qinʾâ
08. תּוֹלָע  /  tôlāʿ
09. בָּלַל  /  bālal
10. נִיחוֹחַ  /  nîḥôaḥ
11. בָּלָק  /  bālāq
12. יִשַׁי  /  yišay
13. נָתָן  /  nāṯān
14. בְּנָיָה  /  bənāyâ
15. שָׁקַט  /  šāqaṭ
16. בֵּית שֶׁמֶשׁ  /  bêṯ šemeš
17. יָסַד  /  yāsaḏ
18. בָּדַל  /  bāḏal
19. כִּנּוֹר  /  kinnôr
20. צֹר  /  ṣōr</x:v>
      </x:c>
    </x:row>
    <x:row r="51" ht="330" customHeight="1">
      <x:c r="A51" s="21" t="n">
        <x:v>47</x:v>
      </x:c>
      <x:c r="B51" s="21" t="str">
        <x:f>"第 "&amp;((A51-1)*20+1)&amp;"–"&amp;(A51*20)&amp;" 詞"</x:f>
        <x:v>第 921–940 詞</x:v>
      </x:c>
      <x:c r="C51" s="21" t="n">
        <x:f>COUNTIFS('希伯來文1000詞'!$B$5:$B$1004,A51,'希伯來文1000詞'!$I$5:$I$1004,"BBH2 課序")</x:f>
        <x:v>0</x:v>
      </x:c>
      <x:c r="D51" s="21" t="n">
        <x:f>COUNTIFS('希伯來文1000詞'!$B$5:$B$1004,A51,'希伯來文1000詞'!$I$5:$I$1004,"自編延伸")</x:f>
        <x:v>20</x:v>
      </x:c>
      <x:c r="E51" s="21" t="n">
        <x:f>COUNTIFS('希伯來文1000詞'!$B$5:$B$1004,A51,'希伯來文1000詞'!$N$5:$N$1004,"是")</x:f>
        <x:v>2</x:v>
      </x:c>
      <x:c r="F51" s="21" t="str">
        <x:f>IF(C51+D51=20,"完整","檢查")</x:f>
        <x:v>完整</x:v>
      </x:c>
      <x:c r="G51" s="25" t="str">
        <x:v>01. מַחֲלֹקֶת  /  maḥălōqeṯ
02. סָרִיס  /  sārîs
03. מְנוֹרָה  /  mənôrâ
04. בְּרִיחַ  /  bərîaḥ
05. בֶּטַח  /  beṭaḥ
06. גַּן  /  gan
07. נוּעַ  /  nûaʿ
08. יָחַל  /  yāḥal
09. אֱנוֹשׁ  /  ʾĕnôš
10. יִרְאָה  /  yirʾâ
11. טַף  /  ṭap̄
12. נָתַץ  /  nāṯaṣ
13. חָרַב  /  ḥāraḇ
14. שָׁנִי  /  šānî
15. זוּב  /  zûḇ
16. חׇרְבָּה  /  ḥorbâ
17. יָתוֹם  /  yāṯôm
18. שֵׁשׁ  /  šēš
19. יְבוּסִי  /  yəḇûsî
20. אָחָז  /  ʾāḥāz</x:v>
      </x:c>
    </x:row>
    <x:row r="52" ht="330" customHeight="1">
      <x:c r="A52" s="21" t="n">
        <x:v>48</x:v>
      </x:c>
      <x:c r="B52" s="21" t="str">
        <x:f>"第 "&amp;((A52-1)*20+1)&amp;"–"&amp;(A52*20)&amp;" 詞"</x:f>
        <x:v>第 941–960 詞</x:v>
      </x:c>
      <x:c r="C52" s="21" t="n">
        <x:f>COUNTIFS('希伯來文1000詞'!$B$5:$B$1004,A52,'希伯來文1000詞'!$I$5:$I$1004,"BBH2 課序")</x:f>
        <x:v>0</x:v>
      </x:c>
      <x:c r="D52" s="21" t="n">
        <x:f>COUNTIFS('希伯來文1000詞'!$B$5:$B$1004,A52,'希伯來文1000詞'!$I$5:$I$1004,"自編延伸")</x:f>
        <x:v>20</x:v>
      </x:c>
      <x:c r="E52" s="21" t="n">
        <x:f>COUNTIFS('希伯來文1000詞'!$B$5:$B$1004,A52,'希伯來文1000詞'!$N$5:$N$1004,"是")</x:f>
        <x:v>5</x:v>
      </x:c>
      <x:c r="F52" s="21" t="str">
        <x:f>IF(C52+D52=20,"完整","檢查")</x:f>
        <x:v>完整</x:v>
      </x:c>
      <x:c r="G52" s="25" t="str">
        <x:v>01. שְׁמַעְיָה  /  šəmaʿyâ
02. זְכַרְיָה  /  zəḵaryâ
03. רָגַז  /  rāg̅az
04. אָחוֹר  /  ʾāḥôr
05. חָרַף  /  ḥārap̄
06. אָמַץ  /  ʾāmaṣ
07. צֵלָע  /  ṣēlāʿ
08. צָדַק  /  ṣāḏaq
09. פָּשַׁע  /  pāšaʿ
10. מָאֵן  /  māʾēn
11. גִּלְגָּל  /  gilgāl
12. חָמַל  /  ḥāmal
13. אָרַב  /  ʾāraḇ
14. חָרוֹן  /  ḥārôn
15. אָזַן  /  ʾāzan
16. שְׁבוּת  /  šəḇûṯ
17. צַוָּאר  /  ṣawwāʾr
18. אֲמַצְיָה  /  ʾămaṣyâ
19. מְעָרָה  /  məʿārâ
20. עֹבֵד אֱדוֹם  /  ʿōḇēḏ ʾĕḏôm</x:v>
      </x:c>
    </x:row>
    <x:row r="53" ht="330" customHeight="1">
      <x:c r="A53" s="21" t="n">
        <x:v>49</x:v>
      </x:c>
      <x:c r="B53" s="21" t="str">
        <x:f>"第 "&amp;((A53-1)*20+1)&amp;"–"&amp;(A53*20)&amp;" 詞"</x:f>
        <x:v>第 961–980 詞</x:v>
      </x:c>
      <x:c r="C53" s="21" t="n">
        <x:f>COUNTIFS('希伯來文1000詞'!$B$5:$B$1004,A53,'希伯來文1000詞'!$I$5:$I$1004,"BBH2 課序")</x:f>
        <x:v>0</x:v>
      </x:c>
      <x:c r="D53" s="21" t="n">
        <x:f>COUNTIFS('希伯來文1000詞'!$B$5:$B$1004,A53,'希伯來文1000詞'!$I$5:$I$1004,"自編延伸")</x:f>
        <x:v>20</x:v>
      </x:c>
      <x:c r="E53" s="21" t="n">
        <x:f>COUNTIFS('希伯來文1000詞'!$B$5:$B$1004,A53,'希伯來文1000詞'!$N$5:$N$1004,"是")</x:f>
        <x:v>8</x:v>
      </x:c>
      <x:c r="F53" s="21" t="str">
        <x:f>IF(C53+D53=20,"完整","檢查")</x:f>
        <x:v>完整</x:v>
      </x:c>
      <x:c r="G53" s="25" t="str">
        <x:v>01. נָטַשׁ  /  nāṭaš
02. אַהֲבָה  /  ʾahăḇâ
03. עֹל  /  ʿōl
04. אֲשֵׁרָה  /  ʾăšērâ
05. אֵיפָה  /  ʾêp̄â
06. גָּנַב  /  gānaḇ
07. שַׁמָּה  /  šammâ
08. דָּגָן  /  dāg̅ān
09. צִפּוֹר  /  ṣippôr
10. עַי  /  ʿay
11. תּוֹלְדָה  /  tôləḏâ
12. עֲמָלֵק  /  ʿămālēq
13. שֵׂעִיר  /  śēʿîr
14. קִרְיַת יְעָרִים  /  qiryaṯ yəʿārîm
15. יְשַׁעְיָה  /  yəšaʿyâ
16. מְרָרִי  /  mərārî
17. אָבַל  /  ʾāḇal
18. אוּרִיָּה  /  ʾûriyyâ
19. קָהַל  /  qāhal
20. מוֹט  /  môṭ</x:v>
      </x:c>
    </x:row>
    <x:row r="54" ht="330" customHeight="1">
      <x:c r="A54" s="21" t="n">
        <x:v>50</x:v>
      </x:c>
      <x:c r="B54" s="21" t="str">
        <x:f>"第 "&amp;((A54-1)*20+1)&amp;"–"&amp;(A54*20)&amp;" 詞"</x:f>
        <x:v>第 981–1000 詞</x:v>
      </x:c>
      <x:c r="C54" s="21" t="n">
        <x:f>COUNTIFS('希伯來文1000詞'!$B$5:$B$1004,A54,'希伯來文1000詞'!$I$5:$I$1004,"BBH2 課序")</x:f>
        <x:v>0</x:v>
      </x:c>
      <x:c r="D54" s="21" t="n">
        <x:f>COUNTIFS('希伯來文1000詞'!$B$5:$B$1004,A54,'希伯來文1000詞'!$I$5:$I$1004,"自編延伸")</x:f>
        <x:v>20</x:v>
      </x:c>
      <x:c r="E54" s="21" t="n">
        <x:f>COUNTIFS('希伯來文1000詞'!$B$5:$B$1004,A54,'希伯來文1000詞'!$N$5:$N$1004,"是")</x:f>
        <x:v>3</x:v>
      </x:c>
      <x:c r="F54" s="21" t="str">
        <x:f>IF(C54+D54=20,"完整","檢查")</x:f>
        <x:v>完整</x:v>
      </x:c>
      <x:c r="G54" s="25" t="str">
        <x:v>01. חָרַד  /  ḥāraḏ
02. כָּבֵד  /  kāḇēḏ
03. תְּאֵן  /  təʾēn
04. מָשָׁל  /  māšāl
05. חֵפֶץ  /  ḥēp̄eṣ
06. נָחָה  /  nāḥâ
07. זָרָה  /  zārâ
08. דַּי  /  day
09. מַר  /  mar
10. עֵדֶר  /  ʿēḏer
11. בָּהַל  /  bāhal
12. מִרְמָה  /  mirmâ
13. סְדֹם  /  səḏōm
14. גִּדְעוֹן  /  giḏʿôn
15. חֵרֶם  /  ḥērem
16. חֶשְׁבּוֹן  /  ḥešbôn
17. שְׁמֹנִים  /  šəmōnîm
18. פֹּעַל  /  pōʿal
19. בִּינָה  /  bînâ
20. נֶבֶל  /  neḇel</x:v>
      </x:c>
    </x:row>
  </x:sheetData>
  <x:mergeCells>
    <x:mergeCell ref="A1:G1"/>
    <x:mergeCell ref="A2:G2"/>
  </x:mergeCells>
  <x:conditionalFormatting sqref="E5:E54">
    <x:cfRule type="dataBar" priority="1">
      <x:dataBar>
        <x:cfvo type="min"/>
        <x:cfvo type="max"/>
        <x:color rgb="FFD9A441"/>
      </x:dataBar>
    </x:cfRule>
  </x:conditionalFormatting>
  <x:pageMargins left="0.7" right="0.7" top="0.75" bottom="0.75" header="0.3" footer="0.3"/>
  <x:tableParts count="1">
    <x:tablePart xmlns:r="http://schemas.openxmlformats.org/officeDocument/2006/relationships" r:id="Rded0a2fb1e9d460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8" hidden="0" customWidth="1"/>
    <x:col min="2" max="2" width="8" hidden="0" customWidth="1"/>
    <x:col min="3" max="3" width="20" hidden="0" customWidth="1"/>
    <x:col min="4" max="4" width="22" hidden="0" customWidth="1"/>
    <x:col min="5" max="5" width="42" hidden="0" customWidth="1"/>
    <x:col min="6" max="6" width="22" hidden="0" customWidth="1"/>
    <x:col min="7" max="7" width="15" hidden="0" customWidth="1"/>
    <x:col min="8" max="8" width="11" hidden="0" customWidth="1"/>
    <x:col min="9" max="9" width="20" hidden="0" customWidth="1"/>
  </x:cols>
  <x:sheetData>
    <x:row r="1" ht="34" customHeight="1">
      <x:c r="A1" s="4" t="str">
        <x:v>希伯來文專名／族名複習表</x:v>
      </x:c>
      <x:c r="B1" s="4" t="str">
        <x:v>希伯來文專名／族名複習表</x:v>
      </x:c>
      <x:c r="C1" s="4" t="str">
        <x:v>希伯來文專名／族名複習表</x:v>
      </x:c>
      <x:c r="D1" s="4" t="str">
        <x:v>希伯來文專名／族名複習表</x:v>
      </x:c>
      <x:c r="E1" s="4" t="str">
        <x:v>希伯來文專名／族名複習表</x:v>
      </x:c>
      <x:c r="F1" s="4" t="str">
        <x:v>希伯來文專名／族名複習表</x:v>
      </x:c>
      <x:c r="G1" s="4" t="str">
        <x:v>希伯來文專名／族名複習表</x:v>
      </x:c>
      <x:c r="H1" s="4" t="str">
        <x:v>希伯來文專名／族名複習表</x:v>
      </x:c>
      <x:c r="I1" s="4" t="str">
        <x:v>希伯來文專名／族名複習表</x:v>
      </x:c>
    </x:row>
    <x:row r="2" ht="28" customHeight="1">
      <x:c r="A2" s="7" t="str">
        <x:v>專名不排除於 1000 詞之外；本表另作集中複習與音訊製作索引。</x:v>
      </x:c>
      <x:c r="B2" s="7" t="str">
        <x:v>專名不排除於 1000 詞之外；本表另作集中複習與音訊製作索引。</x:v>
      </x:c>
      <x:c r="C2" s="7" t="str">
        <x:v>專名不排除於 1000 詞之外；本表另作集中複習與音訊製作索引。</x:v>
      </x:c>
      <x:c r="D2" s="7" t="str">
        <x:v>專名不排除於 1000 詞之外；本表另作集中複習與音訊製作索引。</x:v>
      </x:c>
      <x:c r="E2" s="7" t="str">
        <x:v>專名不排除於 1000 詞之外；本表另作集中複習與音訊製作索引。</x:v>
      </x:c>
      <x:c r="F2" s="7" t="str">
        <x:v>專名不排除於 1000 詞之外；本表另作集中複習與音訊製作索引。</x:v>
      </x:c>
      <x:c r="G2" s="7" t="str">
        <x:v>專名不排除於 1000 詞之外；本表另作集中複習與音訊製作索引。</x:v>
      </x:c>
      <x:c r="H2" s="7" t="str">
        <x:v>專名不排除於 1000 詞之外；本表另作集中複習與音訊製作索引。</x:v>
      </x:c>
      <x:c r="I2" s="7" t="str">
        <x:v>專名不排除於 1000 詞之外；本表另作集中複習與音訊製作索引。</x:v>
      </x:c>
    </x:row>
    <x:row r="4" ht="30" customHeight="1">
      <x:c r="A4" s="13" t="str">
        <x:v>總序</x:v>
      </x:c>
      <x:c r="B4" s="13" t="str">
        <x:v>課</x:v>
      </x:c>
      <x:c r="C4" s="13" t="str">
        <x:v>原文</x:v>
      </x:c>
      <x:c r="D4" s="13" t="str">
        <x:v>課本式音標／音譯</x:v>
      </x:c>
      <x:c r="E4" s="13" t="str">
        <x:v>英文義</x:v>
      </x:c>
      <x:c r="F4" s="13" t="str">
        <x:v>類型</x:v>
      </x:c>
      <x:c r="G4" s="13" t="str">
        <x:v>詞頻／BBG 章</x:v>
      </x:c>
      <x:c r="H4" s="13" t="str">
        <x:v>Strong</x:v>
      </x:c>
      <x:c r="I4" s="13" t="str">
        <x:v>來源區</x:v>
      </x:c>
    </x:row>
    <x:row r="5" ht="30" customHeight="1">
      <x:c r="A5" s="21" t="n">
        <x:v>1</x:v>
      </x:c>
      <x:c r="B5" s="21" t="n">
        <x:v>1</x:v>
      </x:c>
      <x:c r="C5" s="26" t="str">
        <x:v>אָדָם</x:v>
      </x:c>
      <x:c r="D5" s="27" t="str">
        <x:v>ʾāḏām</x:v>
      </x:c>
      <x:c r="E5" s="20" t="str">
        <x:v>man, mankind, Adam</x:v>
      </x:c>
      <x:c r="F5" s="20" t="str">
        <x:v>人名</x:v>
      </x:c>
      <x:c r="G5" s="21" t="n">
        <x:v>552</x:v>
      </x:c>
      <x:c r="H5" s="21" t="str">
        <x:v>H120</x:v>
      </x:c>
      <x:c r="I5" s="21" t="str">
        <x:v>BBH2 課序</x:v>
      </x:c>
    </x:row>
    <x:row r="6" ht="30" customHeight="1">
      <x:c r="A6" s="21" t="n">
        <x:v>3</x:v>
      </x:c>
      <x:c r="B6" s="21" t="n">
        <x:v>1</x:v>
      </x:c>
      <x:c r="C6" s="26" t="str">
        <x:v>אֱלֹהִים</x:v>
      </x:c>
      <x:c r="D6" s="27" t="str">
        <x:v>ʾĕlōhîm</x:v>
      </x:c>
      <x:c r="E6" s="20" t="str">
        <x:v>God, gods</x:v>
      </x:c>
      <x:c r="F6" s="20" t="str">
        <x:v>神名／稱號</x:v>
      </x:c>
      <x:c r="G6" s="21" t="n">
        <x:v>2600</x:v>
      </x:c>
      <x:c r="H6" s="21" t="str">
        <x:v>H430</x:v>
      </x:c>
      <x:c r="I6" s="21" t="str">
        <x:v>BBH2 課序</x:v>
      </x:c>
    </x:row>
    <x:row r="7" ht="30" customHeight="1">
      <x:c r="A7" s="21" t="n">
        <x:v>5</x:v>
      </x:c>
      <x:c r="B7" s="21" t="n">
        <x:v>1</x:v>
      </x:c>
      <x:c r="C7" s="26" t="str">
        <x:v>אֵל</x:v>
      </x:c>
      <x:c r="D7" s="27" t="str">
        <x:v>ʾēl</x:v>
      </x:c>
      <x:c r="E7" s="20" t="str">
        <x:v>God, god</x:v>
      </x:c>
      <x:c r="F7" s="20" t="str">
        <x:v>神名／稱號</x:v>
      </x:c>
      <x:c r="G7" s="21" t="n">
        <x:v>245</x:v>
      </x:c>
      <x:c r="H7" s="21" t="str">
        <x:v>H410</x:v>
      </x:c>
      <x:c r="I7" s="21" t="str">
        <x:v>BBH2 課序</x:v>
      </x:c>
    </x:row>
    <x:row r="8" ht="30" customHeight="1">
      <x:c r="A8" s="21" t="n">
        <x:v>10</x:v>
      </x:c>
      <x:c r="B8" s="21" t="n">
        <x:v>1</x:v>
      </x:c>
      <x:c r="C8" s="26" t="str">
        <x:v>יִשְׂרָאֵל</x:v>
      </x:c>
      <x:c r="D8" s="27" t="str">
        <x:v>yiśrāʾēl</x:v>
      </x:c>
      <x:c r="E8" s="20" t="str">
        <x:v>Israel</x:v>
      </x:c>
      <x:c r="F8" s="20" t="str">
        <x:v>人名、民族／國族</x:v>
      </x:c>
      <x:c r="G8" s="21" t="n">
        <x:v>2507</x:v>
      </x:c>
      <x:c r="H8" s="21" t="str">
        <x:v>H3478</x:v>
      </x:c>
      <x:c r="I8" s="21" t="str">
        <x:v>BBH2 課序</x:v>
      </x:c>
    </x:row>
    <x:row r="9" ht="30" customHeight="1">
      <x:c r="A9" s="21" t="n">
        <x:v>11</x:v>
      </x:c>
      <x:c r="B9" s="21" t="n">
        <x:v>1</x:v>
      </x:c>
      <x:c r="C9" s="26" t="str">
        <x:v>יְרוּשָׁלַ֫םִ</x:v>
      </x:c>
      <x:c r="D9" s="27" t="str">
        <x:v>yərûšālayim</x:v>
      </x:c>
      <x:c r="E9" s="20" t="str">
        <x:v>Jerusalem</x:v>
      </x:c>
      <x:c r="F9" s="20" t="str">
        <x:v>地名</x:v>
      </x:c>
      <x:c r="G9" s="21" t="n">
        <x:v>643</x:v>
      </x:c>
      <x:c r="H9" s="21" t="str">
        <x:v>H3389</x:v>
      </x:c>
      <x:c r="I9" s="21" t="str">
        <x:v>BBH2 課序</x:v>
      </x:c>
    </x:row>
    <x:row r="10" ht="30" customHeight="1">
      <x:c r="A10" s="21" t="n">
        <x:v>12</x:v>
      </x:c>
      <x:c r="B10" s="21" t="n">
        <x:v>1</x:v>
      </x:c>
      <x:c r="C10" s="26" t="str">
        <x:v>יְרוּשָׁלַ֫יִם</x:v>
      </x:c>
      <x:c r="D10" s="27" t="str">
        <x:v>yərûšālayim</x:v>
      </x:c>
      <x:c r="E10" s="20" t="str">
        <x:v>Jerusalem</x:v>
      </x:c>
      <x:c r="F10" s="20" t="str">
        <x:v>地名</x:v>
      </x:c>
      <x:c r="G10" s="21" t="n">
        <x:v>643</x:v>
      </x:c>
      <x:c r="H10" s="21" t="str">
        <x:v>H3389</x:v>
      </x:c>
      <x:c r="I10" s="21" t="str">
        <x:v>BBH2 課序</x:v>
      </x:c>
    </x:row>
    <x:row r="11" ht="30" customHeight="1">
      <x:c r="A11" s="21" t="n">
        <x:v>13</x:v>
      </x:c>
      <x:c r="B11" s="21" t="n">
        <x:v>1</x:v>
      </x:c>
      <x:c r="C11" s="26" t="str">
        <x:v>יְהוָה</x:v>
      </x:c>
      <x:c r="D11" s="27" t="str">
        <x:v>yhwh</x:v>
      </x:c>
      <x:c r="E11" s="20" t="str">
        <x:v>Yahweh, Lord</x:v>
      </x:c>
      <x:c r="F11" s="20" t="str">
        <x:v>神名／稱號</x:v>
      </x:c>
      <x:c r="G11" s="21" t="n">
        <x:v>6521</x:v>
      </x:c>
      <x:c r="H11" s="21" t="str">
        <x:v>H3068</x:v>
      </x:c>
      <x:c r="I11" s="21" t="str">
        <x:v>BBH2 課序</x:v>
      </x:c>
    </x:row>
    <x:row r="12" ht="30" customHeight="1">
      <x:c r="A12" s="21" t="n">
        <x:v>14</x:v>
      </x:c>
      <x:c r="B12" s="21" t="n">
        <x:v>1</x:v>
      </x:c>
      <x:c r="C12" s="26" t="str">
        <x:v>מִצְרַ֫יִם</x:v>
      </x:c>
      <x:c r="D12" s="27" t="str">
        <x:v>miṣrayim</x:v>
      </x:c>
      <x:c r="E12" s="20" t="str">
        <x:v>Egypt</x:v>
      </x:c>
      <x:c r="F12" s="20" t="str">
        <x:v>地名</x:v>
      </x:c>
      <x:c r="G12" s="21" t="n">
        <x:v>635</x:v>
      </x:c>
      <x:c r="H12" s="21" t="str">
        <x:v>H4714</x:v>
      </x:c>
      <x:c r="I12" s="21" t="str">
        <x:v>BBH2 課序</x:v>
      </x:c>
    </x:row>
    <x:row r="13" ht="30" customHeight="1">
      <x:c r="A13" s="21" t="n">
        <x:v>15</x:v>
      </x:c>
      <x:c r="B13" s="21" t="n">
        <x:v>1</x:v>
      </x:c>
      <x:c r="C13" s="26" t="str">
        <x:v>מֹשֶׁה</x:v>
      </x:c>
      <x:c r="D13" s="27" t="str">
        <x:v>mōšê</x:v>
      </x:c>
      <x:c r="E13" s="20" t="str">
        <x:v>Moses</x:v>
      </x:c>
      <x:c r="F13" s="20" t="str">
        <x:v>人名</x:v>
      </x:c>
      <x:c r="G13" s="21" t="n">
        <x:v>766</x:v>
      </x:c>
      <x:c r="H13" s="21" t="str">
        <x:v>H4872</x:v>
      </x:c>
      <x:c r="I13" s="21" t="str">
        <x:v>BBH2 課序</x:v>
      </x:c>
    </x:row>
    <x:row r="14" ht="30" customHeight="1">
      <x:c r="A14" s="21" t="n">
        <x:v>19</x:v>
      </x:c>
      <x:c r="B14" s="21" t="n">
        <x:v>1</x:v>
      </x:c>
      <x:c r="C14" s="26" t="str">
        <x:v>פַּרְעֹה</x:v>
      </x:c>
      <x:c r="D14" s="27" t="str">
        <x:v>parʿô</x:v>
      </x:c>
      <x:c r="E14" s="20" t="str">
        <x:v>Pharaoh</x:v>
      </x:c>
      <x:c r="F14" s="20" t="str">
        <x:v>人名</x:v>
      </x:c>
      <x:c r="G14" s="21" t="n">
        <x:v>268</x:v>
      </x:c>
      <x:c r="H14" s="21" t="str">
        <x:v>H6547</x:v>
      </x:c>
      <x:c r="I14" s="21" t="str">
        <x:v>BBH2 課序</x:v>
      </x:c>
    </x:row>
    <x:row r="15" ht="30" customHeight="1">
      <x:c r="A15" s="21" t="n">
        <x:v>22</x:v>
      </x:c>
      <x:c r="B15" s="21" t="n">
        <x:v>2</x:v>
      </x:c>
      <x:c r="C15" s="26" t="str">
        <x:v>אֲדֹנָי</x:v>
      </x:c>
      <x:c r="D15" s="27" t="str">
        <x:v>ʾăḏōnāy</x:v>
      </x:c>
      <x:c r="E15" s="20" t="str">
        <x:v>Lord</x:v>
      </x:c>
      <x:c r="F15" s="20" t="str">
        <x:v>神名／稱號</x:v>
      </x:c>
      <x:c r="G15" s="21" t="n">
        <x:v>445</x:v>
      </x:c>
      <x:c r="H15" s="21" t="str">
        <x:v>H136</x:v>
      </x:c>
      <x:c r="I15" s="21" t="str">
        <x:v>BBH2 課序</x:v>
      </x:c>
    </x:row>
    <x:row r="16" ht="30" customHeight="1">
      <x:c r="A16" s="21" t="n">
        <x:v>249</x:v>
      </x:c>
      <x:c r="B16" s="21" t="n">
        <x:v>13</x:v>
      </x:c>
      <x:c r="C16" s="26" t="str">
        <x:v>שַׁבָּת</x:v>
      </x:c>
      <x:c r="D16" s="27" t="str">
        <x:v>šabbāṯ</x:v>
      </x:c>
      <x:c r="E16" s="20" t="str">
        <x:v>Sabbath, period of rest</x:v>
      </x:c>
      <x:c r="F16" s="20" t="str">
        <x:v>專名</x:v>
      </x:c>
      <x:c r="G16" s="21" t="n">
        <x:v>111</x:v>
      </x:c>
      <x:c r="H16" s="21" t="str">
        <x:v>H7676</x:v>
      </x:c>
      <x:c r="I16" s="21" t="str">
        <x:v>BBH2 課序</x:v>
      </x:c>
    </x:row>
    <x:row r="17" ht="30" customHeight="1">
      <x:c r="A17" s="21" t="n">
        <x:v>337</x:v>
      </x:c>
      <x:c r="B17" s="21" t="n">
        <x:v>17</x:v>
      </x:c>
      <x:c r="C17" s="26" t="str">
        <x:v>בַּ֫עַל</x:v>
      </x:c>
      <x:c r="D17" s="27" t="str">
        <x:v>baʿal</x:v>
      </x:c>
      <x:c r="E17" s="20" t="str">
        <x:v>owner, master, husband, (divine title) Baal</x:v>
      </x:c>
      <x:c r="F17" s="20" t="str">
        <x:v>神名／稱號</x:v>
      </x:c>
      <x:c r="G17" s="21" t="n">
        <x:v>83</x:v>
      </x:c>
      <x:c r="H17" s="21" t="str">
        <x:v>H1167</x:v>
      </x:c>
      <x:c r="I17" s="21" t="str">
        <x:v>BBH2 課序</x:v>
      </x:c>
    </x:row>
    <x:row r="18" ht="30" customHeight="1">
      <x:c r="A18" s="21" t="n">
        <x:v>489</x:v>
      </x:c>
      <x:c r="B18" s="21" t="n">
        <x:v>25</x:v>
      </x:c>
      <x:c r="C18" s="26" t="str">
        <x:v>נֶ֫גֶב</x:v>
      </x:c>
      <x:c r="D18" s="27" t="str">
        <x:v>neg̅eḇ</x:v>
      </x:c>
      <x:c r="E18" s="20" t="str">
        <x:v>south, Negev</x:v>
      </x:c>
      <x:c r="F18" s="20" t="str">
        <x:v>地名</x:v>
      </x:c>
      <x:c r="G18" s="21" t="n">
        <x:v>111</x:v>
      </x:c>
      <x:c r="H18" s="21" t="str">
        <x:v>H5045</x:v>
      </x:c>
      <x:c r="I18" s="21" t="str">
        <x:v>BBH2 課序</x:v>
      </x:c>
    </x:row>
    <x:row r="19" ht="30" customHeight="1">
      <x:c r="A19" s="21" t="n">
        <x:v>494</x:v>
      </x:c>
      <x:c r="B19" s="21" t="n">
        <x:v>25</x:v>
      </x:c>
      <x:c r="C19" s="26" t="str">
        <x:v>מָשִׁיחַ</x:v>
      </x:c>
      <x:c r="D19" s="27" t="str">
        <x:v>māšîaḥ</x:v>
      </x:c>
      <x:c r="E19" s="20" t="str">
        <x:v>anointed one, Messiah</x:v>
      </x:c>
      <x:c r="F19" s="20" t="str">
        <x:v>神名／稱號</x:v>
      </x:c>
      <x:c r="G19" s="21" t="n">
        <x:v>39</x:v>
      </x:c>
      <x:c r="H19" s="21" t="str">
        <x:v>H4899</x:v>
      </x:c>
      <x:c r="I19" s="21" t="str">
        <x:v>BBH2 課序</x:v>
      </x:c>
    </x:row>
    <x:row r="20" ht="30" customHeight="1">
      <x:c r="A20" s="21" t="n">
        <x:v>553</x:v>
      </x:c>
      <x:c r="B20" s="21" t="n">
        <x:v>28</x:v>
      </x:c>
      <x:c r="C20" s="26" t="str">
        <x:v>דָּוִד</x:v>
      </x:c>
      <x:c r="D20" s="27" t="str">
        <x:v>dāwiḏ</x:v>
      </x:c>
      <x:c r="E20" s="20" t="str">
        <x:v>David, the youngest son of Jesse</x:v>
      </x:c>
      <x:c r="F20" s="20" t="str">
        <x:v>人名</x:v>
      </x:c>
      <x:c r="G20" s="21" t="n">
        <x:v>1075</x:v>
      </x:c>
      <x:c r="H20" s="21" t="str">
        <x:v>H1732</x:v>
      </x:c>
      <x:c r="I20" s="21" t="str">
        <x:v>自編延伸</x:v>
      </x:c>
    </x:row>
    <x:row r="21" ht="30" customHeight="1">
      <x:c r="A21" s="21" t="n">
        <x:v>555</x:v>
      </x:c>
      <x:c r="B21" s="21" t="n">
        <x:v>28</x:v>
      </x:c>
      <x:c r="C21" s="26" t="str">
        <x:v>יְהוּדָה</x:v>
      </x:c>
      <x:c r="D21" s="27" t="str">
        <x:v>yəhûḏâ</x:v>
      </x:c>
      <x:c r="E21" s="20" t="str">
        <x:v>Jehudah (or Judah), the name of five Israelites; also of the tribe descended from the first, and of its territory</x:v>
      </x:c>
      <x:c r="F21" s="20" t="str">
        <x:v>人名、地名、民族／國族</x:v>
      </x:c>
      <x:c r="G21" s="21" t="n">
        <x:v>819</x:v>
      </x:c>
      <x:c r="H21" s="21" t="str">
        <x:v>H3063</x:v>
      </x:c>
      <x:c r="I21" s="21" t="str">
        <x:v>自編延伸</x:v>
      </x:c>
    </x:row>
    <x:row r="22" ht="30" customHeight="1">
      <x:c r="A22" s="21" t="n">
        <x:v>559</x:v>
      </x:c>
      <x:c r="B22" s="21" t="n">
        <x:v>28</x:v>
      </x:c>
      <x:c r="C22" s="26" t="str">
        <x:v>שָׁאוּל</x:v>
      </x:c>
      <x:c r="D22" s="27" t="str">
        <x:v>šāʾûl</x:v>
      </x:c>
      <x:c r="E22" s="20" t="str">
        <x:v>Shaul, the name of an Edomite and two Israelites</x:v>
      </x:c>
      <x:c r="F22" s="20" t="str">
        <x:v>人名</x:v>
      </x:c>
      <x:c r="G22" s="21" t="n">
        <x:v>406</x:v>
      </x:c>
      <x:c r="H22" s="21" t="str">
        <x:v>H7586</x:v>
      </x:c>
      <x:c r="I22" s="21" t="str">
        <x:v>自編延伸</x:v>
      </x:c>
    </x:row>
    <x:row r="23" ht="30" customHeight="1">
      <x:c r="A23" s="21" t="n">
        <x:v>561</x:v>
      </x:c>
      <x:c r="B23" s="21" t="n">
        <x:v>29</x:v>
      </x:c>
      <x:c r="C23" s="26" t="str">
        <x:v>יַעֲקֹב</x:v>
      </x:c>
      <x:c r="D23" s="27" t="str">
        <x:v>yaʿăqōḇ</x:v>
      </x:c>
      <x:c r="E23" s="20" t="str">
        <x:v>Jaakob, the Israelitish patriarch</x:v>
      </x:c>
      <x:c r="F23" s="20" t="str">
        <x:v>人名</x:v>
      </x:c>
      <x:c r="G23" s="21" t="n">
        <x:v>349</x:v>
      </x:c>
      <x:c r="H23" s="21" t="str">
        <x:v>H3290</x:v>
      </x:c>
      <x:c r="I23" s="21" t="str">
        <x:v>自編延伸</x:v>
      </x:c>
    </x:row>
    <x:row r="24" ht="30" customHeight="1">
      <x:c r="A24" s="21" t="n">
        <x:v>562</x:v>
      </x:c>
      <x:c r="B24" s="21" t="n">
        <x:v>29</x:v>
      </x:c>
      <x:c r="C24" s="26" t="str">
        <x:v>אַהֲרוֹן</x:v>
      </x:c>
      <x:c r="D24" s="27" t="str">
        <x:v>ʾahărôn</x:v>
      </x:c>
      <x:c r="E24" s="20" t="str">
        <x:v>Aharon, the brother of Moses</x:v>
      </x:c>
      <x:c r="F24" s="20" t="str">
        <x:v>人名</x:v>
      </x:c>
      <x:c r="G24" s="21" t="n">
        <x:v>347</x:v>
      </x:c>
      <x:c r="H24" s="21" t="str">
        <x:v>H175</x:v>
      </x:c>
      <x:c r="I24" s="21" t="str">
        <x:v>自編延伸</x:v>
      </x:c>
    </x:row>
    <x:row r="25" ht="30" customHeight="1">
      <x:c r="A25" s="21" t="n">
        <x:v>567</x:v>
      </x:c>
      <x:c r="B25" s="21" t="n">
        <x:v>29</x:v>
      </x:c>
      <x:c r="C25" s="26" t="str">
        <x:v>יְהֹוִה</x:v>
      </x:c>
      <x:c r="D25" s="27" t="str">
        <x:v>yhwh</x:v>
      </x:c>
      <x:c r="E25" s="20" t="str">
        <x:v>{YHWH}</x:v>
      </x:c>
      <x:c r="F25" s="20" t="str">
        <x:v>神名／稱號</x:v>
      </x:c>
      <x:c r="G25" s="21" t="n">
        <x:v>306</x:v>
      </x:c>
      <x:c r="H25" s="21" t="str">
        <x:v>H3069</x:v>
      </x:c>
      <x:c r="I25" s="21" t="str">
        <x:v>自編延伸</x:v>
      </x:c>
    </x:row>
    <x:row r="26" ht="30" customHeight="1">
      <x:c r="A26" s="21" t="n">
        <x:v>568</x:v>
      </x:c>
      <x:c r="B26" s="21" t="n">
        <x:v>29</x:v>
      </x:c>
      <x:c r="C26" s="26" t="str">
        <x:v>שְׁלֹמֹה</x:v>
      </x:c>
      <x:c r="D26" s="27" t="str">
        <x:v>šəlōmô</x:v>
      </x:c>
      <x:c r="E26" s="20" t="str">
        <x:v>Shelomah, David's successor</x:v>
      </x:c>
      <x:c r="F26" s="20" t="str">
        <x:v>人名</x:v>
      </x:c>
      <x:c r="G26" s="21" t="n">
        <x:v>293</x:v>
      </x:c>
      <x:c r="H26" s="21" t="str">
        <x:v>H8010</x:v>
      </x:c>
      <x:c r="I26" s="21" t="str">
        <x:v>自編延伸</x:v>
      </x:c>
    </x:row>
    <x:row r="27" ht="30" customHeight="1">
      <x:c r="A27" s="21" t="n">
        <x:v>569</x:v>
      </x:c>
      <x:c r="B27" s="21" t="n">
        <x:v>29</x:v>
      </x:c>
      <x:c r="C27" s="26" t="str">
        <x:v>פְּלִשְׁתִּי</x:v>
      </x:c>
      <x:c r="D27" s="27" t="str">
        <x:v>pəlištî</x:v>
      </x:c>
      <x:c r="E27" s="20" t="str">
        <x:v>a Pelishtite or inhabitant of Pelesheth</x:v>
      </x:c>
      <x:c r="F27" s="20" t="str">
        <x:v>民族／國族</x:v>
      </x:c>
      <x:c r="G27" s="21" t="n">
        <x:v>290</x:v>
      </x:c>
      <x:c r="H27" s="21" t="str">
        <x:v>H6430</x:v>
      </x:c>
      <x:c r="I27" s="21" t="str">
        <x:v>自編延伸</x:v>
      </x:c>
    </x:row>
    <x:row r="28" ht="30" customHeight="1">
      <x:c r="A28" s="21" t="n">
        <x:v>570</x:v>
      </x:c>
      <x:c r="B28" s="21" t="n">
        <x:v>29</x:v>
      </x:c>
      <x:c r="C28" s="26" t="str">
        <x:v>לֵוִיִּי</x:v>
      </x:c>
      <x:c r="D28" s="27" t="str">
        <x:v>lēwiyyî</x:v>
      </x:c>
      <x:c r="E28" s="20" t="str">
        <x:v>a Levite or descendant of Levi</x:v>
      </x:c>
      <x:c r="F28" s="20" t="str">
        <x:v>民族／國族</x:v>
      </x:c>
      <x:c r="G28" s="21" t="n">
        <x:v>286</x:v>
      </x:c>
      <x:c r="H28" s="21" t="str">
        <x:v>H3881</x:v>
      </x:c>
      <x:c r="I28" s="21" t="str">
        <x:v>自編延伸</x:v>
      </x:c>
    </x:row>
    <x:row r="29" ht="30" customHeight="1">
      <x:c r="A29" s="21" t="n">
        <x:v>571</x:v>
      </x:c>
      <x:c r="B29" s="21" t="n">
        <x:v>29</x:v>
      </x:c>
      <x:c r="C29" s="26" t="str">
        <x:v>בָּבֶל</x:v>
      </x:c>
      <x:c r="D29" s="27" t="str">
        <x:v>bāḇel</x:v>
      </x:c>
      <x:c r="E29" s="20" t="str">
        <x:v>Babel (i.e. Babylon), including Babylonia and the Babylonian empire</x:v>
      </x:c>
      <x:c r="F29" s="20" t="str">
        <x:v>地名</x:v>
      </x:c>
      <x:c r="G29" s="21" t="n">
        <x:v>262</x:v>
      </x:c>
      <x:c r="H29" s="21" t="str">
        <x:v>H894</x:v>
      </x:c>
      <x:c r="I29" s="21" t="str">
        <x:v>自編延伸</x:v>
      </x:c>
    </x:row>
    <x:row r="30" ht="30" customHeight="1">
      <x:c r="A30" s="21" t="n">
        <x:v>572</x:v>
      </x:c>
      <x:c r="B30" s="21" t="n">
        <x:v>29</x:v>
      </x:c>
      <x:c r="C30" s="26" t="str">
        <x:v>יְהוֹשׁוּעַ</x:v>
      </x:c>
      <x:c r="D30" s="27" t="str">
        <x:v>yəhôšûaʿ</x:v>
      </x:c>
      <x:c r="E30" s="20" t="str">
        <x:v>Jehoshua (i.e. Joshua), the Jewish leader</x:v>
      </x:c>
      <x:c r="F30" s="20" t="str">
        <x:v>人名</x:v>
      </x:c>
      <x:c r="G30" s="21" t="n">
        <x:v>218</x:v>
      </x:c>
      <x:c r="H30" s="21" t="str">
        <x:v>H3091</x:v>
      </x:c>
      <x:c r="I30" s="21" t="str">
        <x:v>自編延伸</x:v>
      </x:c>
    </x:row>
    <x:row r="31" ht="30" customHeight="1">
      <x:c r="A31" s="21" t="n">
        <x:v>574</x:v>
      </x:c>
      <x:c r="B31" s="21" t="n">
        <x:v>29</x:v>
      </x:c>
      <x:c r="C31" s="26" t="str">
        <x:v>יוֹסֵף</x:v>
      </x:c>
      <x:c r="D31" s="27" t="str">
        <x:v>yôsēp̄</x:v>
      </x:c>
      <x:c r="E31" s="20" t="str">
        <x:v>Joseph, the name of seven Israelites</x:v>
      </x:c>
      <x:c r="F31" s="20" t="str">
        <x:v>人名</x:v>
      </x:c>
      <x:c r="G31" s="21" t="n">
        <x:v>213</x:v>
      </x:c>
      <x:c r="H31" s="21" t="str">
        <x:v>H3130</x:v>
      </x:c>
      <x:c r="I31" s="21" t="str">
        <x:v>自編延伸</x:v>
      </x:c>
    </x:row>
    <x:row r="32" ht="30" customHeight="1">
      <x:c r="A32" s="21" t="n">
        <x:v>575</x:v>
      </x:c>
      <x:c r="B32" s="21" t="n">
        <x:v>29</x:v>
      </x:c>
      <x:c r="C32" s="26" t="str">
        <x:v>יַרְדֵּן</x:v>
      </x:c>
      <x:c r="D32" s="27" t="str">
        <x:v>yardēn</x:v>
      </x:c>
      <x:c r="E32" s="20" t="str">
        <x:v>Jarden, the principal river of Palestine</x:v>
      </x:c>
      <x:c r="F32" s="20" t="str">
        <x:v>地名</x:v>
      </x:c>
      <x:c r="G32" s="21" t="n">
        <x:v>183</x:v>
      </x:c>
      <x:c r="H32" s="21" t="str">
        <x:v>H3383</x:v>
      </x:c>
      <x:c r="I32" s="21" t="str">
        <x:v>自編延伸</x:v>
      </x:c>
    </x:row>
    <x:row r="33" ht="30" customHeight="1">
      <x:c r="A33" s="21" t="n">
        <x:v>577</x:v>
      </x:c>
      <x:c r="B33" s="21" t="n">
        <x:v>29</x:v>
      </x:c>
      <x:c r="C33" s="26" t="str">
        <x:v>מוֹאָב</x:v>
      </x:c>
      <x:c r="D33" s="27" t="str">
        <x:v>môʾāḇ</x:v>
      </x:c>
      <x:c r="E33" s="20" t="str">
        <x:v>Moab, an incestuous son of Lot; also his territory and descendants</x:v>
      </x:c>
      <x:c r="F33" s="20" t="str">
        <x:v>人名、地名、民族／國族</x:v>
      </x:c>
      <x:c r="G33" s="21" t="n">
        <x:v>181</x:v>
      </x:c>
      <x:c r="H33" s="21" t="str">
        <x:v>H4124</x:v>
      </x:c>
      <x:c r="I33" s="21" t="str">
        <x:v>自編延伸</x:v>
      </x:c>
    </x:row>
    <x:row r="34" ht="30" customHeight="1">
      <x:c r="A34" s="21" t="n">
        <x:v>578</x:v>
      </x:c>
      <x:c r="B34" s="21" t="n">
        <x:v>29</x:v>
      </x:c>
      <x:c r="C34" s="26" t="str">
        <x:v>אֶפְרַיִם</x:v>
      </x:c>
      <x:c r="D34" s="27" t="str">
        <x:v>ʾep̄rayim</x:v>
      </x:c>
      <x:c r="E34" s="20" t="str">
        <x:v>Ephrajim, a son of Joseph; also the tribe descended from him, and its territory</x:v>
      </x:c>
      <x:c r="F34" s="20" t="str">
        <x:v>地名、民族／國族、人名</x:v>
      </x:c>
      <x:c r="G34" s="21" t="n">
        <x:v>180</x:v>
      </x:c>
      <x:c r="H34" s="21" t="str">
        <x:v>H669</x:v>
      </x:c>
      <x:c r="I34" s="21" t="str">
        <x:v>自編延伸</x:v>
      </x:c>
    </x:row>
    <x:row r="35" ht="30" customHeight="1">
      <x:c r="A35" s="21" t="n">
        <x:v>579</x:v>
      </x:c>
      <x:c r="B35" s="21" t="n">
        <x:v>29</x:v>
      </x:c>
      <x:c r="C35" s="26" t="str">
        <x:v>אַבְרָהָם</x:v>
      </x:c>
      <x:c r="D35" s="27" t="str">
        <x:v>ʾaḇrāhām</x:v>
      </x:c>
      <x:c r="E35" s="20" t="str">
        <x:v>Abraham, the later name of Abram</x:v>
      </x:c>
      <x:c r="F35" s="20" t="str">
        <x:v>人名</x:v>
      </x:c>
      <x:c r="G35" s="21" t="n">
        <x:v>175</x:v>
      </x:c>
      <x:c r="H35" s="21" t="str">
        <x:v>H85</x:v>
      </x:c>
      <x:c r="I35" s="21" t="str">
        <x:v>自編延伸</x:v>
      </x:c>
    </x:row>
    <x:row r="36" ht="30" customHeight="1">
      <x:c r="A36" s="21" t="n">
        <x:v>582</x:v>
      </x:c>
      <x:c r="B36" s="21" t="n">
        <x:v>30</x:v>
      </x:c>
      <x:c r="C36" s="26" t="str">
        <x:v>בִּנְיָמִין</x:v>
      </x:c>
      <x:c r="D36" s="27" t="str">
        <x:v>binyāmîn</x:v>
      </x:c>
      <x:c r="E36" s="20" t="str">
        <x:v>Binjamin, youngest son of Jacob; also the tribe descended from him, and its territory</x:v>
      </x:c>
      <x:c r="F36" s="20" t="str">
        <x:v>地名、民族／國族、人名</x:v>
      </x:c>
      <x:c r="G36" s="21" t="n">
        <x:v>167</x:v>
      </x:c>
      <x:c r="H36" s="21" t="str">
        <x:v>H1144</x:v>
      </x:c>
      <x:c r="I36" s="21" t="str">
        <x:v>自編延伸</x:v>
      </x:c>
    </x:row>
    <x:row r="37" ht="30" customHeight="1">
      <x:c r="A37" s="21" t="n">
        <x:v>585</x:v>
      </x:c>
      <x:c r="B37" s="21" t="n">
        <x:v>30</x:v>
      </x:c>
      <x:c r="C37" s="26" t="str">
        <x:v>צִיּוֹן</x:v>
      </x:c>
      <x:c r="D37" s="27" t="str">
        <x:v>ṣîôn</x:v>
      </x:c>
      <x:c r="E37" s="20" t="str">
        <x:v>Tsijon (as a permanent capital), a mountain of Jerusalem</x:v>
      </x:c>
      <x:c r="F37" s="20" t="str">
        <x:v>地名</x:v>
      </x:c>
      <x:c r="G37" s="21" t="n">
        <x:v>153</x:v>
      </x:c>
      <x:c r="H37" s="21" t="str">
        <x:v>H6726</x:v>
      </x:c>
      <x:c r="I37" s="21" t="str">
        <x:v>自編延伸</x:v>
      </x:c>
    </x:row>
    <x:row r="38" ht="30" customHeight="1">
      <x:c r="A38" s="21" t="n">
        <x:v>586</x:v>
      </x:c>
      <x:c r="B38" s="21" t="n">
        <x:v>30</x:v>
      </x:c>
      <x:c r="C38" s="26" t="str">
        <x:v>אַשּׁוּר</x:v>
      </x:c>
      <x:c r="D38" s="27" t="str">
        <x:v>ʾaššûr</x:v>
      </x:c>
      <x:c r="E38" s="20" t="str">
        <x:v>Ashshur, the second son of Shem; also his descendants and the country occupied by them (i.e. Assyria), its region and its empire</x:v>
      </x:c>
      <x:c r="F38" s="20" t="str">
        <x:v>人名、地名、民族／國族</x:v>
      </x:c>
      <x:c r="G38" s="21" t="n">
        <x:v>151</x:v>
      </x:c>
      <x:c r="H38" s="21" t="str">
        <x:v>H804</x:v>
      </x:c>
      <x:c r="I38" s="21" t="str">
        <x:v>自編延伸</x:v>
      </x:c>
    </x:row>
    <x:row r="39" ht="30" customHeight="1">
      <x:c r="A39" s="21" t="n">
        <x:v>587</x:v>
      </x:c>
      <x:c r="B39" s="21" t="n">
        <x:v>30</x:v>
      </x:c>
      <x:c r="C39" s="26" t="str">
        <x:v>יִרְמְיָה</x:v>
      </x:c>
      <x:c r="D39" s="27" t="str">
        <x:v>yirməyâ</x:v>
      </x:c>
      <x:c r="E39" s="20" t="str">
        <x:v>Jirmejah, the name of eight or nine Israelites</x:v>
      </x:c>
      <x:c r="F39" s="20" t="str">
        <x:v>人名</x:v>
      </x:c>
      <x:c r="G39" s="21" t="n">
        <x:v>147</x:v>
      </x:c>
      <x:c r="H39" s="21" t="str">
        <x:v>H3414</x:v>
      </x:c>
      <x:c r="I39" s="21" t="str">
        <x:v>自編延伸</x:v>
      </x:c>
    </x:row>
    <x:row r="40" ht="30" customHeight="1">
      <x:c r="A40" s="21" t="n">
        <x:v>588</x:v>
      </x:c>
      <x:c r="B40" s="21" t="n">
        <x:v>30</x:v>
      </x:c>
      <x:c r="C40" s="26" t="str">
        <x:v>מְנַשֶּׁה</x:v>
      </x:c>
      <x:c r="D40" s="27" t="str">
        <x:v>mənaššê</x:v>
      </x:c>
      <x:c r="E40" s="20" t="str">
        <x:v>Menashsheh, a grandson of Jacob, also the tribe descended from him, and its territory</x:v>
      </x:c>
      <x:c r="F40" s="20" t="str">
        <x:v>人名、地名、民族／國族</x:v>
      </x:c>
      <x:c r="G40" s="21" t="n">
        <x:v>146</x:v>
      </x:c>
      <x:c r="H40" s="21" t="str">
        <x:v>H4519</x:v>
      </x:c>
      <x:c r="I40" s="21" t="str">
        <x:v>自編延伸</x:v>
      </x:c>
    </x:row>
    <x:row r="41" ht="30" customHeight="1">
      <x:c r="A41" s="21" t="n">
        <x:v>589</x:v>
      </x:c>
      <x:c r="B41" s="21" t="n">
        <x:v>30</x:v>
      </x:c>
      <x:c r="C41" s="26" t="str">
        <x:v>יוֹאָב</x:v>
      </x:c>
      <x:c r="D41" s="27" t="str">
        <x:v>yôʾāḇ</x:v>
      </x:c>
      <x:c r="E41" s="20" t="str">
        <x:v>Joab, the name of three Israelites</x:v>
      </x:c>
      <x:c r="F41" s="20" t="str">
        <x:v>人名</x:v>
      </x:c>
      <x:c r="G41" s="21" t="n">
        <x:v>145</x:v>
      </x:c>
      <x:c r="H41" s="21" t="str">
        <x:v>H3097</x:v>
      </x:c>
      <x:c r="I41" s="21" t="str">
        <x:v>自編延伸</x:v>
      </x:c>
    </x:row>
    <x:row r="42" ht="30" customHeight="1">
      <x:c r="A42" s="21" t="n">
        <x:v>590</x:v>
      </x:c>
      <x:c r="B42" s="21" t="n">
        <x:v>30</x:v>
      </x:c>
      <x:c r="C42" s="26" t="str">
        <x:v>בֵּית־אֵל</x:v>
      </x:c>
      <x:c r="D42" s="27" t="str">
        <x:v>bêṯ-ʾēl</x:v>
      </x:c>
      <x:c r="E42" s="20" t="str">
        <x:v>Beth-El, a place in Palestine</x:v>
      </x:c>
      <x:c r="F42" s="20" t="str">
        <x:v>地名</x:v>
      </x:c>
      <x:c r="G42" s="21" t="n">
        <x:v>144</x:v>
      </x:c>
      <x:c r="H42" s="21" t="str">
        <x:v>H1008</x:v>
      </x:c>
      <x:c r="I42" s="21" t="str">
        <x:v>自編延伸</x:v>
      </x:c>
    </x:row>
    <x:row r="43" ht="30" customHeight="1">
      <x:c r="A43" s="21" t="n">
        <x:v>592</x:v>
      </x:c>
      <x:c r="B43" s="21" t="n">
        <x:v>30</x:v>
      </x:c>
      <x:c r="C43" s="26" t="str">
        <x:v>שְׁמוּאֵל</x:v>
      </x:c>
      <x:c r="D43" s="27" t="str">
        <x:v>šəmûʾēl</x:v>
      </x:c>
      <x:c r="E43" s="20" t="str">
        <x:v>Shemuel, the name of three Israelites</x:v>
      </x:c>
      <x:c r="F43" s="20" t="str">
        <x:v>人名</x:v>
      </x:c>
      <x:c r="G43" s="21" t="n">
        <x:v>140</x:v>
      </x:c>
      <x:c r="H43" s="21" t="str">
        <x:v>H8050</x:v>
      </x:c>
      <x:c r="I43" s="21" t="str">
        <x:v>自編延伸</x:v>
      </x:c>
    </x:row>
    <x:row r="44" ht="30" customHeight="1">
      <x:c r="A44" s="21" t="n">
        <x:v>594</x:v>
      </x:c>
      <x:c r="B44" s="21" t="n">
        <x:v>30</x:v>
      </x:c>
      <x:c r="C44" s="26" t="str">
        <x:v>גִּלְעָד</x:v>
      </x:c>
      <x:c r="D44" s="27" t="str">
        <x:v>gilʿāḏ</x:v>
      </x:c>
      <x:c r="E44" s="20" t="str">
        <x:v>Gilad, a region East of the Jordan; also the name of three Israelites</x:v>
      </x:c>
      <x:c r="F44" s="20" t="str">
        <x:v>人名、地名</x:v>
      </x:c>
      <x:c r="G44" s="21" t="n">
        <x:v>134</x:v>
      </x:c>
      <x:c r="H44" s="21" t="str">
        <x:v>H1568</x:v>
      </x:c>
      <x:c r="I44" s="21" t="str">
        <x:v>自編延伸</x:v>
      </x:c>
    </x:row>
    <x:row r="45" ht="30" customHeight="1">
      <x:c r="A45" s="21" t="n">
        <x:v>595</x:v>
      </x:c>
      <x:c r="B45" s="21" t="n">
        <x:v>30</x:v>
      </x:c>
      <x:c r="C45" s="26" t="str">
        <x:v>אֲרָם</x:v>
      </x:c>
      <x:c r="D45" s="27" t="str">
        <x:v>ʾărām</x:v>
      </x:c>
      <x:c r="E45" s="20" t="str">
        <x:v>Aram or Syria, and its inhabitants; also the name of the son of Shem, a grandson of Nahor, and of an Israelite</x:v>
      </x:c>
      <x:c r="F45" s="20" t="str">
        <x:v>人名、地名、民族／國族</x:v>
      </x:c>
      <x:c r="G45" s="21" t="n">
        <x:v>133</x:v>
      </x:c>
      <x:c r="H45" s="21" t="str">
        <x:v>H758</x:v>
      </x:c>
      <x:c r="I45" s="21" t="str">
        <x:v>自編延伸</x:v>
      </x:c>
    </x:row>
    <x:row r="46" ht="30" customHeight="1">
      <x:c r="A46" s="21" t="n">
        <x:v>596</x:v>
      </x:c>
      <x:c r="B46" s="21" t="n">
        <x:v>30</x:v>
      </x:c>
      <x:c r="C46" s="26" t="str">
        <x:v>חִזְקִיָּה</x:v>
      </x:c>
      <x:c r="D46" s="27" t="str">
        <x:v>ḥizqiyyâ</x:v>
      </x:c>
      <x:c r="E46" s="20" t="str">
        <x:v>Chizkijah, a king of Judah, also the name of two other Israelites</x:v>
      </x:c>
      <x:c r="F46" s="20" t="str">
        <x:v>人名</x:v>
      </x:c>
      <x:c r="G46" s="21" t="n">
        <x:v>130</x:v>
      </x:c>
      <x:c r="H46" s="21" t="str">
        <x:v>H2396</x:v>
      </x:c>
      <x:c r="I46" s="21" t="str">
        <x:v>自編延伸</x:v>
      </x:c>
    </x:row>
    <x:row r="47" ht="30" customHeight="1">
      <x:c r="A47" s="21" t="n">
        <x:v>597</x:v>
      </x:c>
      <x:c r="B47" s="21" t="n">
        <x:v>30</x:v>
      </x:c>
      <x:c r="C47" s="26" t="str">
        <x:v>אֲבִישָׁלוֹם</x:v>
      </x:c>
      <x:c r="D47" s="27" t="str">
        <x:v>ʾăḇîšālôm</x:v>
      </x:c>
      <x:c r="E47" s="20" t="str">
        <x:v>Abshalom, a son of David; also (the fuller form) a later Israelite</x:v>
      </x:c>
      <x:c r="F47" s="20" t="str">
        <x:v>人名</x:v>
      </x:c>
      <x:c r="G47" s="21" t="n">
        <x:v>111</x:v>
      </x:c>
      <x:c r="H47" s="21" t="str">
        <x:v>H53</x:v>
      </x:c>
      <x:c r="I47" s="21" t="str">
        <x:v>自編延伸</x:v>
      </x:c>
    </x:row>
    <x:row r="48" ht="30" customHeight="1">
      <x:c r="A48" s="21" t="n">
        <x:v>599</x:v>
      </x:c>
      <x:c r="B48" s="21" t="n">
        <x:v>30</x:v>
      </x:c>
      <x:c r="C48" s="26" t="str">
        <x:v>שֹׁמְרוֹן</x:v>
      </x:c>
      <x:c r="D48" s="27" t="str">
        <x:v>šōmərôn</x:v>
      </x:c>
      <x:c r="E48" s="20" t="str">
        <x:v>Shomeron, a place in Palestine</x:v>
      </x:c>
      <x:c r="F48" s="20" t="str">
        <x:v>地名</x:v>
      </x:c>
      <x:c r="G48" s="21" t="n">
        <x:v>109</x:v>
      </x:c>
      <x:c r="H48" s="21" t="str">
        <x:v>H8111</x:v>
      </x:c>
      <x:c r="I48" s="21" t="str">
        <x:v>自編延伸</x:v>
      </x:c>
    </x:row>
    <x:row r="49" ht="30" customHeight="1">
      <x:c r="A49" s="21" t="n">
        <x:v>600</x:v>
      </x:c>
      <x:c r="B49" s="21" t="n">
        <x:v>30</x:v>
      </x:c>
      <x:c r="C49" s="26" t="str">
        <x:v>יִצְחָק</x:v>
      </x:c>
      <x:c r="D49" s="27" t="str">
        <x:v>yiṣḥāq</x:v>
      </x:c>
      <x:c r="E49" s="20" t="str">
        <x:v>Jitschak (or Isaac), son of Abraham</x:v>
      </x:c>
      <x:c r="F49" s="20" t="str">
        <x:v>人名</x:v>
      </x:c>
      <x:c r="G49" s="21" t="n">
        <x:v>108</x:v>
      </x:c>
      <x:c r="H49" s="21" t="str">
        <x:v>H3327</x:v>
      </x:c>
      <x:c r="I49" s="21" t="str">
        <x:v>自編延伸</x:v>
      </x:c>
    </x:row>
    <x:row r="50" ht="30" customHeight="1">
      <x:c r="A50" s="21" t="n">
        <x:v>602</x:v>
      </x:c>
      <x:c r="B50" s="21" t="n">
        <x:v>31</x:v>
      </x:c>
      <x:c r="C50" s="26" t="str">
        <x:v>עַמּוֹן</x:v>
      </x:c>
      <x:c r="D50" s="27" t="str">
        <x:v>ʿammôn</x:v>
      </x:c>
      <x:c r="E50" s="20" t="str">
        <x:v>Ammon, a son of Lot; also his posterity and their country</x:v>
      </x:c>
      <x:c r="F50" s="20" t="str">
        <x:v>人名、地名、民族／國族</x:v>
      </x:c>
      <x:c r="G50" s="21" t="n">
        <x:v>106</x:v>
      </x:c>
      <x:c r="H50" s="21" t="str">
        <x:v>H5983</x:v>
      </x:c>
      <x:c r="I50" s="21" t="str">
        <x:v>自編延伸</x:v>
      </x:c>
    </x:row>
    <x:row r="51" ht="30" customHeight="1">
      <x:c r="A51" s="21" t="n">
        <x:v>603</x:v>
      </x:c>
      <x:c r="B51" s="21" t="n">
        <x:v>31</x:v>
      </x:c>
      <x:c r="C51" s="26" t="str">
        <x:v>יָרׇבְעָם</x:v>
      </x:c>
      <x:c r="D51" s="27" t="str">
        <x:v>yāroḇʿām</x:v>
      </x:c>
      <x:c r="E51" s="20" t="str">
        <x:v>Jarobam, the name of two Israelite kings</x:v>
      </x:c>
      <x:c r="F51" s="20" t="str">
        <x:v>人名</x:v>
      </x:c>
      <x:c r="G51" s="21" t="n">
        <x:v>104</x:v>
      </x:c>
      <x:c r="H51" s="21" t="str">
        <x:v>H3379</x:v>
      </x:c>
      <x:c r="I51" s="21" t="str">
        <x:v>自編延伸</x:v>
      </x:c>
    </x:row>
    <x:row r="52" ht="30" customHeight="1">
      <x:c r="A52" s="21" t="n">
        <x:v>605</x:v>
      </x:c>
      <x:c r="B52" s="21" t="n">
        <x:v>31</x:v>
      </x:c>
      <x:c r="C52" s="26" t="str">
        <x:v>אֱדֹם</x:v>
      </x:c>
      <x:c r="D52" s="27" t="str">
        <x:v>ʾĕḏōm</x:v>
      </x:c>
      <x:c r="E52" s="20" t="str">
        <x:v>Edom, the elder twin-brother of Jacob; hence the region (Idumaea) occupied by him</x:v>
      </x:c>
      <x:c r="F52" s="20" t="str">
        <x:v>地名、人名</x:v>
      </x:c>
      <x:c r="G52" s="21" t="n">
        <x:v>100</x:v>
      </x:c>
      <x:c r="H52" s="21" t="str">
        <x:v>H123</x:v>
      </x:c>
      <x:c r="I52" s="21" t="str">
        <x:v>自編延伸</x:v>
      </x:c>
    </x:row>
    <x:row r="53" ht="30" customHeight="1">
      <x:c r="A53" s="21" t="n">
        <x:v>608</x:v>
      </x:c>
      <x:c r="B53" s="21" t="n">
        <x:v>31</x:v>
      </x:c>
      <x:c r="C53" s="26" t="str">
        <x:v>עֵשָׂו</x:v>
      </x:c>
      <x:c r="D53" s="27" t="str">
        <x:v>ʿēśāw</x:v>
      </x:c>
      <x:c r="E53" s="20" t="str">
        <x:v>Esav, a son of Isaac, including his posterity</x:v>
      </x:c>
      <x:c r="F53" s="20" t="str">
        <x:v>人名、民族／國族</x:v>
      </x:c>
      <x:c r="G53" s="21" t="n">
        <x:v>97</x:v>
      </x:c>
      <x:c r="H53" s="21" t="str">
        <x:v>H6215</x:v>
      </x:c>
      <x:c r="I53" s="21" t="str">
        <x:v>自編延伸</x:v>
      </x:c>
    </x:row>
    <x:row r="54" ht="30" customHeight="1">
      <x:c r="A54" s="21" t="n">
        <x:v>610</x:v>
      </x:c>
      <x:c r="B54" s="21" t="n">
        <x:v>31</x:v>
      </x:c>
      <x:c r="C54" s="26" t="str">
        <x:v>כְּנַעַן</x:v>
      </x:c>
      <x:c r="D54" s="27" t="str">
        <x:v>kənaʿan</x:v>
      </x:c>
      <x:c r="E54" s="20" t="str">
        <x:v>Kenaan, a son a Ham; also the country inhabited by him</x:v>
      </x:c>
      <x:c r="F54" s="20" t="str">
        <x:v>地名、人名</x:v>
      </x:c>
      <x:c r="G54" s="21" t="n">
        <x:v>94</x:v>
      </x:c>
      <x:c r="H54" s="21" t="str">
        <x:v>H3667</x:v>
      </x:c>
      <x:c r="I54" s="21" t="str">
        <x:v>自編延伸</x:v>
      </x:c>
    </x:row>
    <x:row r="55" ht="30" customHeight="1">
      <x:c r="A55" s="21" t="n">
        <x:v>611</x:v>
      </x:c>
      <x:c r="B55" s="21" t="n">
        <x:v>31</x:v>
      </x:c>
      <x:c r="C55" s="26" t="str">
        <x:v>אַחְאָב</x:v>
      </x:c>
      <x:c r="D55" s="27" t="str">
        <x:v>ʾaḥʾāḇ</x:v>
      </x:c>
      <x:c r="E55" s="20" t="str">
        <x:v>Achab, the name of a king of Israel and of a prophet at Babylon</x:v>
      </x:c>
      <x:c r="F55" s="20" t="str">
        <x:v>人名</x:v>
      </x:c>
      <x:c r="G55" s="21" t="n">
        <x:v>93</x:v>
      </x:c>
      <x:c r="H55" s="21" t="str">
        <x:v>H256</x:v>
      </x:c>
      <x:c r="I55" s="21" t="str">
        <x:v>自編延伸</x:v>
      </x:c>
    </x:row>
    <x:row r="56" ht="30" customHeight="1">
      <x:c r="A56" s="21" t="n">
        <x:v>615</x:v>
      </x:c>
      <x:c r="B56" s="21" t="n">
        <x:v>31</x:v>
      </x:c>
      <x:c r="C56" s="26" t="str">
        <x:v>אֱמֹרִי</x:v>
      </x:c>
      <x:c r="D56" s="27" t="str">
        <x:v>ʾĕmōrî</x:v>
      </x:c>
      <x:c r="E56" s="20" t="str">
        <x:v>an Emorite, one of the Canaanitish tribes</x:v>
      </x:c>
      <x:c r="F56" s="20" t="str">
        <x:v>民族／國族</x:v>
      </x:c>
      <x:c r="G56" s="21" t="n">
        <x:v>87</x:v>
      </x:c>
      <x:c r="H56" s="21" t="str">
        <x:v>H567</x:v>
      </x:c>
      <x:c r="I56" s="21" t="str">
        <x:v>自編延伸</x:v>
      </x:c>
    </x:row>
    <x:row r="57" ht="30" customHeight="1">
      <x:c r="A57" s="21" t="n">
        <x:v>619</x:v>
      </x:c>
      <x:c r="B57" s="21" t="n">
        <x:v>31</x:v>
      </x:c>
      <x:c r="C57" s="26" t="str">
        <x:v>יְהוֹשָׁפָט</x:v>
      </x:c>
      <x:c r="D57" s="27" t="str">
        <x:v>yəhôšāp̄āṭ</x:v>
      </x:c>
      <x:c r="E57" s="20" t="str">
        <x:v>Jehoshaphat, the name of six Israelites; also of a valley near Jerusalem</x:v>
      </x:c>
      <x:c r="F57" s="20" t="str">
        <x:v>人名、地名</x:v>
      </x:c>
      <x:c r="G57" s="21" t="n">
        <x:v>84</x:v>
      </x:c>
      <x:c r="H57" s="21" t="str">
        <x:v>H3092</x:v>
      </x:c>
      <x:c r="I57" s="21" t="str">
        <x:v>自編延伸</x:v>
      </x:c>
    </x:row>
    <x:row r="58" ht="30" customHeight="1">
      <x:c r="A58" s="21" t="n">
        <x:v>620</x:v>
      </x:c>
      <x:c r="B58" s="21" t="n">
        <x:v>31</x:v>
      </x:c>
      <x:c r="C58" s="26" t="str">
        <x:v>בֵּית לֶחֶם</x:v>
      </x:c>
      <x:c r="D58" s="27" t="str">
        <x:v>bêṯ leḥem</x:v>
      </x:c>
      <x:c r="E58" s="20" t="str">
        <x:v>Beth-Lechem, a place in Palestine</x:v>
      </x:c>
      <x:c r="F58" s="20" t="str">
        <x:v>地名</x:v>
      </x:c>
      <x:c r="G58" s="21" t="n">
        <x:v>82</x:v>
      </x:c>
      <x:c r="H58" s="21" t="str">
        <x:v>H1035</x:v>
      </x:c>
      <x:c r="I58" s="21" t="str">
        <x:v>自編延伸</x:v>
      </x:c>
    </x:row>
    <x:row r="59" ht="30" customHeight="1">
      <x:c r="A59" s="21" t="n">
        <x:v>621</x:v>
      </x:c>
      <x:c r="B59" s="21" t="n">
        <x:v>32</x:v>
      </x:c>
      <x:c r="C59" s="26" t="str">
        <x:v>כַּשְׂדִּי</x:v>
      </x:c>
      <x:c r="D59" s="27" t="str">
        <x:v>kaśdî</x:v>
      </x:c>
      <x:c r="E59" s="20" t="str">
        <x:v>a Kasdite, or descendant of Kesed; by implication, a Chaldaean (as if so descended); also an astrologer (as if proverbial of that people</x:v>
      </x:c>
      <x:c r="F59" s="20" t="str">
        <x:v>民族／國族</x:v>
      </x:c>
      <x:c r="G59" s="21" t="n">
        <x:v>82</x:v>
      </x:c>
      <x:c r="H59" s="21" t="str">
        <x:v>H3778</x:v>
      </x:c>
      <x:c r="I59" s="21" t="str">
        <x:v>自編延伸</x:v>
      </x:c>
    </x:row>
    <x:row r="60" ht="30" customHeight="1">
      <x:c r="A60" s="21" t="n">
        <x:v>623</x:v>
      </x:c>
      <x:c r="B60" s="21" t="n">
        <x:v>32</x:v>
      </x:c>
      <x:c r="C60" s="26" t="str">
        <x:v>יְהוּדִי</x:v>
      </x:c>
      <x:c r="D60" s="27" t="str">
        <x:v>yəhûḏî</x:v>
      </x:c>
      <x:c r="E60" s="20" t="str">
        <x:v>a Jehudite (i.e. Judaite or Jew), or descendant of Jehudah (i.e. Judah)</x:v>
      </x:c>
      <x:c r="F60" s="20" t="str">
        <x:v>民族／國族</x:v>
      </x:c>
      <x:c r="G60" s="21" t="n">
        <x:v>81</x:v>
      </x:c>
      <x:c r="H60" s="21" t="str">
        <x:v>H3064</x:v>
      </x:c>
      <x:c r="I60" s="21" t="str">
        <x:v>自編延伸</x:v>
      </x:c>
    </x:row>
    <x:row r="61" ht="30" customHeight="1">
      <x:c r="A61" s="21" t="n">
        <x:v>624</x:v>
      </x:c>
      <x:c r="B61" s="21" t="n">
        <x:v>32</x:v>
      </x:c>
      <x:c r="C61" s="26" t="str">
        <x:v>בַּעַל</x:v>
      </x:c>
      <x:c r="D61" s="27" t="str">
        <x:v>baʿal</x:v>
      </x:c>
      <x:c r="E61" s="20" t="str">
        <x:v>Baal, a Phoenician deity</x:v>
      </x:c>
      <x:c r="F61" s="20" t="str">
        <x:v>神名／稱號</x:v>
      </x:c>
      <x:c r="G61" s="21" t="n">
        <x:v>80</x:v>
      </x:c>
      <x:c r="H61" s="21" t="str">
        <x:v>H1168</x:v>
      </x:c>
      <x:c r="I61" s="21" t="str">
        <x:v>自編延伸</x:v>
      </x:c>
    </x:row>
    <x:row r="62" ht="30" customHeight="1">
      <x:c r="A62" s="21" t="n">
        <x:v>625</x:v>
      </x:c>
      <x:c r="B62" s="21" t="n">
        <x:v>32</x:v>
      </x:c>
      <x:c r="C62" s="26" t="str">
        <x:v>יְהוֹנָתָן</x:v>
      </x:c>
      <x:c r="D62" s="27" t="str">
        <x:v>yəhônāṯān</x:v>
      </x:c>
      <x:c r="E62" s="20" t="str">
        <x:v>Jehonathan, the name of four Israelites</x:v>
      </x:c>
      <x:c r="F62" s="20" t="str">
        <x:v>人名</x:v>
      </x:c>
      <x:c r="G62" s="21" t="n">
        <x:v>80</x:v>
      </x:c>
      <x:c r="H62" s="21" t="str">
        <x:v>H3083</x:v>
      </x:c>
      <x:c r="I62" s="21" t="str">
        <x:v>自編延伸</x:v>
      </x:c>
    </x:row>
    <x:row r="63" ht="30" customHeight="1">
      <x:c r="A63" s="21" t="n">
        <x:v>627</x:v>
      </x:c>
      <x:c r="B63" s="21" t="n">
        <x:v>32</x:v>
      </x:c>
      <x:c r="C63" s="26" t="str">
        <x:v>מִצְרִי</x:v>
      </x:c>
      <x:c r="D63" s="27" t="str">
        <x:v>miṣrî</x:v>
      </x:c>
      <x:c r="E63" s="20" t="str">
        <x:v>a Mitsrite, or inhabitant of Mitsrajim</x:v>
      </x:c>
      <x:c r="F63" s="20" t="str">
        <x:v>民族／國族</x:v>
      </x:c>
      <x:c r="G63" s="21" t="n">
        <x:v>76</x:v>
      </x:c>
      <x:c r="H63" s="21" t="str">
        <x:v>H4713</x:v>
      </x:c>
      <x:c r="I63" s="21" t="str">
        <x:v>自編延伸</x:v>
      </x:c>
    </x:row>
    <x:row r="64" ht="30" customHeight="1">
      <x:c r="A64" s="21" t="n">
        <x:v>633</x:v>
      </x:c>
      <x:c r="B64" s="21" t="n">
        <x:v>32</x:v>
      </x:c>
      <x:c r="C64" s="26" t="str">
        <x:v>כְּנַעַנִי</x:v>
      </x:c>
      <x:c r="D64" s="27" t="str">
        <x:v>kənaʿanî</x:v>
      </x:c>
      <x:c r="E64" s="20" t="str">
        <x:v>a Kenaanite or inhabitant of Kenaan; by implication, a pedlar (the Canaanites standing for their neighbors the Ishmaelites, who conducted mercantile caravans)</x:v>
      </x:c>
      <x:c r="F64" s="20" t="str">
        <x:v>民族／國族</x:v>
      </x:c>
      <x:c r="G64" s="21" t="n">
        <x:v>73</x:v>
      </x:c>
      <x:c r="H64" s="21" t="str">
        <x:v>H3669</x:v>
      </x:c>
      <x:c r="I64" s="21" t="str">
        <x:v>自編延伸</x:v>
      </x:c>
    </x:row>
    <x:row r="65" ht="30" customHeight="1">
      <x:c r="A65" s="21" t="n">
        <x:v>635</x:v>
      </x:c>
      <x:c r="B65" s="21" t="n">
        <x:v>32</x:v>
      </x:c>
      <x:c r="C65" s="26" t="str">
        <x:v>רְאוּבֵן</x:v>
      </x:c>
      <x:c r="D65" s="27" t="str">
        <x:v>rəʾûḇēn</x:v>
      </x:c>
      <x:c r="E65" s="20" t="str">
        <x:v>Reuben, a son of Jacob</x:v>
      </x:c>
      <x:c r="F65" s="20" t="str">
        <x:v>人名</x:v>
      </x:c>
      <x:c r="G65" s="21" t="n">
        <x:v>72</x:v>
      </x:c>
      <x:c r="H65" s="21" t="str">
        <x:v>H7205</x:v>
      </x:c>
      <x:c r="I65" s="21" t="str">
        <x:v>自編延伸</x:v>
      </x:c>
    </x:row>
    <x:row r="66" ht="30" customHeight="1">
      <x:c r="A66" s="21" t="n">
        <x:v>636</x:v>
      </x:c>
      <x:c r="B66" s="21" t="n">
        <x:v>32</x:v>
      </x:c>
      <x:c r="C66" s="26" t="str">
        <x:v>גָּד</x:v>
      </x:c>
      <x:c r="D66" s="27" t="str">
        <x:v>gāḏ</x:v>
      </x:c>
      <x:c r="E66" s="20" t="str">
        <x:v>Gad, a son of Jacob, including his tribe and its territory; also a prophet</x:v>
      </x:c>
      <x:c r="F66" s="20" t="str">
        <x:v>地名、民族／國族、人名</x:v>
      </x:c>
      <x:c r="G66" s="21" t="n">
        <x:v>72</x:v>
      </x:c>
      <x:c r="H66" s="21" t="str">
        <x:v>H1410</x:v>
      </x:c>
      <x:c r="I66" s="21" t="str">
        <x:v>自編延伸</x:v>
      </x:c>
    </x:row>
    <x:row r="67" ht="30" customHeight="1">
      <x:c r="A67" s="21" t="n">
        <x:v>637</x:v>
      </x:c>
      <x:c r="B67" s="21" t="n">
        <x:v>32</x:v>
      </x:c>
      <x:c r="C67" s="26" t="str">
        <x:v>אֶלְעָזָר</x:v>
      </x:c>
      <x:c r="D67" s="27" t="str">
        <x:v>ʾelʿāzār</x:v>
      </x:c>
      <x:c r="E67" s="20" t="str">
        <x:v>Elazar, the name of seven Israelites</x:v>
      </x:c>
      <x:c r="F67" s="20" t="str">
        <x:v>人名</x:v>
      </x:c>
      <x:c r="G67" s="21" t="n">
        <x:v>72</x:v>
      </x:c>
      <x:c r="H67" s="21" t="str">
        <x:v>H499</x:v>
      </x:c>
      <x:c r="I67" s="21" t="str">
        <x:v>自編延伸</x:v>
      </x:c>
    </x:row>
    <x:row r="68" ht="30" customHeight="1">
      <x:c r="A68" s="21" t="n">
        <x:v>640</x:v>
      </x:c>
      <x:c r="B68" s="21" t="n">
        <x:v>32</x:v>
      </x:c>
      <x:c r="C68" s="26" t="str">
        <x:v>חֶבְרוֹן</x:v>
      </x:c>
      <x:c r="D68" s="27" t="str">
        <x:v>ḥeḇrôn</x:v>
      </x:c>
      <x:c r="E68" s="20" t="str">
        <x:v>Chebron, a place in Palestine, also the name of two Israelites</x:v>
      </x:c>
      <x:c r="F68" s="20" t="str">
        <x:v>人名、地名</x:v>
      </x:c>
      <x:c r="G68" s="21" t="n">
        <x:v>71</x:v>
      </x:c>
      <x:c r="H68" s="21" t="str">
        <x:v>H2275</x:v>
      </x:c>
      <x:c r="I68" s="21" t="str">
        <x:v>自編延伸</x:v>
      </x:c>
    </x:row>
    <x:row r="69" ht="30" customHeight="1">
      <x:c r="A69" s="21" t="n">
        <x:v>641</x:v>
      </x:c>
      <x:c r="B69" s="21" t="n">
        <x:v>33</x:v>
      </x:c>
      <x:c r="C69" s="26" t="str">
        <x:v>אֵלִיָּה</x:v>
      </x:c>
      <x:c r="D69" s="27" t="str">
        <x:v>ʾēliyyâ</x:v>
      </x:c>
      <x:c r="E69" s="20" t="str">
        <x:v>Elijah, the name of the famous prophet and of two other Israelites</x:v>
      </x:c>
      <x:c r="F69" s="20" t="str">
        <x:v>人名</x:v>
      </x:c>
      <x:c r="G69" s="21" t="n">
        <x:v>71</x:v>
      </x:c>
      <x:c r="H69" s="21" t="str">
        <x:v>H452</x:v>
      </x:c>
      <x:c r="I69" s="21" t="str">
        <x:v>自編延伸</x:v>
      </x:c>
    </x:row>
    <x:row r="70" ht="30" customHeight="1">
      <x:c r="A70" s="21" t="n">
        <x:v>642</x:v>
      </x:c>
      <x:c r="B70" s="21" t="n">
        <x:v>33</x:v>
      </x:c>
      <x:c r="C70" s="26" t="str">
        <x:v>לְבָנוֹן</x:v>
      </x:c>
      <x:c r="D70" s="27" t="str">
        <x:v>ləḇānôn</x:v>
      </x:c>
      <x:c r="E70" s="20" t="str">
        <x:v>Lebanon, a mountain range in Palestine</x:v>
      </x:c>
      <x:c r="F70" s="20" t="str">
        <x:v>地名</x:v>
      </x:c>
      <x:c r="G70" s="21" t="n">
        <x:v>71</x:v>
      </x:c>
      <x:c r="H70" s="21" t="str">
        <x:v>H3844</x:v>
      </x:c>
      <x:c r="I70" s="21" t="str">
        <x:v>自編延伸</x:v>
      </x:c>
    </x:row>
    <x:row r="71" ht="30" customHeight="1">
      <x:c r="A71" s="21" t="n">
        <x:v>644</x:v>
      </x:c>
      <x:c r="B71" s="21" t="n">
        <x:v>33</x:v>
      </x:c>
      <x:c r="C71" s="26" t="str">
        <x:v>דָּן</x:v>
      </x:c>
      <x:c r="D71" s="27" t="str">
        <x:v>dān</x:v>
      </x:c>
      <x:c r="E71" s="20" t="str">
        <x:v>Dan, one of the sons of Jacob; also the tribe descended from him, and its territory; likewise a place in Palestine colonized by them</x:v>
      </x:c>
      <x:c r="F71" s="20" t="str">
        <x:v>人名、地名、民族／國族</x:v>
      </x:c>
      <x:c r="G71" s="21" t="n">
        <x:v>70</x:v>
      </x:c>
      <x:c r="H71" s="21" t="str">
        <x:v>H1835</x:v>
      </x:c>
      <x:c r="I71" s="21" t="str">
        <x:v>自編延伸</x:v>
      </x:c>
    </x:row>
    <x:row r="72" ht="30" customHeight="1">
      <x:c r="A72" s="21" t="n">
        <x:v>652</x:v>
      </x:c>
      <x:c r="B72" s="21" t="n">
        <x:v>33</x:v>
      </x:c>
      <x:c r="C72" s="26" t="str">
        <x:v>בְּאֵר שֶׁבַע</x:v>
      </x:c>
      <x:c r="D72" s="27" t="str">
        <x:v>bəʾēr šeḇaʿ</x:v>
      </x:c>
      <x:c r="E72" s="20" t="str">
        <x:v>Beer-Sheba, a place in Palestine</x:v>
      </x:c>
      <x:c r="F72" s="20" t="str">
        <x:v>地名</x:v>
      </x:c>
      <x:c r="G72" s="21" t="n">
        <x:v>68</x:v>
      </x:c>
      <x:c r="H72" s="21" t="str">
        <x:v>H884</x:v>
      </x:c>
      <x:c r="I72" s="21" t="str">
        <x:v>自編延伸</x:v>
      </x:c>
    </x:row>
    <x:row r="73" ht="30" customHeight="1">
      <x:c r="A73" s="21" t="n">
        <x:v>657</x:v>
      </x:c>
      <x:c r="B73" s="21" t="n">
        <x:v>33</x:v>
      </x:c>
      <x:c r="C73" s="26" t="str">
        <x:v>אֲבִימֶלֶךְ</x:v>
      </x:c>
      <x:c r="D73" s="27" t="str">
        <x:v>ʾăḇîmeleḵ</x:v>
      </x:c>
      <x:c r="E73" s="20" t="str">
        <x:v>Abimelek, the name of two Philistine kings and of two Israelites</x:v>
      </x:c>
      <x:c r="F73" s="20" t="str">
        <x:v>人名</x:v>
      </x:c>
      <x:c r="G73" s="21" t="n">
        <x:v>67</x:v>
      </x:c>
      <x:c r="H73" s="21" t="str">
        <x:v>H40</x:v>
      </x:c>
      <x:c r="I73" s="21" t="str">
        <x:v>自編延伸</x:v>
      </x:c>
    </x:row>
    <x:row r="74" ht="30" customHeight="1">
      <x:c r="A74" s="21" t="n">
        <x:v>664</x:v>
      </x:c>
      <x:c r="B74" s="21" t="n">
        <x:v>34</x:v>
      </x:c>
      <x:c r="C74" s="26" t="str">
        <x:v>שְׁאוֹל</x:v>
      </x:c>
      <x:c r="D74" s="27" t="str">
        <x:v>šəʾôl</x:v>
      </x:c>
      <x:c r="E74" s="20" t="str">
        <x:v>Hades or the world of the dead (as if a subterranean retreat), including its accessories and inmates</x:v>
      </x:c>
      <x:c r="F74" s="20" t="str">
        <x:v>地名</x:v>
      </x:c>
      <x:c r="G74" s="21" t="n">
        <x:v>66</x:v>
      </x:c>
      <x:c r="H74" s="21" t="str">
        <x:v>H7585</x:v>
      </x:c>
      <x:c r="I74" s="21" t="str">
        <x:v>自編延伸</x:v>
      </x:c>
    </x:row>
    <x:row r="75" ht="30" customHeight="1">
      <x:c r="A75" s="21" t="n">
        <x:v>675</x:v>
      </x:c>
      <x:c r="B75" s="21" t="n">
        <x:v>34</x:v>
      </x:c>
      <x:c r="C75" s="26" t="str">
        <x:v>יְאֹר</x:v>
      </x:c>
      <x:c r="D75" s="27" t="str">
        <x:v>yəʾōr</x:v>
      </x:c>
      <x:c r="E75" s="20" t="str">
        <x:v>a channel, e.g. a fosse, canal, shaft; specifically the Nile, as the one river of Egypt, including its collateral trenches; also the Tigris, as the main river of Assyria</x:v>
      </x:c>
      <x:c r="F75" s="20" t="str">
        <x:v>地名</x:v>
      </x:c>
      <x:c r="G75" s="21" t="n">
        <x:v>65</x:v>
      </x:c>
      <x:c r="H75" s="21" t="str">
        <x:v>H2975</x:v>
      </x:c>
      <x:c r="I75" s="21" t="str">
        <x:v>自編延伸</x:v>
      </x:c>
    </x:row>
    <x:row r="76" ht="30" customHeight="1">
      <x:c r="A76" s="21" t="n">
        <x:v>676</x:v>
      </x:c>
      <x:c r="B76" s="21" t="n">
        <x:v>34</x:v>
      </x:c>
      <x:c r="C76" s="26" t="str">
        <x:v>לֵוִי</x:v>
      </x:c>
      <x:c r="D76" s="27" t="str">
        <x:v>lēwî</x:v>
      </x:c>
      <x:c r="E76" s="20" t="str">
        <x:v>Levi, a son of Jacob</x:v>
      </x:c>
      <x:c r="F76" s="20" t="str">
        <x:v>人名</x:v>
      </x:c>
      <x:c r="G76" s="21" t="n">
        <x:v>64</x:v>
      </x:c>
      <x:c r="H76" s="21" t="str">
        <x:v>H3878</x:v>
      </x:c>
      <x:c r="I76" s="21" t="str">
        <x:v>自編延伸</x:v>
      </x:c>
    </x:row>
    <x:row r="77" ht="30" customHeight="1">
      <x:c r="A77" s="21" t="n">
        <x:v>679</x:v>
      </x:c>
      <x:c r="B77" s="21" t="n">
        <x:v>34</x:v>
      </x:c>
      <x:c r="C77" s="26" t="str">
        <x:v>צִדְקִיָּה</x:v>
      </x:c>
      <x:c r="D77" s="27" t="str">
        <x:v>ṣiḏqiyyâ</x:v>
      </x:c>
      <x:c r="E77" s="20" t="str">
        <x:v>Tsidkijah, the name of six Israelites</x:v>
      </x:c>
      <x:c r="F77" s="20" t="str">
        <x:v>人名</x:v>
      </x:c>
      <x:c r="G77" s="21" t="n">
        <x:v>63</x:v>
      </x:c>
      <x:c r="H77" s="21" t="str">
        <x:v>H6667</x:v>
      </x:c>
      <x:c r="I77" s="21" t="str">
        <x:v>自編延伸</x:v>
      </x:c>
    </x:row>
    <x:row r="78" ht="30" customHeight="1">
      <x:c r="A78" s="21" t="n">
        <x:v>682</x:v>
      </x:c>
      <x:c r="B78" s="21" t="n">
        <x:v>35</x:v>
      </x:c>
      <x:c r="C78" s="26" t="str">
        <x:v>שְׁכֶם</x:v>
      </x:c>
      <x:c r="D78" s="27" t="str">
        <x:v>šəḵem</x:v>
      </x:c>
      <x:c r="E78" s="20" t="str">
        <x:v>Shekem, a place in Palestine</x:v>
      </x:c>
      <x:c r="F78" s="20" t="str">
        <x:v>地名</x:v>
      </x:c>
      <x:c r="G78" s="21" t="n">
        <x:v>63</x:v>
      </x:c>
      <x:c r="H78" s="21" t="str">
        <x:v>H7927</x:v>
      </x:c>
      <x:c r="I78" s="21" t="str">
        <x:v>自編延伸</x:v>
      </x:c>
    </x:row>
    <x:row r="79" ht="30" customHeight="1">
      <x:c r="A79" s="21" t="n">
        <x:v>683</x:v>
      </x:c>
      <x:c r="B79" s="21" t="n">
        <x:v>35</x:v>
      </x:c>
      <x:c r="C79" s="26" t="str">
        <x:v>אַבְנֵר</x:v>
      </x:c>
      <x:c r="D79" s="27" t="str">
        <x:v>ʾaḇnēr</x:v>
      </x:c>
      <x:c r="E79" s="20" t="str">
        <x:v>Abner, an Israelite</x:v>
      </x:c>
      <x:c r="F79" s="20" t="str">
        <x:v>人名</x:v>
      </x:c>
      <x:c r="G79" s="21" t="n">
        <x:v>63</x:v>
      </x:c>
      <x:c r="H79" s="21" t="str">
        <x:v>H74</x:v>
      </x:c>
      <x:c r="I79" s="21" t="str">
        <x:v>自編延伸</x:v>
      </x:c>
    </x:row>
    <x:row r="80" ht="30" customHeight="1">
      <x:c r="A80" s="21" t="n">
        <x:v>692</x:v>
      </x:c>
      <x:c r="B80" s="21" t="n">
        <x:v>35</x:v>
      </x:c>
      <x:c r="C80" s="26" t="str">
        <x:v>אַבְרָם</x:v>
      </x:c>
      <x:c r="D80" s="27" t="str">
        <x:v>ʾaḇrām</x:v>
      </x:c>
      <x:c r="E80" s="20" t="str">
        <x:v>Abram, the original name of Abraham</x:v>
      </x:c>
      <x:c r="F80" s="20" t="str">
        <x:v>人名</x:v>
      </x:c>
      <x:c r="G80" s="21" t="n">
        <x:v>61</x:v>
      </x:c>
      <x:c r="H80" s="21" t="str">
        <x:v>H87</x:v>
      </x:c>
      <x:c r="I80" s="21" t="str">
        <x:v>自編延伸</x:v>
      </x:c>
    </x:row>
    <x:row r="81" ht="30" customHeight="1">
      <x:c r="A81" s="21" t="n">
        <x:v>693</x:v>
      </x:c>
      <x:c r="B81" s="21" t="n">
        <x:v>35</x:v>
      </x:c>
      <x:c r="C81" s="26" t="str">
        <x:v>בִּלְעָם</x:v>
      </x:c>
      <x:c r="D81" s="27" t="str">
        <x:v>bilʿām</x:v>
      </x:c>
      <x:c r="E81" s="20" t="str">
        <x:v>Bilam, a Mesopotamian prophet; also a place in Palestine</x:v>
      </x:c>
      <x:c r="F81" s="20" t="str">
        <x:v>地名、人名</x:v>
      </x:c>
      <x:c r="G81" s="21" t="n">
        <x:v>61</x:v>
      </x:c>
      <x:c r="H81" s="21" t="str">
        <x:v>H1109</x:v>
      </x:c>
      <x:c r="I81" s="21" t="str">
        <x:v>自編延伸</x:v>
      </x:c>
    </x:row>
    <x:row r="82" ht="30" customHeight="1">
      <x:c r="A82" s="21" t="n">
        <x:v>701</x:v>
      </x:c>
      <x:c r="B82" s="21" t="n">
        <x:v>36</x:v>
      </x:c>
      <x:c r="C82" s="26" t="str">
        <x:v>בָּשָׁן</x:v>
      </x:c>
      <x:c r="D82" s="27" t="str">
        <x:v>bāšān</x:v>
      </x:c>
      <x:c r="E82" s="20" t="str">
        <x:v>Bashan (often with the article), a region East of the Jordan</x:v>
      </x:c>
      <x:c r="F82" s="20" t="str">
        <x:v>地名</x:v>
      </x:c>
      <x:c r="G82" s="21" t="n">
        <x:v>60</x:v>
      </x:c>
      <x:c r="H82" s="21" t="str">
        <x:v>H1316</x:v>
      </x:c>
      <x:c r="I82" s="21" t="str">
        <x:v>自編延伸</x:v>
      </x:c>
    </x:row>
    <x:row r="83" ht="30" customHeight="1">
      <x:c r="A83" s="21" t="n">
        <x:v>702</x:v>
      </x:c>
      <x:c r="B83" s="21" t="n">
        <x:v>36</x:v>
      </x:c>
      <x:c r="C83" s="26" t="str">
        <x:v>נְבוּכַדְנֶאצַּר</x:v>
      </x:c>
      <x:c r="D83" s="27" t="str">
        <x:v>nəḇûḵaḏneʾṣṣar</x:v>
      </x:c>
      <x:c r="E83" s="20" t="str">
        <x:v>Nebukadnetstsar (or -retstsar, or -retstsor), king of Babylon</x:v>
      </x:c>
      <x:c r="F83" s="20" t="str">
        <x:v>人名</x:v>
      </x:c>
      <x:c r="G83" s="21" t="n">
        <x:v>60</x:v>
      </x:c>
      <x:c r="H83" s="21" t="str">
        <x:v>H5019</x:v>
      </x:c>
      <x:c r="I83" s="21" t="str">
        <x:v>自編延伸</x:v>
      </x:c>
    </x:row>
    <x:row r="84" ht="30" customHeight="1">
      <x:c r="A84" s="21" t="n">
        <x:v>707</x:v>
      </x:c>
      <x:c r="B84" s="21" t="n">
        <x:v>36</x:v>
      </x:c>
      <x:c r="C84" s="26" t="str">
        <x:v>מׇרְדְּכַי</x:v>
      </x:c>
      <x:c r="D84" s="27" t="str">
        <x:v>mordəḵay</x:v>
      </x:c>
      <x:c r="E84" s="20" t="str">
        <x:v>Mordecai, an Israelite</x:v>
      </x:c>
      <x:c r="F84" s="20" t="str">
        <x:v>人名</x:v>
      </x:c>
      <x:c r="G84" s="21" t="n">
        <x:v>60</x:v>
      </x:c>
      <x:c r="H84" s="21" t="str">
        <x:v>H4782</x:v>
      </x:c>
      <x:c r="I84" s="21" t="str">
        <x:v>自編延伸</x:v>
      </x:c>
    </x:row>
    <x:row r="85" ht="30" customHeight="1">
      <x:c r="A85" s="21" t="n">
        <x:v>709</x:v>
      </x:c>
      <x:c r="B85" s="21" t="n">
        <x:v>36</x:v>
      </x:c>
      <x:c r="C85" s="26" t="str">
        <x:v>מִדְיָן</x:v>
      </x:c>
      <x:c r="D85" s="27" t="str">
        <x:v>miḏyān</x:v>
      </x:c>
      <x:c r="E85" s="20" t="str">
        <x:v>Midjan, a son of Abraham; also his country and (collectively) his descendants</x:v>
      </x:c>
      <x:c r="F85" s="20" t="str">
        <x:v>人名、地名、民族／國族</x:v>
      </x:c>
      <x:c r="G85" s="21" t="n">
        <x:v>59</x:v>
      </x:c>
      <x:c r="H85" s="21" t="str">
        <x:v>H4080</x:v>
      </x:c>
      <x:c r="I85" s="21" t="str">
        <x:v>自編延伸</x:v>
      </x:c>
    </x:row>
    <x:row r="86" ht="30" customHeight="1">
      <x:c r="A86" s="21" t="n">
        <x:v>720</x:v>
      </x:c>
      <x:c r="B86" s="21" t="n">
        <x:v>36</x:v>
      </x:c>
      <x:c r="C86" s="26" t="str">
        <x:v>יֵהוּא</x:v>
      </x:c>
      <x:c r="D86" s="27" t="str">
        <x:v>yēhûʾ</x:v>
      </x:c>
      <x:c r="E86" s="20" t="str">
        <x:v>Jehu, the name of five Israelites</x:v>
      </x:c>
      <x:c r="F86" s="20" t="str">
        <x:v>人名</x:v>
      </x:c>
      <x:c r="G86" s="21" t="n">
        <x:v>58</x:v>
      </x:c>
      <x:c r="H86" s="21" t="str">
        <x:v>H3058</x:v>
      </x:c>
      <x:c r="I86" s="21" t="str">
        <x:v>自編延伸</x:v>
      </x:c>
    </x:row>
    <x:row r="87" ht="30" customHeight="1">
      <x:c r="A87" s="21" t="n">
        <x:v>722</x:v>
      </x:c>
      <x:c r="B87" s="21" t="n">
        <x:v>37</x:v>
      </x:c>
      <x:c r="C87" s="26" t="str">
        <x:v>אָסָא</x:v>
      </x:c>
      <x:c r="D87" s="27" t="str">
        <x:v>ʾāsāʾ</x:v>
      </x:c>
      <x:c r="E87" s="20" t="str">
        <x:v>Asa, the name of a king and of a Levite</x:v>
      </x:c>
      <x:c r="F87" s="20" t="str">
        <x:v>人名</x:v>
      </x:c>
      <x:c r="G87" s="21" t="n">
        <x:v>58</x:v>
      </x:c>
      <x:c r="H87" s="21" t="str">
        <x:v>H609</x:v>
      </x:c>
      <x:c r="I87" s="21" t="str">
        <x:v>自編延伸</x:v>
      </x:c>
    </x:row>
    <x:row r="88" ht="30" customHeight="1">
      <x:c r="A88" s="21" t="n">
        <x:v>725</x:v>
      </x:c>
      <x:c r="B88" s="21" t="n">
        <x:v>37</x:v>
      </x:c>
      <x:c r="C88" s="26" t="str">
        <x:v>אֱלִישָׁע</x:v>
      </x:c>
      <x:c r="D88" s="27" t="str">
        <x:v>ʾĕlîšāʿ</x:v>
      </x:c>
      <x:c r="E88" s="20" t="str">
        <x:v>Elisha, the famous prophet</x:v>
      </x:c>
      <x:c r="F88" s="20" t="str">
        <x:v>人名</x:v>
      </x:c>
      <x:c r="G88" s="21" t="n">
        <x:v>58</x:v>
      </x:c>
      <x:c r="H88" s="21" t="str">
        <x:v>H477</x:v>
      </x:c>
      <x:c r="I88" s="21" t="str">
        <x:v>自編延伸</x:v>
      </x:c>
    </x:row>
    <x:row r="89" ht="30" customHeight="1">
      <x:c r="A89" s="21" t="n">
        <x:v>730</x:v>
      </x:c>
      <x:c r="B89" s="21" t="n">
        <x:v>37</x:v>
      </x:c>
      <x:c r="C89" s="26" t="str">
        <x:v>אִיּוֹב</x:v>
      </x:c>
      <x:c r="D89" s="27" t="str">
        <x:v>ʾîôḇ</x:v>
      </x:c>
      <x:c r="E89" s="20" t="str">
        <x:v>Ijob, the patriarch famous for his patience</x:v>
      </x:c>
      <x:c r="F89" s="20" t="str">
        <x:v>人名</x:v>
      </x:c>
      <x:c r="G89" s="21" t="n">
        <x:v>58</x:v>
      </x:c>
      <x:c r="H89" s="21" t="str">
        <x:v>H347</x:v>
      </x:c>
      <x:c r="I89" s="21" t="str">
        <x:v>自編延伸</x:v>
      </x:c>
    </x:row>
    <x:row r="90" ht="30" customHeight="1">
      <x:c r="A90" s="21" t="n">
        <x:v>732</x:v>
      </x:c>
      <x:c r="B90" s="21" t="n">
        <x:v>37</x:v>
      </x:c>
      <x:c r="C90" s="26" t="str">
        <x:v>יְרִיחוֹ</x:v>
      </x:c>
      <x:c r="D90" s="27" t="str">
        <x:v>yərîḥô</x:v>
      </x:c>
      <x:c r="E90" s="20" t="str">
        <x:v>Jericho or Jerecho, a place in Palestine</x:v>
      </x:c>
      <x:c r="F90" s="20" t="str">
        <x:v>地名</x:v>
      </x:c>
      <x:c r="G90" s="21" t="n">
        <x:v>57</x:v>
      </x:c>
      <x:c r="H90" s="21" t="str">
        <x:v>H3405</x:v>
      </x:c>
      <x:c r="I90" s="21" t="str">
        <x:v>自編延伸</x:v>
      </x:c>
    </x:row>
    <x:row r="91" ht="30" customHeight="1">
      <x:c r="A91" s="21" t="n">
        <x:v>751</x:v>
      </x:c>
      <x:c r="B91" s="21" t="n">
        <x:v>38</x:v>
      </x:c>
      <x:c r="C91" s="26" t="str">
        <x:v>לָבָן</x:v>
      </x:c>
      <x:c r="D91" s="27" t="str">
        <x:v>lāḇān</x:v>
      </x:c>
      <x:c r="E91" s="20" t="str">
        <x:v>Laban, a Mesopotamian; also a place in the Desert</x:v>
      </x:c>
      <x:c r="F91" s="20" t="str">
        <x:v>人名、地名</x:v>
      </x:c>
      <x:c r="G91" s="21" t="n">
        <x:v>55</x:v>
      </x:c>
      <x:c r="H91" s="21" t="str">
        <x:v>H3837</x:v>
      </x:c>
      <x:c r="I91" s="21" t="str">
        <x:v>自編延伸</x:v>
      </x:c>
    </x:row>
    <x:row r="92" ht="30" customHeight="1">
      <x:c r="A92" s="21" t="n">
        <x:v>753</x:v>
      </x:c>
      <x:c r="B92" s="21" t="n">
        <x:v>38</x:v>
      </x:c>
      <x:c r="C92" s="26" t="str">
        <x:v>אֶסְתֵּר</x:v>
      </x:c>
      <x:c r="D92" s="27" t="str">
        <x:v>ʾestēr</x:v>
      </x:c>
      <x:c r="E92" s="20" t="str">
        <x:v>Ester, the Jewish heroine</x:v>
      </x:c>
      <x:c r="F92" s="20" t="str">
        <x:v>人名</x:v>
      </x:c>
      <x:c r="G92" s="21" t="n">
        <x:v>55</x:v>
      </x:c>
      <x:c r="H92" s="21" t="str">
        <x:v>H635</x:v>
      </x:c>
      <x:c r="I92" s="21" t="str">
        <x:v>自編延伸</x:v>
      </x:c>
    </x:row>
    <x:row r="93" ht="30" customHeight="1">
      <x:c r="A93" s="21" t="n">
        <x:v>766</x:v>
      </x:c>
      <x:c r="B93" s="21" t="n">
        <x:v>39</x:v>
      </x:c>
      <x:c r="C93" s="26" t="str">
        <x:v>הָמָן</x:v>
      </x:c>
      <x:c r="D93" s="27" t="str">
        <x:v>hāmān</x:v>
      </x:c>
      <x:c r="E93" s="20" t="str">
        <x:v>Haman, a Persian vizier</x:v>
      </x:c>
      <x:c r="F93" s="20" t="str">
        <x:v>人名</x:v>
      </x:c>
      <x:c r="G93" s="21" t="n">
        <x:v>54</x:v>
      </x:c>
      <x:c r="H93" s="21" t="str">
        <x:v>H2001</x:v>
      </x:c>
      <x:c r="I93" s="21" t="str">
        <x:v>自編延伸</x:v>
      </x:c>
    </x:row>
    <x:row r="94" ht="30" customHeight="1">
      <x:c r="A94" s="21" t="n">
        <x:v>767</x:v>
      </x:c>
      <x:c r="B94" s="21" t="n">
        <x:v>39</x:v>
      </x:c>
      <x:c r="C94" s="26" t="str">
        <x:v>יֹאשִׁיָּה</x:v>
      </x:c>
      <x:c r="D94" s="27" t="str">
        <x:v>yōʾšiyyâ</x:v>
      </x:c>
      <x:c r="E94" s="20" t="str">
        <x:v>Joshijah, the name of two Israelites</x:v>
      </x:c>
      <x:c r="F94" s="20" t="str">
        <x:v>人名</x:v>
      </x:c>
      <x:c r="G94" s="21" t="n">
        <x:v>53</x:v>
      </x:c>
      <x:c r="H94" s="21" t="str">
        <x:v>H2977</x:v>
      </x:c>
      <x:c r="I94" s="21" t="str">
        <x:v>自編延伸</x:v>
      </x:c>
    </x:row>
    <x:row r="95" ht="30" customHeight="1">
      <x:c r="A95" s="21" t="n">
        <x:v>768</x:v>
      </x:c>
      <x:c r="B95" s="21" t="n">
        <x:v>39</x:v>
      </x:c>
      <x:c r="C95" s="26" t="str">
        <x:v>צָדוֹק</x:v>
      </x:c>
      <x:c r="D95" s="27" t="str">
        <x:v>ṣāḏôq</x:v>
      </x:c>
      <x:c r="E95" s="20" t="str">
        <x:v>Tsadok, the name of eight or nine Israelites</x:v>
      </x:c>
      <x:c r="F95" s="20" t="str">
        <x:v>人名</x:v>
      </x:c>
      <x:c r="G95" s="21" t="n">
        <x:v>53</x:v>
      </x:c>
      <x:c r="H95" s="21" t="str">
        <x:v>H6659</x:v>
      </x:c>
      <x:c r="I95" s="21" t="str">
        <x:v>自編延伸</x:v>
      </x:c>
    </x:row>
    <x:row r="96" ht="30" customHeight="1">
      <x:c r="A96" s="21" t="n">
        <x:v>780</x:v>
      </x:c>
      <x:c r="B96" s="21" t="n">
        <x:v>39</x:v>
      </x:c>
      <x:c r="C96" s="26" t="str">
        <x:v>נַפְתָּלִי</x:v>
      </x:c>
      <x:c r="D96" s="27" t="str">
        <x:v>nap̄tālî</x:v>
      </x:c>
      <x:c r="E96" s="20" t="str">
        <x:v>Naphtali, a son of Jacob, with the tribe descended from him, and its territory</x:v>
      </x:c>
      <x:c r="F96" s="20" t="str">
        <x:v>地名、民族／國族、人名</x:v>
      </x:c>
      <x:c r="G96" s="21" t="n">
        <x:v>51</x:v>
      </x:c>
      <x:c r="H96" s="21" t="str">
        <x:v>H5321</x:v>
      </x:c>
      <x:c r="I96" s="21" t="str">
        <x:v>自編延伸</x:v>
      </x:c>
    </x:row>
    <x:row r="97" ht="30" customHeight="1">
      <x:c r="A97" s="21" t="n">
        <x:v>783</x:v>
      </x:c>
      <x:c r="B97" s="21" t="n">
        <x:v>40</x:v>
      </x:c>
      <x:c r="C97" s="26" t="str">
        <x:v>יְהוֹיָדָע</x:v>
      </x:c>
      <x:c r="D97" s="27" t="str">
        <x:v>yəhôyāḏāʿ</x:v>
      </x:c>
      <x:c r="E97" s="20" t="str">
        <x:v>Jehojada, the name of three Israelites</x:v>
      </x:c>
      <x:c r="F97" s="20" t="str">
        <x:v>人名</x:v>
      </x:c>
      <x:c r="G97" s="21" t="n">
        <x:v>51</x:v>
      </x:c>
      <x:c r="H97" s="21" t="str">
        <x:v>H3077</x:v>
      </x:c>
      <x:c r="I97" s="21" t="str">
        <x:v>自編延伸</x:v>
      </x:c>
    </x:row>
    <x:row r="98" ht="30" customHeight="1">
      <x:c r="A98" s="21" t="n">
        <x:v>795</x:v>
      </x:c>
      <x:c r="B98" s="21" t="n">
        <x:v>40</x:v>
      </x:c>
      <x:c r="C98" s="26" t="str">
        <x:v>רְחַבְעָם</x:v>
      </x:c>
      <x:c r="D98" s="27" t="str">
        <x:v>rəḥaḇʿām</x:v>
      </x:c>
      <x:c r="E98" s="20" t="str">
        <x:v>Rechabam, an Israelite king</x:v>
      </x:c>
      <x:c r="F98" s="20" t="str">
        <x:v>人名</x:v>
      </x:c>
      <x:c r="G98" s="21" t="n">
        <x:v>50</x:v>
      </x:c>
      <x:c r="H98" s="21" t="str">
        <x:v>H7346</x:v>
      </x:c>
      <x:c r="I98" s="21" t="str">
        <x:v>自編延伸</x:v>
      </x:c>
    </x:row>
    <x:row r="99" ht="30" customHeight="1">
      <x:c r="A99" s="21" t="n">
        <x:v>802</x:v>
      </x:c>
      <x:c r="B99" s="21" t="n">
        <x:v>41</x:v>
      </x:c>
      <x:c r="C99" s="26" t="str">
        <x:v>בֶּן־הֲדַד</x:v>
      </x:c>
      <x:c r="D99" s="27" t="str">
        <x:v>ben-hăḏaḏ</x:v>
      </x:c>
      <x:c r="E99" s="20" t="str">
        <x:v>Ben-Hadad, the name of several Syrian kings</x:v>
      </x:c>
      <x:c r="F99" s="20" t="str">
        <x:v>人名</x:v>
      </x:c>
      <x:c r="G99" s="21" t="n">
        <x:v>50</x:v>
      </x:c>
      <x:c r="H99" s="21" t="str">
        <x:v>H1130</x:v>
      </x:c>
      <x:c r="I99" s="21" t="str">
        <x:v>自編延伸</x:v>
      </x:c>
    </x:row>
    <x:row r="100" ht="30" customHeight="1">
      <x:c r="A100" s="21" t="n">
        <x:v>807</x:v>
      </x:c>
      <x:c r="B100" s="21" t="n">
        <x:v>41</x:v>
      </x:c>
      <x:c r="C100" s="26" t="str">
        <x:v>יָהּ</x:v>
      </x:c>
      <x:c r="D100" s="27" t="str">
        <x:v>yāh</x:v>
      </x:c>
      <x:c r="E100" s="20" t="str">
        <x:v>Jah, the sacred name</x:v>
      </x:c>
      <x:c r="F100" s="20" t="str">
        <x:v>神名／稱號</x:v>
      </x:c>
      <x:c r="G100" s="21" t="n">
        <x:v>50</x:v>
      </x:c>
      <x:c r="H100" s="21" t="str">
        <x:v>H3050</x:v>
      </x:c>
      <x:c r="I100" s="21" t="str">
        <x:v>自編延伸</x:v>
      </x:c>
    </x:row>
    <x:row r="101" ht="30" customHeight="1">
      <x:c r="A101" s="21" t="n">
        <x:v>823</x:v>
      </x:c>
      <x:c r="B101" s="21" t="n">
        <x:v>42</x:v>
      </x:c>
      <x:c r="C101" s="26" t="str">
        <x:v>יִשְׁמָעֵאל</x:v>
      </x:c>
      <x:c r="D101" s="27" t="str">
        <x:v>yišmāʿēʾl</x:v>
      </x:c>
      <x:c r="E101" s="20" t="str">
        <x:v>Jishmael, the name of Abraham's oldest son, and of five Israelites</x:v>
      </x:c>
      <x:c r="F101" s="20" t="str">
        <x:v>人名</x:v>
      </x:c>
      <x:c r="G101" s="21" t="n">
        <x:v>48</x:v>
      </x:c>
      <x:c r="H101" s="21" t="str">
        <x:v>H3458</x:v>
      </x:c>
      <x:c r="I101" s="21" t="str">
        <x:v>自編延伸</x:v>
      </x:c>
    </x:row>
    <x:row r="102" ht="30" customHeight="1">
      <x:c r="A102" s="21" t="n">
        <x:v>824</x:v>
      </x:c>
      <x:c r="B102" s="21" t="n">
        <x:v>42</x:v>
      </x:c>
      <x:c r="C102" s="26" t="str">
        <x:v>עֲזַרְיָה</x:v>
      </x:c>
      <x:c r="D102" s="27" t="str">
        <x:v>ʿăzaryâ</x:v>
      </x:c>
      <x:c r="E102" s="20" t="str">
        <x:v>Azarjah, the name of nineteen Israelites</x:v>
      </x:c>
      <x:c r="F102" s="20" t="str">
        <x:v>人名</x:v>
      </x:c>
      <x:c r="G102" s="21" t="n">
        <x:v>48</x:v>
      </x:c>
      <x:c r="H102" s="21" t="str">
        <x:v>H5838</x:v>
      </x:c>
      <x:c r="I102" s="21" t="str">
        <x:v>自編延伸</x:v>
      </x:c>
    </x:row>
    <x:row r="103" ht="30" customHeight="1">
      <x:c r="A103" s="21" t="n">
        <x:v>828</x:v>
      </x:c>
      <x:c r="B103" s="21" t="n">
        <x:v>42</x:v>
      </x:c>
      <x:c r="C103" s="26" t="str">
        <x:v>חִתִּי</x:v>
      </x:c>
      <x:c r="D103" s="27" t="str">
        <x:v>ḥittî</x:v>
      </x:c>
      <x:c r="E103" s="20" t="str">
        <x:v>a Chittite, or descendant of Cheth</x:v>
      </x:c>
      <x:c r="F103" s="20" t="str">
        <x:v>民族／國族</x:v>
      </x:c>
      <x:c r="G103" s="21" t="n">
        <x:v>48</x:v>
      </x:c>
      <x:c r="H103" s="21" t="str">
        <x:v>H2850</x:v>
      </x:c>
      <x:c r="I103" s="21" t="str">
        <x:v>自編延伸</x:v>
      </x:c>
    </x:row>
    <x:row r="104" ht="30" customHeight="1">
      <x:c r="A104" s="21" t="n">
        <x:v>837</x:v>
      </x:c>
      <x:c r="B104" s="21" t="n">
        <x:v>42</x:v>
      </x:c>
      <x:c r="C104" s="26" t="str">
        <x:v>שַׁדַּי</x:v>
      </x:c>
      <x:c r="D104" s="27" t="str">
        <x:v>šadday</x:v>
      </x:c>
      <x:c r="E104" s="20" t="str">
        <x:v>the Almighty</x:v>
      </x:c>
      <x:c r="F104" s="20" t="str">
        <x:v>神名／稱號</x:v>
      </x:c>
      <x:c r="G104" s="21" t="n">
        <x:v>48</x:v>
      </x:c>
      <x:c r="H104" s="21" t="str">
        <x:v>H7706</x:v>
      </x:c>
      <x:c r="I104" s="21" t="str">
        <x:v>自編延伸</x:v>
      </x:c>
    </x:row>
    <x:row r="105" ht="30" customHeight="1">
      <x:c r="A105" s="21" t="n">
        <x:v>838</x:v>
      </x:c>
      <x:c r="B105" s="21" t="n">
        <x:v>42</x:v>
      </x:c>
      <x:c r="C105" s="26" t="str">
        <x:v>יוֹאָשׁ</x:v>
      </x:c>
      <x:c r="D105" s="27" t="str">
        <x:v>yôʾāš</x:v>
      </x:c>
      <x:c r="E105" s="20" t="str">
        <x:v>Joash, the name of six Israelites</x:v>
      </x:c>
      <x:c r="F105" s="20" t="str">
        <x:v>人名</x:v>
      </x:c>
      <x:c r="G105" s="21" t="n">
        <x:v>47</x:v>
      </x:c>
      <x:c r="H105" s="21" t="str">
        <x:v>H3101</x:v>
      </x:c>
      <x:c r="I105" s="21" t="str">
        <x:v>自編延伸</x:v>
      </x:c>
    </x:row>
    <x:row r="106" ht="30" customHeight="1">
      <x:c r="A106" s="21" t="n">
        <x:v>846</x:v>
      </x:c>
      <x:c r="B106" s="21" t="n">
        <x:v>43</x:v>
      </x:c>
      <x:c r="C106" s="26" t="str">
        <x:v>רָחֵל</x:v>
      </x:c>
      <x:c r="D106" s="27" t="str">
        <x:v>rāḥēl</x:v>
      </x:c>
      <x:c r="E106" s="20" t="str">
        <x:v>Rachel, a wife of Jacob</x:v>
      </x:c>
      <x:c r="F106" s="20" t="str">
        <x:v>專名</x:v>
      </x:c>
      <x:c r="G106" s="21" t="n">
        <x:v>47</x:v>
      </x:c>
      <x:c r="H106" s="21" t="str">
        <x:v>H7354</x:v>
      </x:c>
      <x:c r="I106" s="21" t="str">
        <x:v>自編延伸</x:v>
      </x:c>
    </x:row>
    <x:row r="107" ht="30" customHeight="1">
      <x:c r="A107" s="21" t="n">
        <x:v>849</x:v>
      </x:c>
      <x:c r="B107" s="21" t="n">
        <x:v>43</x:v>
      </x:c>
      <x:c r="C107" s="26" t="str">
        <x:v>נֹחַ</x:v>
      </x:c>
      <x:c r="D107" s="27" t="str">
        <x:v>nōaḥ</x:v>
      </x:c>
      <x:c r="E107" s="20" t="str">
        <x:v>Noach, the patriarch of the flood</x:v>
      </x:c>
      <x:c r="F107" s="20" t="str">
        <x:v>人名</x:v>
      </x:c>
      <x:c r="G107" s="21" t="n">
        <x:v>46</x:v>
      </x:c>
      <x:c r="H107" s="21" t="str">
        <x:v>H5146</x:v>
      </x:c>
      <x:c r="I107" s="21" t="str">
        <x:v>自編延伸</x:v>
      </x:c>
    </x:row>
    <x:row r="108" ht="30" customHeight="1">
      <x:c r="A108" s="21" t="n">
        <x:v>850</x:v>
      </x:c>
      <x:c r="B108" s="21" t="n">
        <x:v>43</x:v>
      </x:c>
      <x:c r="C108" s="26" t="str">
        <x:v>אָסָף</x:v>
      </x:c>
      <x:c r="D108" s="27" t="str">
        <x:v>ʾāsāp̄</x:v>
      </x:c>
      <x:c r="E108" s="20" t="str">
        <x:v>Asaph, the name of three Israelites, and of the family of the first</x:v>
      </x:c>
      <x:c r="F108" s="20" t="str">
        <x:v>人名、民族／國族</x:v>
      </x:c>
      <x:c r="G108" s="21" t="n">
        <x:v>46</x:v>
      </x:c>
      <x:c r="H108" s="21" t="str">
        <x:v>H623</x:v>
      </x:c>
      <x:c r="I108" s="21" t="str">
        <x:v>自編延伸</x:v>
      </x:c>
    </x:row>
    <x:row r="109" ht="30" customHeight="1">
      <x:c r="A109" s="21" t="n">
        <x:v>862</x:v>
      </x:c>
      <x:c r="B109" s="21" t="n">
        <x:v>44</x:v>
      </x:c>
      <x:c r="C109" s="26" t="str">
        <x:v>זְבוּלוּן</x:v>
      </x:c>
      <x:c r="D109" s="27" t="str">
        <x:v>zəḇûlûn</x:v>
      </x:c>
      <x:c r="E109" s="20" t="str">
        <x:v>Zebulon, a son of Jacob; also his territory and tribe</x:v>
      </x:c>
      <x:c r="F109" s="20" t="str">
        <x:v>地名、民族／國族、人名</x:v>
      </x:c>
      <x:c r="G109" s="21" t="n">
        <x:v>45</x:v>
      </x:c>
      <x:c r="H109" s="21" t="str">
        <x:v>H2074</x:v>
      </x:c>
      <x:c r="I109" s="21" t="str">
        <x:v>自編延伸</x:v>
      </x:c>
    </x:row>
    <x:row r="110" ht="30" customHeight="1">
      <x:c r="A110" s="21" t="n">
        <x:v>866</x:v>
      </x:c>
      <x:c r="B110" s="21" t="n">
        <x:v>44</x:v>
      </x:c>
      <x:c r="C110" s="26" t="str">
        <x:v>דַּמֶּשֶׂק</x:v>
      </x:c>
      <x:c r="D110" s="27" t="str">
        <x:v>dammeśeq</x:v>
      </x:c>
      <x:c r="E110" s="20" t="str">
        <x:v>Damascus, a city of Syria</x:v>
      </x:c>
      <x:c r="F110" s="20" t="str">
        <x:v>地名</x:v>
      </x:c>
      <x:c r="G110" s="21" t="n">
        <x:v>45</x:v>
      </x:c>
      <x:c r="H110" s="21" t="str">
        <x:v>H1834</x:v>
      </x:c>
      <x:c r="I110" s="21" t="str">
        <x:v>自編延伸</x:v>
      </x:c>
    </x:row>
    <x:row r="111" ht="30" customHeight="1">
      <x:c r="A111" s="21" t="n">
        <x:v>871</x:v>
      </x:c>
      <x:c r="B111" s="21" t="n">
        <x:v>44</x:v>
      </x:c>
      <x:c r="C111" s="26" t="str">
        <x:v>שִׁמְעוֹן</x:v>
      </x:c>
      <x:c r="D111" s="27" t="str">
        <x:v>šimʿôn</x:v>
      </x:c>
      <x:c r="E111" s="20" t="str">
        <x:v>Shimon, one of Jacob's sons, also the tribe descended from him</x:v>
      </x:c>
      <x:c r="F111" s="20" t="str">
        <x:v>人名、民族／國族</x:v>
      </x:c>
      <x:c r="G111" s="21" t="n">
        <x:v>44</x:v>
      </x:c>
      <x:c r="H111" s="21" t="str">
        <x:v>H8095</x:v>
      </x:c>
      <x:c r="I111" s="21" t="str">
        <x:v>自編延伸</x:v>
      </x:c>
    </x:row>
    <x:row r="112" ht="30" customHeight="1">
      <x:c r="A112" s="21" t="n">
        <x:v>872</x:v>
      </x:c>
      <x:c r="B112" s="21" t="n">
        <x:v>44</x:v>
      </x:c>
      <x:c r="C112" s="26" t="str">
        <x:v>יוֹנָתָן</x:v>
      </x:c>
      <x:c r="D112" s="27" t="str">
        <x:v>yônāṯān</x:v>
      </x:c>
      <x:c r="E112" s="20" t="str">
        <x:v>Jonathan, the name of ten Israelites</x:v>
      </x:c>
      <x:c r="F112" s="20" t="str">
        <x:v>人名</x:v>
      </x:c>
      <x:c r="G112" s="21" t="n">
        <x:v>44</x:v>
      </x:c>
      <x:c r="H112" s="21" t="str">
        <x:v>H3129</x:v>
      </x:c>
      <x:c r="I112" s="21" t="str">
        <x:v>自編延伸</x:v>
      </x:c>
    </x:row>
    <x:row r="113" ht="30" customHeight="1">
      <x:c r="A113" s="21" t="n">
        <x:v>873</x:v>
      </x:c>
      <x:c r="B113" s="21" t="n">
        <x:v>44</x:v>
      </x:c>
      <x:c r="C113" s="26" t="str">
        <x:v>שִׁמְעִי</x:v>
      </x:c>
      <x:c r="D113" s="27" t="str">
        <x:v>šimʿî</x:v>
      </x:c>
      <x:c r="E113" s="20" t="str">
        <x:v>Shimi, the name of twenty Israelites</x:v>
      </x:c>
      <x:c r="F113" s="20" t="str">
        <x:v>人名</x:v>
      </x:c>
      <x:c r="G113" s="21" t="n">
        <x:v>44</x:v>
      </x:c>
      <x:c r="H113" s="21" t="str">
        <x:v>H8096</x:v>
      </x:c>
      <x:c r="I113" s="21" t="str">
        <x:v>自編延伸</x:v>
      </x:c>
    </x:row>
    <x:row r="114" ht="30" customHeight="1">
      <x:c r="A114" s="21" t="n">
        <x:v>888</x:v>
      </x:c>
      <x:c r="B114" s="21" t="n">
        <x:v>45</x:v>
      </x:c>
      <x:c r="C114" s="26" t="str">
        <x:v>אָשֵׁר</x:v>
      </x:c>
      <x:c r="D114" s="27" t="str">
        <x:v>ʾāšēr</x:v>
      </x:c>
      <x:c r="E114" s="20" t="str">
        <x:v>happy; Asher, a son of Jacob, and the tribe descended from him, with its territory; also a place in Palestine</x:v>
      </x:c>
      <x:c r="F114" s="20" t="str">
        <x:v>地名、民族／國族、人名</x:v>
      </x:c>
      <x:c r="G114" s="21" t="n">
        <x:v>43</x:v>
      </x:c>
      <x:c r="H114" s="21" t="str">
        <x:v>H836</x:v>
      </x:c>
      <x:c r="I114" s="21" t="str">
        <x:v>自編延伸</x:v>
      </x:c>
    </x:row>
    <x:row r="115" ht="30" customHeight="1">
      <x:c r="A115" s="21" t="n">
        <x:v>892</x:v>
      </x:c>
      <x:c r="B115" s="21" t="n">
        <x:v>45</x:v>
      </x:c>
      <x:c r="C115" s="26" t="str">
        <x:v>גִּבְעָה</x:v>
      </x:c>
      <x:c r="D115" s="27" t="str">
        <x:v>giḇʿâ</x:v>
      </x:c>
      <x:c r="E115" s="20" t="str">
        <x:v>Gibah; the name of three places in Palestine</x:v>
      </x:c>
      <x:c r="F115" s="20" t="str">
        <x:v>地名</x:v>
      </x:c>
      <x:c r="G115" s="21" t="n">
        <x:v>43</x:v>
      </x:c>
      <x:c r="H115" s="21" t="str">
        <x:v>H1390</x:v>
      </x:c>
      <x:c r="I115" s="21" t="str">
        <x:v>自編延伸</x:v>
      </x:c>
    </x:row>
    <x:row r="116" ht="30" customHeight="1">
      <x:c r="A116" s="21" t="n">
        <x:v>911</x:v>
      </x:c>
      <x:c r="B116" s="21" t="n">
        <x:v>46</x:v>
      </x:c>
      <x:c r="C116" s="26" t="str">
        <x:v>בָּלָק</x:v>
      </x:c>
      <x:c r="D116" s="27" t="str">
        <x:v>bālāq</x:v>
      </x:c>
      <x:c r="E116" s="20" t="str">
        <x:v>Balak, a Moabitish king</x:v>
      </x:c>
      <x:c r="F116" s="20" t="str">
        <x:v>人名</x:v>
      </x:c>
      <x:c r="G116" s="21" t="n">
        <x:v>43</x:v>
      </x:c>
      <x:c r="H116" s="21" t="str">
        <x:v>H1111</x:v>
      </x:c>
      <x:c r="I116" s="21" t="str">
        <x:v>自編延伸</x:v>
      </x:c>
    </x:row>
    <x:row r="117" ht="30" customHeight="1">
      <x:c r="A117" s="21" t="n">
        <x:v>912</x:v>
      </x:c>
      <x:c r="B117" s="21" t="n">
        <x:v>46</x:v>
      </x:c>
      <x:c r="C117" s="26" t="str">
        <x:v>יִשַׁי</x:v>
      </x:c>
      <x:c r="D117" s="27" t="str">
        <x:v>yišay</x:v>
      </x:c>
      <x:c r="E117" s="20" t="str">
        <x:v>Jishai, David's father</x:v>
      </x:c>
      <x:c r="F117" s="20" t="str">
        <x:v>人名</x:v>
      </x:c>
      <x:c r="G117" s="21" t="n">
        <x:v>42</x:v>
      </x:c>
      <x:c r="H117" s="21" t="str">
        <x:v>H3448</x:v>
      </x:c>
      <x:c r="I117" s="21" t="str">
        <x:v>自編延伸</x:v>
      </x:c>
    </x:row>
    <x:row r="118" ht="30" customHeight="1">
      <x:c r="A118" s="21" t="n">
        <x:v>913</x:v>
      </x:c>
      <x:c r="B118" s="21" t="n">
        <x:v>46</x:v>
      </x:c>
      <x:c r="C118" s="26" t="str">
        <x:v>נָתָן</x:v>
      </x:c>
      <x:c r="D118" s="27" t="str">
        <x:v>nāṯān</x:v>
      </x:c>
      <x:c r="E118" s="20" t="str">
        <x:v>Nathan, the name of five Israelites</x:v>
      </x:c>
      <x:c r="F118" s="20" t="str">
        <x:v>人名</x:v>
      </x:c>
      <x:c r="G118" s="21" t="n">
        <x:v>42</x:v>
      </x:c>
      <x:c r="H118" s="21" t="str">
        <x:v>H5416</x:v>
      </x:c>
      <x:c r="I118" s="21" t="str">
        <x:v>自編延伸</x:v>
      </x:c>
    </x:row>
    <x:row r="119" ht="30" customHeight="1">
      <x:c r="A119" s="21" t="n">
        <x:v>914</x:v>
      </x:c>
      <x:c r="B119" s="21" t="n">
        <x:v>46</x:v>
      </x:c>
      <x:c r="C119" s="26" t="str">
        <x:v>בְּנָיָה</x:v>
      </x:c>
      <x:c r="D119" s="27" t="str">
        <x:v>bənāyâ</x:v>
      </x:c>
      <x:c r="E119" s="20" t="str">
        <x:v>Benajah, the name of twelve Israelites</x:v>
      </x:c>
      <x:c r="F119" s="20" t="str">
        <x:v>人名</x:v>
      </x:c>
      <x:c r="G119" s="21" t="n">
        <x:v>42</x:v>
      </x:c>
      <x:c r="H119" s="21" t="str">
        <x:v>H1141</x:v>
      </x:c>
      <x:c r="I119" s="21" t="str">
        <x:v>自編延伸</x:v>
      </x:c>
    </x:row>
    <x:row r="120" ht="30" customHeight="1">
      <x:c r="A120" s="21" t="n">
        <x:v>916</x:v>
      </x:c>
      <x:c r="B120" s="21" t="n">
        <x:v>46</x:v>
      </x:c>
      <x:c r="C120" s="26" t="str">
        <x:v>בֵּית שֶׁמֶשׁ</x:v>
      </x:c>
      <x:c r="D120" s="27" t="str">
        <x:v>bêṯ šemeš</x:v>
      </x:c>
      <x:c r="E120" s="20" t="str">
        <x:v>Beth-Shemesh, a place in Palestine</x:v>
      </x:c>
      <x:c r="F120" s="20" t="str">
        <x:v>地名</x:v>
      </x:c>
      <x:c r="G120" s="21" t="n">
        <x:v>42</x:v>
      </x:c>
      <x:c r="H120" s="21" t="str">
        <x:v>H1053</x:v>
      </x:c>
      <x:c r="I120" s="21" t="str">
        <x:v>自編延伸</x:v>
      </x:c>
    </x:row>
    <x:row r="121" ht="30" customHeight="1">
      <x:c r="A121" s="21" t="n">
        <x:v>920</x:v>
      </x:c>
      <x:c r="B121" s="21" t="n">
        <x:v>46</x:v>
      </x:c>
      <x:c r="C121" s="26" t="str">
        <x:v>צֹר</x:v>
      </x:c>
      <x:c r="D121" s="27" t="str">
        <x:v>ṣōr</x:v>
      </x:c>
      <x:c r="E121" s="20" t="str">
        <x:v>Tsor, a place in Palestine</x:v>
      </x:c>
      <x:c r="F121" s="20" t="str">
        <x:v>地名</x:v>
      </x:c>
      <x:c r="G121" s="21" t="n">
        <x:v>42</x:v>
      </x:c>
      <x:c r="H121" s="21" t="str">
        <x:v>H6865</x:v>
      </x:c>
      <x:c r="I121" s="21" t="str">
        <x:v>自編延伸</x:v>
      </x:c>
    </x:row>
    <x:row r="122" ht="30" customHeight="1">
      <x:c r="A122" s="21" t="n">
        <x:v>939</x:v>
      </x:c>
      <x:c r="B122" s="21" t="n">
        <x:v>47</x:v>
      </x:c>
      <x:c r="C122" s="26" t="str">
        <x:v>יְבוּסִי</x:v>
      </x:c>
      <x:c r="D122" s="27" t="str">
        <x:v>yəḇûsî</x:v>
      </x:c>
      <x:c r="E122" s="20" t="str">
        <x:v>a Jebusite or inhabitant of Jebus</x:v>
      </x:c>
      <x:c r="F122" s="20" t="str">
        <x:v>民族／國族</x:v>
      </x:c>
      <x:c r="G122" s="21" t="n">
        <x:v>41</x:v>
      </x:c>
      <x:c r="H122" s="21" t="str">
        <x:v>H2983</x:v>
      </x:c>
      <x:c r="I122" s="21" t="str">
        <x:v>自編延伸</x:v>
      </x:c>
    </x:row>
    <x:row r="123" ht="30" customHeight="1">
      <x:c r="A123" s="21" t="n">
        <x:v>940</x:v>
      </x:c>
      <x:c r="B123" s="21" t="n">
        <x:v>47</x:v>
      </x:c>
      <x:c r="C123" s="26" t="str">
        <x:v>אָחָז</x:v>
      </x:c>
      <x:c r="D123" s="27" t="str">
        <x:v>ʾāḥāz</x:v>
      </x:c>
      <x:c r="E123" s="20" t="str">
        <x:v>Achaz, the name of a Jewish king and of an Israelite</x:v>
      </x:c>
      <x:c r="F123" s="20" t="str">
        <x:v>人名</x:v>
      </x:c>
      <x:c r="G123" s="21" t="n">
        <x:v>41</x:v>
      </x:c>
      <x:c r="H123" s="21" t="str">
        <x:v>H271</x:v>
      </x:c>
      <x:c r="I123" s="21" t="str">
        <x:v>自編延伸</x:v>
      </x:c>
    </x:row>
    <x:row r="124" ht="30" customHeight="1">
      <x:c r="A124" s="21" t="n">
        <x:v>941</x:v>
      </x:c>
      <x:c r="B124" s="21" t="n">
        <x:v>48</x:v>
      </x:c>
      <x:c r="C124" s="26" t="str">
        <x:v>שְׁמַעְיָה</x:v>
      </x:c>
      <x:c r="D124" s="27" t="str">
        <x:v>šəmaʿyâ</x:v>
      </x:c>
      <x:c r="E124" s="20" t="str">
        <x:v>Shemajah, the name of twenty-five Israelites</x:v>
      </x:c>
      <x:c r="F124" s="20" t="str">
        <x:v>人名</x:v>
      </x:c>
      <x:c r="G124" s="21" t="n">
        <x:v>41</x:v>
      </x:c>
      <x:c r="H124" s="21" t="str">
        <x:v>H8098</x:v>
      </x:c>
      <x:c r="I124" s="21" t="str">
        <x:v>自編延伸</x:v>
      </x:c>
    </x:row>
    <x:row r="125" ht="30" customHeight="1">
      <x:c r="A125" s="21" t="n">
        <x:v>942</x:v>
      </x:c>
      <x:c r="B125" s="21" t="n">
        <x:v>48</x:v>
      </x:c>
      <x:c r="C125" s="26" t="str">
        <x:v>זְכַרְיָה</x:v>
      </x:c>
      <x:c r="D125" s="27" t="str">
        <x:v>zəḵaryâ</x:v>
      </x:c>
      <x:c r="E125" s="20" t="str">
        <x:v>Zecarjah, the name of twenty-nine Israelites</x:v>
      </x:c>
      <x:c r="F125" s="20" t="str">
        <x:v>人名</x:v>
      </x:c>
      <x:c r="G125" s="21" t="n">
        <x:v>41</x:v>
      </x:c>
      <x:c r="H125" s="21" t="str">
        <x:v>H2148</x:v>
      </x:c>
      <x:c r="I125" s="21" t="str">
        <x:v>自編延伸</x:v>
      </x:c>
    </x:row>
    <x:row r="126" ht="30" customHeight="1">
      <x:c r="A126" s="21" t="n">
        <x:v>951</x:v>
      </x:c>
      <x:c r="B126" s="21" t="n">
        <x:v>48</x:v>
      </x:c>
      <x:c r="C126" s="26" t="str">
        <x:v>גִּלְגָּל</x:v>
      </x:c>
      <x:c r="D126" s="27" t="str">
        <x:v>gilgāl</x:v>
      </x:c>
      <x:c r="E126" s="20" t="str">
        <x:v>Gilgal, the name of three places in Palestine</x:v>
      </x:c>
      <x:c r="F126" s="20" t="str">
        <x:v>地名</x:v>
      </x:c>
      <x:c r="G126" s="21" t="n">
        <x:v>41</x:v>
      </x:c>
      <x:c r="H126" s="21" t="str">
        <x:v>H1537</x:v>
      </x:c>
      <x:c r="I126" s="21" t="str">
        <x:v>自編延伸</x:v>
      </x:c>
    </x:row>
    <x:row r="127" ht="30" customHeight="1">
      <x:c r="A127" s="21" t="n">
        <x:v>958</x:v>
      </x:c>
      <x:c r="B127" s="21" t="n">
        <x:v>48</x:v>
      </x:c>
      <x:c r="C127" s="26" t="str">
        <x:v>אֲמַצְיָה</x:v>
      </x:c>
      <x:c r="D127" s="27" t="str">
        <x:v>ʾămaṣyâ</x:v>
      </x:c>
      <x:c r="E127" s="20" t="str">
        <x:v>Amatsjah, the name of four Israelites</x:v>
      </x:c>
      <x:c r="F127" s="20" t="str">
        <x:v>人名</x:v>
      </x:c>
      <x:c r="G127" s="21" t="n">
        <x:v>40</x:v>
      </x:c>
      <x:c r="H127" s="21" t="str">
        <x:v>H558</x:v>
      </x:c>
      <x:c r="I127" s="21" t="str">
        <x:v>自編延伸</x:v>
      </x:c>
    </x:row>
    <x:row r="128" ht="30" customHeight="1">
      <x:c r="A128" s="21" t="n">
        <x:v>960</x:v>
      </x:c>
      <x:c r="B128" s="21" t="n">
        <x:v>48</x:v>
      </x:c>
      <x:c r="C128" s="26" t="str">
        <x:v>עֹבֵד אֱדוֹם</x:v>
      </x:c>
      <x:c r="D128" s="27" t="str">
        <x:v>ʿōḇēḏ ʾĕḏôm</x:v>
      </x:c>
      <x:c r="E128" s="20" t="str">
        <x:v>Obed-Edom, the name of five Israelites</x:v>
      </x:c>
      <x:c r="F128" s="20" t="str">
        <x:v>人名</x:v>
      </x:c>
      <x:c r="G128" s="21" t="n">
        <x:v>40</x:v>
      </x:c>
      <x:c r="H128" s="21" t="str">
        <x:v>H5654</x:v>
      </x:c>
      <x:c r="I128" s="21" t="str">
        <x:v>自編延伸</x:v>
      </x:c>
    </x:row>
    <x:row r="129" ht="30" customHeight="1">
      <x:c r="A129" s="21" t="n">
        <x:v>964</x:v>
      </x:c>
      <x:c r="B129" s="21" t="n">
        <x:v>49</x:v>
      </x:c>
      <x:c r="C129" s="26" t="str">
        <x:v>אֲשֵׁרָה</x:v>
      </x:c>
      <x:c r="D129" s="27" t="str">
        <x:v>ʾăšērâ</x:v>
      </x:c>
      <x:c r="E129" s="20" t="str">
        <x:v>Asherah (or Astarte) a Phoenician goddess; also an image of the same</x:v>
      </x:c>
      <x:c r="F129" s="20" t="str">
        <x:v>神名／稱號</x:v>
      </x:c>
      <x:c r="G129" s="21" t="n">
        <x:v>40</x:v>
      </x:c>
      <x:c r="H129" s="21" t="str">
        <x:v>H842</x:v>
      </x:c>
      <x:c r="I129" s="21" t="str">
        <x:v>自編延伸</x:v>
      </x:c>
    </x:row>
    <x:row r="130" ht="30" customHeight="1">
      <x:c r="A130" s="21" t="n">
        <x:v>970</x:v>
      </x:c>
      <x:c r="B130" s="21" t="n">
        <x:v>49</x:v>
      </x:c>
      <x:c r="C130" s="26" t="str">
        <x:v>עַי</x:v>
      </x:c>
      <x:c r="D130" s="27" t="str">
        <x:v>ʿay</x:v>
      </x:c>
      <x:c r="E130" s="20" t="str">
        <x:v>Ai, Aja or Ajath, a place in Palestine</x:v>
      </x:c>
      <x:c r="F130" s="20" t="str">
        <x:v>地名</x:v>
      </x:c>
      <x:c r="G130" s="21" t="n">
        <x:v>40</x:v>
      </x:c>
      <x:c r="H130" s="21" t="str">
        <x:v>H5857</x:v>
      </x:c>
      <x:c r="I130" s="21" t="str">
        <x:v>自編延伸</x:v>
      </x:c>
    </x:row>
    <x:row r="131" ht="30" customHeight="1">
      <x:c r="A131" s="21" t="n">
        <x:v>972</x:v>
      </x:c>
      <x:c r="B131" s="21" t="n">
        <x:v>49</x:v>
      </x:c>
      <x:c r="C131" s="26" t="str">
        <x:v>עֲמָלֵק</x:v>
      </x:c>
      <x:c r="D131" s="27" t="str">
        <x:v>ʿămālēq</x:v>
      </x:c>
      <x:c r="E131" s="20" t="str">
        <x:v>Amalek, a descendant of Esau; also his posterity and their country</x:v>
      </x:c>
      <x:c r="F131" s="20" t="str">
        <x:v>人名、地名、民族／國族</x:v>
      </x:c>
      <x:c r="G131" s="21" t="n">
        <x:v>39</x:v>
      </x:c>
      <x:c r="H131" s="21" t="str">
        <x:v>H6002</x:v>
      </x:c>
      <x:c r="I131" s="21" t="str">
        <x:v>自編延伸</x:v>
      </x:c>
    </x:row>
    <x:row r="132" ht="30" customHeight="1">
      <x:c r="A132" s="21" t="n">
        <x:v>973</x:v>
      </x:c>
      <x:c r="B132" s="21" t="n">
        <x:v>49</x:v>
      </x:c>
      <x:c r="C132" s="26" t="str">
        <x:v>שֵׂעִיר</x:v>
      </x:c>
      <x:c r="D132" s="27" t="str">
        <x:v>śēʿîr</x:v>
      </x:c>
      <x:c r="E132" s="20" t="str">
        <x:v>Seir, a mountain of Idumaea and its aboriginal occupants, also one in Palestine</x:v>
      </x:c>
      <x:c r="F132" s="20" t="str">
        <x:v>地名、民族／國族</x:v>
      </x:c>
      <x:c r="G132" s="21" t="n">
        <x:v>39</x:v>
      </x:c>
      <x:c r="H132" s="21" t="str">
        <x:v>H8165</x:v>
      </x:c>
      <x:c r="I132" s="21" t="str">
        <x:v>自編延伸</x:v>
      </x:c>
    </x:row>
    <x:row r="133" ht="30" customHeight="1">
      <x:c r="A133" s="21" t="n">
        <x:v>974</x:v>
      </x:c>
      <x:c r="B133" s="21" t="n">
        <x:v>49</x:v>
      </x:c>
      <x:c r="C133" s="26" t="str">
        <x:v>קִרְיַת יְעָרִים</x:v>
      </x:c>
      <x:c r="D133" s="27" t="str">
        <x:v>qiryaṯ yəʿārîm</x:v>
      </x:c>
      <x:c r="E133" s="20" t="str">
        <x:v>Kirjath-Jearim or Kirjath-Arim, a place in Palestine</x:v>
      </x:c>
      <x:c r="F133" s="20" t="str">
        <x:v>地名</x:v>
      </x:c>
      <x:c r="G133" s="21" t="n">
        <x:v>39</x:v>
      </x:c>
      <x:c r="H133" s="21" t="str">
        <x:v>H7157</x:v>
      </x:c>
      <x:c r="I133" s="21" t="str">
        <x:v>自編延伸</x:v>
      </x:c>
    </x:row>
    <x:row r="134" ht="30" customHeight="1">
      <x:c r="A134" s="21" t="n">
        <x:v>975</x:v>
      </x:c>
      <x:c r="B134" s="21" t="n">
        <x:v>49</x:v>
      </x:c>
      <x:c r="C134" s="26" t="str">
        <x:v>יְשַׁעְיָה</x:v>
      </x:c>
      <x:c r="D134" s="27" t="str">
        <x:v>yəšaʿyâ</x:v>
      </x:c>
      <x:c r="E134" s="20" t="str">
        <x:v>Jeshajah, the name of seven Israelites</x:v>
      </x:c>
      <x:c r="F134" s="20" t="str">
        <x:v>人名</x:v>
      </x:c>
      <x:c r="G134" s="21" t="n">
        <x:v>39</x:v>
      </x:c>
      <x:c r="H134" s="21" t="str">
        <x:v>H3470</x:v>
      </x:c>
      <x:c r="I134" s="21" t="str">
        <x:v>自編延伸</x:v>
      </x:c>
    </x:row>
    <x:row r="135" ht="30" customHeight="1">
      <x:c r="A135" s="21" t="n">
        <x:v>976</x:v>
      </x:c>
      <x:c r="B135" s="21" t="n">
        <x:v>49</x:v>
      </x:c>
      <x:c r="C135" s="26" t="str">
        <x:v>מְרָרִי</x:v>
      </x:c>
      <x:c r="D135" s="27" t="str">
        <x:v>mərārî</x:v>
      </x:c>
      <x:c r="E135" s="20" t="str">
        <x:v>Merari, an Israelite</x:v>
      </x:c>
      <x:c r="F135" s="20" t="str">
        <x:v>人名</x:v>
      </x:c>
      <x:c r="G135" s="21" t="n">
        <x:v>39</x:v>
      </x:c>
      <x:c r="H135" s="21" t="str">
        <x:v>H4847</x:v>
      </x:c>
      <x:c r="I135" s="21" t="str">
        <x:v>自編延伸</x:v>
      </x:c>
    </x:row>
    <x:row r="136" ht="30" customHeight="1">
      <x:c r="A136" s="21" t="n">
        <x:v>978</x:v>
      </x:c>
      <x:c r="B136" s="21" t="n">
        <x:v>49</x:v>
      </x:c>
      <x:c r="C136" s="26" t="str">
        <x:v>אוּרִיָּה</x:v>
      </x:c>
      <x:c r="D136" s="27" t="str">
        <x:v>ʾûriyyâ</x:v>
      </x:c>
      <x:c r="E136" s="20" t="str">
        <x:v>Urijah, the name of one Hittite and five Israelites</x:v>
      </x:c>
      <x:c r="F136" s="20" t="str">
        <x:v>人名</x:v>
      </x:c>
      <x:c r="G136" s="21" t="n">
        <x:v>39</x:v>
      </x:c>
      <x:c r="H136" s="21" t="str">
        <x:v>H223</x:v>
      </x:c>
      <x:c r="I136" s="21" t="str">
        <x:v>自編延伸</x:v>
      </x:c>
    </x:row>
    <x:row r="137" ht="30" customHeight="1">
      <x:c r="A137" s="21" t="n">
        <x:v>993</x:v>
      </x:c>
      <x:c r="B137" s="21" t="n">
        <x:v>50</x:v>
      </x:c>
      <x:c r="C137" s="26" t="str">
        <x:v>סְדֹם</x:v>
      </x:c>
      <x:c r="D137" s="27" t="str">
        <x:v>səḏōm</x:v>
      </x:c>
      <x:c r="E137" s="20" t="str">
        <x:v>Sedom, a place near the Dead Sea</x:v>
      </x:c>
      <x:c r="F137" s="20" t="str">
        <x:v>地名</x:v>
      </x:c>
      <x:c r="G137" s="21" t="n">
        <x:v>39</x:v>
      </x:c>
      <x:c r="H137" s="21" t="str">
        <x:v>H5467</x:v>
      </x:c>
      <x:c r="I137" s="21" t="str">
        <x:v>自編延伸</x:v>
      </x:c>
    </x:row>
    <x:row r="138" ht="30" customHeight="1">
      <x:c r="A138" s="21" t="n">
        <x:v>994</x:v>
      </x:c>
      <x:c r="B138" s="21" t="n">
        <x:v>50</x:v>
      </x:c>
      <x:c r="C138" s="26" t="str">
        <x:v>גִּדְעוֹן</x:v>
      </x:c>
      <x:c r="D138" s="27" t="str">
        <x:v>giḏʿôn</x:v>
      </x:c>
      <x:c r="E138" s="20" t="str">
        <x:v>Gidon, an Israelite</x:v>
      </x:c>
      <x:c r="F138" s="20" t="str">
        <x:v>人名</x:v>
      </x:c>
      <x:c r="G138" s="21" t="n">
        <x:v>39</x:v>
      </x:c>
      <x:c r="H138" s="21" t="str">
        <x:v>H1439</x:v>
      </x:c>
      <x:c r="I138" s="21" t="str">
        <x:v>自編延伸</x:v>
      </x:c>
    </x:row>
    <x:row r="139" ht="30" customHeight="1">
      <x:c r="A139" s="21" t="n">
        <x:v>996</x:v>
      </x:c>
      <x:c r="B139" s="21" t="n">
        <x:v>50</x:v>
      </x:c>
      <x:c r="C139" s="26" t="str">
        <x:v>חֶשְׁבּוֹן</x:v>
      </x:c>
      <x:c r="D139" s="27" t="str">
        <x:v>ḥešbôn</x:v>
      </x:c>
      <x:c r="E139" s="20" t="str">
        <x:v>Cheshbon, a place East of the Jordan</x:v>
      </x:c>
      <x:c r="F139" s="20" t="str">
        <x:v>地名</x:v>
      </x:c>
      <x:c r="G139" s="21" t="n">
        <x:v>38</x:v>
      </x:c>
      <x:c r="H139" s="21" t="str">
        <x:v>H2809</x:v>
      </x:c>
      <x:c r="I139" s="21" t="str">
        <x:v>自編延伸</x:v>
      </x:c>
    </x:row>
  </x:sheetData>
  <x:mergeCells>
    <x:mergeCell ref="A1:I1"/>
    <x:mergeCell ref="A2:I2"/>
  </x:mergeCells>
  <x:pageMargins left="0.7" right="0.7" top="0.75" bottom="0.75" header="0.3" footer="0.3"/>
  <x:tableParts count="1">
    <x:tablePart xmlns:r="http://schemas.openxmlformats.org/officeDocument/2006/relationships" r:id="Re66d45fbbc3747a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8" hidden="0" customWidth="1"/>
    <x:col min="2" max="2" width="9" hidden="0" customWidth="1"/>
    <x:col min="3" max="3" width="7" hidden="0" customWidth="1"/>
    <x:col min="4" max="4" width="27" hidden="0" customWidth="1"/>
    <x:col min="5" max="5" width="18" hidden="0" customWidth="1"/>
    <x:col min="6" max="6" width="22" hidden="0" customWidth="1"/>
    <x:col min="7" max="7" width="38" hidden="0" customWidth="1"/>
    <x:col min="8" max="8" width="20" hidden="0" customWidth="1"/>
    <x:col min="9" max="9" width="9" hidden="0" customWidth="1"/>
    <x:col min="10" max="10" width="18" hidden="0" customWidth="1"/>
    <x:col min="11" max="11" width="11" hidden="0" customWidth="1"/>
    <x:col min="12" max="12" width="12" hidden="0" customWidth="1"/>
    <x:col min="13" max="13" width="18" hidden="0" customWidth="1"/>
    <x:col min="14" max="14" width="28" hidden="0" customWidth="1"/>
    <x:col min="15" max="15" width="32" hidden="0" customWidth="1"/>
    <x:col min="16" max="16" width="9" hidden="0" customWidth="1"/>
    <x:col min="17" max="17" width="42" hidden="0" customWidth="1"/>
    <x:col min="18" max="18" width="18" hidden="0" customWidth="1"/>
  </x:cols>
  <x:sheetData>
    <x:row r="1" ht="34" customHeight="1">
      <x:c r="A1" s="4" t="str">
        <x:v>聖經希臘文 1000 詞｜Mounce 課序＋頻率延伸</x:v>
      </x:c>
      <x:c r="B1" s="4" t="str">
        <x:v>聖經希臘文 1000 詞｜Mounce 課序＋頻率延伸</x:v>
      </x:c>
      <x:c r="C1" s="4" t="str">
        <x:v>聖經希臘文 1000 詞｜Mounce 課序＋頻率延伸</x:v>
      </x:c>
      <x:c r="D1" s="4" t="str">
        <x:v>聖經希臘文 1000 詞｜Mounce 課序＋頻率延伸</x:v>
      </x:c>
      <x:c r="E1" s="4" t="str">
        <x:v>聖經希臘文 1000 詞｜Mounce 課序＋頻率延伸</x:v>
      </x:c>
      <x:c r="F1" s="4" t="str">
        <x:v>聖經希臘文 1000 詞｜Mounce 課序＋頻率延伸</x:v>
      </x:c>
      <x:c r="G1" s="4" t="str">
        <x:v>聖經希臘文 1000 詞｜Mounce 課序＋頻率延伸</x:v>
      </x:c>
      <x:c r="H1" s="4" t="str">
        <x:v>聖經希臘文 1000 詞｜Mounce 課序＋頻率延伸</x:v>
      </x:c>
      <x:c r="I1" s="4" t="str">
        <x:v>聖經希臘文 1000 詞｜Mounce 課序＋頻率延伸</x:v>
      </x:c>
      <x:c r="J1" s="4" t="str">
        <x:v>聖經希臘文 1000 詞｜Mounce 課序＋頻率延伸</x:v>
      </x:c>
      <x:c r="K1" s="4" t="str">
        <x:v>聖經希臘文 1000 詞｜Mounce 課序＋頻率延伸</x:v>
      </x:c>
      <x:c r="L1" s="4" t="str">
        <x:v>聖經希臘文 1000 詞｜Mounce 課序＋頻率延伸</x:v>
      </x:c>
      <x:c r="M1" s="4" t="str">
        <x:v>聖經希臘文 1000 詞｜Mounce 課序＋頻率延伸</x:v>
      </x:c>
      <x:c r="N1" s="4" t="str">
        <x:v>聖經希臘文 1000 詞｜Mounce 課序＋頻率延伸</x:v>
      </x:c>
      <x:c r="O1" s="4" t="str">
        <x:v>聖經希臘文 1000 詞｜Mounce 課序＋頻率延伸</x:v>
      </x:c>
      <x:c r="P1" s="4" t="str">
        <x:v>聖經希臘文 1000 詞｜Mounce 課序＋頻率延伸</x:v>
      </x:c>
      <x:c r="Q1" s="4" t="str">
        <x:v>聖經希臘文 1000 詞｜Mounce 課序＋頻率延伸</x:v>
      </x:c>
      <x:c r="R1" s="4" t="str">
        <x:v>聖經希臘文 1000 詞｜Mounce 課序＋頻率延伸</x:v>
      </x:c>
    </x:row>
    <x:row r="2" ht="28" customHeight="1">
      <x:c r="A2" s="7" t="str">
        <x:v>依 Mounce 官方 1000 詞 PDF 原序；有 BBG 章碼者維持課本課序，章碼空白者為官方頻率延伸區。每 50 詞編成一個製作組。</x:v>
      </x:c>
      <x:c r="B2" s="7" t="str">
        <x:v>依 Mounce 官方 1000 詞 PDF 原序；有 BBG 章碼者維持課本課序，章碼空白者為官方頻率延伸區。每 50 詞編成一個製作組。</x:v>
      </x:c>
      <x:c r="C2" s="7" t="str">
        <x:v>依 Mounce 官方 1000 詞 PDF 原序；有 BBG 章碼者維持課本課序，章碼空白者為官方頻率延伸區。每 50 詞編成一個製作組。</x:v>
      </x:c>
      <x:c r="D2" s="7" t="str">
        <x:v>依 Mounce 官方 1000 詞 PDF 原序；有 BBG 章碼者維持課本課序，章碼空白者為官方頻率延伸區。每 50 詞編成一個製作組。</x:v>
      </x:c>
      <x:c r="E2" s="7" t="str">
        <x:v>依 Mounce 官方 1000 詞 PDF 原序；有 BBG 章碼者維持課本課序，章碼空白者為官方頻率延伸區。每 50 詞編成一個製作組。</x:v>
      </x:c>
      <x:c r="F2" s="7" t="str">
        <x:v>依 Mounce 官方 1000 詞 PDF 原序；有 BBG 章碼者維持課本課序，章碼空白者為官方頻率延伸區。每 50 詞編成一個製作組。</x:v>
      </x:c>
      <x:c r="G2" s="7" t="str">
        <x:v>依 Mounce 官方 1000 詞 PDF 原序；有 BBG 章碼者維持課本課序，章碼空白者為官方頻率延伸區。每 50 詞編成一個製作組。</x:v>
      </x:c>
      <x:c r="H2" s="7" t="str">
        <x:v>依 Mounce 官方 1000 詞 PDF 原序；有 BBG 章碼者維持課本課序，章碼空白者為官方頻率延伸區。每 50 詞編成一個製作組。</x:v>
      </x:c>
      <x:c r="I2" s="7" t="str">
        <x:v>依 Mounce 官方 1000 詞 PDF 原序；有 BBG 章碼者維持課本課序，章碼空白者為官方頻率延伸區。每 50 詞編成一個製作組。</x:v>
      </x:c>
      <x:c r="J2" s="7" t="str">
        <x:v>依 Mounce 官方 1000 詞 PDF 原序；有 BBG 章碼者維持課本課序，章碼空白者為官方頻率延伸區。每 50 詞編成一個製作組。</x:v>
      </x:c>
      <x:c r="K2" s="7" t="str">
        <x:v>依 Mounce 官方 1000 詞 PDF 原序；有 BBG 章碼者維持課本課序，章碼空白者為官方頻率延伸區。每 50 詞編成一個製作組。</x:v>
      </x:c>
      <x:c r="L2" s="7" t="str">
        <x:v>依 Mounce 官方 1000 詞 PDF 原序；有 BBG 章碼者維持課本課序，章碼空白者為官方頻率延伸區。每 50 詞編成一個製作組。</x:v>
      </x:c>
      <x:c r="M2" s="7" t="str">
        <x:v>依 Mounce 官方 1000 詞 PDF 原序；有 BBG 章碼者維持課本課序，章碼空白者為官方頻率延伸區。每 50 詞編成一個製作組。</x:v>
      </x:c>
      <x:c r="N2" s="7" t="str">
        <x:v>依 Mounce 官方 1000 詞 PDF 原序；有 BBG 章碼者維持課本課序，章碼空白者為官方頻率延伸區。每 50 詞編成一個製作組。</x:v>
      </x:c>
      <x:c r="O2" s="7" t="str">
        <x:v>依 Mounce 官方 1000 詞 PDF 原序；有 BBG 章碼者維持課本課序，章碼空白者為官方頻率延伸區。每 50 詞編成一個製作組。</x:v>
      </x:c>
      <x:c r="P2" s="7" t="str">
        <x:v>依 Mounce 官方 1000 詞 PDF 原序；有 BBG 章碼者維持課本課序，章碼空白者為官方頻率延伸區。每 50 詞編成一個製作組。</x:v>
      </x:c>
      <x:c r="Q2" s="7" t="str">
        <x:v>依 Mounce 官方 1000 詞 PDF 原序；有 BBG 章碼者維持課本課序，章碼空白者為官方頻率延伸區。每 50 詞編成一個製作組。</x:v>
      </x:c>
      <x:c r="R2" s="7" t="str">
        <x:v>依 Mounce 官方 1000 詞 PDF 原序；有 BBG 章碼者維持課本課序，章碼空白者為官方頻率延伸區。每 50 詞編成一個製作組。</x:v>
      </x:c>
    </x:row>
    <x:row r="4" ht="30" customHeight="1">
      <x:c r="A4" s="13" t="str">
        <x:v>總序</x:v>
      </x:c>
      <x:c r="B4" s="13" t="str">
        <x:v>製作組</x:v>
      </x:c>
      <x:c r="C4" s="13" t="str">
        <x:v>組內</x:v>
      </x:c>
      <x:c r="D4" s="13" t="str">
        <x:v>課本詞條</x:v>
      </x:c>
      <x:c r="E4" s="13" t="str">
        <x:v>詞頭</x:v>
      </x:c>
      <x:c r="F4" s="13" t="str">
        <x:v>課本式音標／音譯</x:v>
      </x:c>
      <x:c r="G4" s="13" t="str">
        <x:v>英文義</x:v>
      </x:c>
      <x:c r="H4" s="13" t="str">
        <x:v>中文義（待填）</x:v>
      </x:c>
      <x:c r="I4" s="13" t="str">
        <x:v>BBG 章</x:v>
      </x:c>
      <x:c r="J4" s="13" t="str">
        <x:v>來源區</x:v>
      </x:c>
      <x:c r="K4" s="13" t="str">
        <x:v>Strong</x:v>
      </x:c>
      <x:c r="L4" s="13" t="str">
        <x:v>專名／族名</x:v>
      </x:c>
      <x:c r="M4" s="13" t="str">
        <x:v>專名類型</x:v>
      </x:c>
      <x:c r="N4" s="13" t="str">
        <x:v>詞典核對</x:v>
      </x:c>
      <x:c r="O4" s="13" t="str">
        <x:v>音標核對</x:v>
      </x:c>
      <x:c r="P4" s="13" t="str">
        <x:v>PDF 頁</x:v>
      </x:c>
      <x:c r="Q4" s="13" t="str">
        <x:v>來源 URL</x:v>
      </x:c>
      <x:c r="R4" s="13" t="str">
        <x:v>備註</x:v>
      </x:c>
    </x:row>
    <x:row r="5" ht="28" customHeight="1">
      <x:c r="A5" s="21" t="n">
        <x:v>1</x:v>
      </x:c>
      <x:c r="B5" s="21" t="n">
        <x:f>ROUNDUP(A5/50,0)</x:f>
        <x:v>1</x:v>
      </x:c>
      <x:c r="C5" s="21" t="n">
        <x:f>MOD(A5-1,50)+1</x:f>
        <x:v>1</x:v>
      </x:c>
      <x:c r="D5" s="29" t="str">
        <x:v>ἄγγελος, -ου, ὁ</x:v>
      </x:c>
      <x:c r="E5" s="29" t="str">
        <x:v>ἄγγελος</x:v>
      </x:c>
      <x:c r="F5" s="27" t="str">
        <x:v>angelos</x:v>
      </x:c>
      <x:c r="G5" s="20" t="str">
        <x:v>compare G34 (ἀγέλη)) (to bring tidings); a messenger; especially an "angel"; by implication, a pastor</x:v>
      </x:c>
      <x:c r="H5" s="20" t="str"/>
      <x:c r="I5" s="21" t="n">
        <x:v>4</x:v>
      </x:c>
      <x:c r="J5" s="21" t="str">
        <x:v>BBG 課序</x:v>
      </x:c>
      <x:c r="K5" s="21" t="str">
        <x:v>G32</x:v>
      </x:c>
      <x:c r="L5" s="21" t="str">
        <x:v>否</x:v>
      </x:c>
      <x:c r="M5" s="21" t="str"/>
      <x:c r="N5" s="21" t="str">
        <x:v>source_and_lexicon_matched</x:v>
      </x:c>
      <x:c r="O5" s="21" t="str">
        <x:v>rule_generated_from_official_table</x:v>
      </x:c>
      <x:c r="P5" s="21" t="n">
        <x:v>1</x:v>
      </x:c>
      <x:c r="Q5" s="21" t="str">
        <x:v>https://doxa.billmounce.com/Flashcards%20%28BBG%29.pdf</x:v>
      </x:c>
      <x:c r="R5" s="16" t="str"/>
    </x:row>
    <x:row r="6" ht="28" customHeight="1">
      <x:c r="A6" s="21" t="n">
        <x:v>2</x:v>
      </x:c>
      <x:c r="B6" s="21" t="n">
        <x:f>ROUNDUP(A6/50,0)</x:f>
        <x:v>1</x:v>
      </x:c>
      <x:c r="C6" s="21" t="n">
        <x:f>MOD(A6-1,50)+1</x:f>
        <x:v>2</x:v>
      </x:c>
      <x:c r="D6" s="29" t="str">
        <x:v>ἀμήν</x:v>
      </x:c>
      <x:c r="E6" s="29" t="str">
        <x:v>ἀμήν</x:v>
      </x:c>
      <x:c r="F6" s="27" t="str">
        <x:v>amēn</x:v>
      </x:c>
      <x:c r="G6" s="20" t="str">
        <x:v>properly, firm, i.e. (figuratively) trustworthy; adverbially, surely (often as interjection, so be it)</x:v>
      </x:c>
      <x:c r="H6" s="20" t="str"/>
      <x:c r="I6" s="21" t="n">
        <x:v>4</x:v>
      </x:c>
      <x:c r="J6" s="21" t="str">
        <x:v>BBG 課序</x:v>
      </x:c>
      <x:c r="K6" s="21" t="str">
        <x:v>G281</x:v>
      </x:c>
      <x:c r="L6" s="21" t="str">
        <x:v>否</x:v>
      </x:c>
      <x:c r="M6" s="21" t="str"/>
      <x:c r="N6" s="21" t="str">
        <x:v>source_and_lexicon_matched</x:v>
      </x:c>
      <x:c r="O6" s="21" t="str">
        <x:v>rule_generated_from_official_table</x:v>
      </x:c>
      <x:c r="P6" s="21" t="n">
        <x:v>1</x:v>
      </x:c>
      <x:c r="Q6" s="21" t="str">
        <x:v>https://doxa.billmounce.com/Flashcards%20%28BBG%29.pdf</x:v>
      </x:c>
      <x:c r="R6" s="16" t="str"/>
    </x:row>
    <x:row r="7" ht="28" customHeight="1">
      <x:c r="A7" s="21" t="n">
        <x:v>3</x:v>
      </x:c>
      <x:c r="B7" s="21" t="n">
        <x:f>ROUNDUP(A7/50,0)</x:f>
        <x:v>1</x:v>
      </x:c>
      <x:c r="C7" s="21" t="n">
        <x:f>MOD(A7-1,50)+1</x:f>
        <x:v>3</x:v>
      </x:c>
      <x:c r="D7" s="29" t="str">
        <x:v>ἄνθρωπος, -ου, ὁ</x:v>
      </x:c>
      <x:c r="E7" s="29" t="str">
        <x:v>ἄνθρωπος</x:v>
      </x:c>
      <x:c r="F7" s="27" t="str">
        <x:v>anthrōpos</x:v>
      </x:c>
      <x:c r="G7" s="20" t="str">
        <x:v>from G3700 (ὀπτάνομαι)); man-faced, i.e. a human being</x:v>
      </x:c>
      <x:c r="H7" s="20" t="str"/>
      <x:c r="I7" s="21" t="n">
        <x:v>4</x:v>
      </x:c>
      <x:c r="J7" s="21" t="str">
        <x:v>BBG 課序</x:v>
      </x:c>
      <x:c r="K7" s="21" t="str">
        <x:v>G444</x:v>
      </x:c>
      <x:c r="L7" s="21" t="str">
        <x:v>否</x:v>
      </x:c>
      <x:c r="M7" s="21" t="str"/>
      <x:c r="N7" s="21" t="str">
        <x:v>source_and_lexicon_matched</x:v>
      </x:c>
      <x:c r="O7" s="21" t="str">
        <x:v>rule_generated_from_official_table</x:v>
      </x:c>
      <x:c r="P7" s="21" t="n">
        <x:v>1</x:v>
      </x:c>
      <x:c r="Q7" s="21" t="str">
        <x:v>https://doxa.billmounce.com/Flashcards%20%28BBG%29.pdf</x:v>
      </x:c>
      <x:c r="R7" s="16" t="str"/>
    </x:row>
    <x:row r="8" ht="28" customHeight="1">
      <x:c r="A8" s="21" t="n">
        <x:v>4</x:v>
      </x:c>
      <x:c r="B8" s="21" t="n">
        <x:f>ROUNDUP(A8/50,0)</x:f>
        <x:v>1</x:v>
      </x:c>
      <x:c r="C8" s="21" t="n">
        <x:f>MOD(A8-1,50)+1</x:f>
        <x:v>4</x:v>
      </x:c>
      <x:c r="D8" s="29" t="str">
        <x:v>ἀπόστολος, -ου, ὁ</x:v>
      </x:c>
      <x:c r="E8" s="29" t="str">
        <x:v>ἀπόστολος</x:v>
      </x:c>
      <x:c r="F8" s="27" t="str">
        <x:v>apostolos</x:v>
      </x:c>
      <x:c r="G8" s="20" t="str">
        <x:v>a delegate; specially, an ambassador of the Gospel; officially a commissioner of Christ ("apostle") (with miraculous powers)</x:v>
      </x:c>
      <x:c r="H8" s="20" t="str"/>
      <x:c r="I8" s="21" t="n">
        <x:v>4</x:v>
      </x:c>
      <x:c r="J8" s="21" t="str">
        <x:v>BBG 課序</x:v>
      </x:c>
      <x:c r="K8" s="21" t="str">
        <x:v>G652</x:v>
      </x:c>
      <x:c r="L8" s="21" t="str">
        <x:v>否</x:v>
      </x:c>
      <x:c r="M8" s="21" t="str"/>
      <x:c r="N8" s="21" t="str">
        <x:v>source_and_lexicon_matched</x:v>
      </x:c>
      <x:c r="O8" s="21" t="str">
        <x:v>rule_generated_from_official_table</x:v>
      </x:c>
      <x:c r="P8" s="21" t="n">
        <x:v>1</x:v>
      </x:c>
      <x:c r="Q8" s="21" t="str">
        <x:v>https://doxa.billmounce.com/Flashcards%20%28BBG%29.pdf</x:v>
      </x:c>
      <x:c r="R8" s="16" t="str"/>
    </x:row>
    <x:row r="9" ht="28" customHeight="1">
      <x:c r="A9" s="21" t="n">
        <x:v>5</x:v>
      </x:c>
      <x:c r="B9" s="21" t="n">
        <x:f>ROUNDUP(A9/50,0)</x:f>
        <x:v>1</x:v>
      </x:c>
      <x:c r="C9" s="21" t="n">
        <x:f>MOD(A9-1,50)+1</x:f>
        <x:v>5</x:v>
      </x:c>
      <x:c r="D9" s="29" t="str">
        <x:v>Γαλιλαία, -ας, ἡ</x:v>
      </x:c>
      <x:c r="E9" s="29" t="str">
        <x:v>Γαλιλαία</x:v>
      </x:c>
      <x:c r="F9" s="27" t="str">
        <x:v>Galilaia</x:v>
      </x:c>
      <x:c r="G9" s="20" t="str">
        <x:v>Galilæa (i.e. the heathen circle), a region of Palestine</x:v>
      </x:c>
      <x:c r="H9" s="20" t="str"/>
      <x:c r="I9" s="21" t="n">
        <x:v>4</x:v>
      </x:c>
      <x:c r="J9" s="21" t="str">
        <x:v>BBG 課序</x:v>
      </x:c>
      <x:c r="K9" s="21" t="str">
        <x:v>G1056</x:v>
      </x:c>
      <x:c r="L9" s="21" t="str">
        <x:v>是</x:v>
      </x:c>
      <x:c r="M9" s="21" t="str">
        <x:v>地名</x:v>
      </x:c>
      <x:c r="N9" s="21" t="str">
        <x:v>source_and_lexicon_matched</x:v>
      </x:c>
      <x:c r="O9" s="21" t="str">
        <x:v>rule_generated_from_official_table</x:v>
      </x:c>
      <x:c r="P9" s="21" t="n">
        <x:v>1</x:v>
      </x:c>
      <x:c r="Q9" s="21" t="str">
        <x:v>https://doxa.billmounce.com/Flashcards%20%28BBG%29.pdf</x:v>
      </x:c>
      <x:c r="R9" s="16" t="str"/>
    </x:row>
    <x:row r="10" ht="28" customHeight="1">
      <x:c r="A10" s="21" t="n">
        <x:v>6</x:v>
      </x:c>
      <x:c r="B10" s="21" t="n">
        <x:f>ROUNDUP(A10/50,0)</x:f>
        <x:v>1</x:v>
      </x:c>
      <x:c r="C10" s="21" t="n">
        <x:f>MOD(A10-1,50)+1</x:f>
        <x:v>6</x:v>
      </x:c>
      <x:c r="D10" s="29" t="str">
        <x:v>γραφή, -ῆς, ἡ</x:v>
      </x:c>
      <x:c r="E10" s="29" t="str">
        <x:v>γραφή</x:v>
      </x:c>
      <x:c r="F10" s="27" t="str">
        <x:v>graphē</x:v>
      </x:c>
      <x:c r="G10" s="20" t="str">
        <x:v>a document, i.e. holy Writ (or its contents or a statement in it)</x:v>
      </x:c>
      <x:c r="H10" s="20" t="str"/>
      <x:c r="I10" s="21" t="n">
        <x:v>4</x:v>
      </x:c>
      <x:c r="J10" s="21" t="str">
        <x:v>BBG 課序</x:v>
      </x:c>
      <x:c r="K10" s="21" t="str">
        <x:v>G1124</x:v>
      </x:c>
      <x:c r="L10" s="21" t="str">
        <x:v>否</x:v>
      </x:c>
      <x:c r="M10" s="21" t="str"/>
      <x:c r="N10" s="21" t="str">
        <x:v>source_and_lexicon_matched</x:v>
      </x:c>
      <x:c r="O10" s="21" t="str">
        <x:v>rule_generated_from_official_table</x:v>
      </x:c>
      <x:c r="P10" s="21" t="n">
        <x:v>1</x:v>
      </x:c>
      <x:c r="Q10" s="21" t="str">
        <x:v>https://doxa.billmounce.com/Flashcards%20%28BBG%29.pdf</x:v>
      </x:c>
      <x:c r="R10" s="16" t="str"/>
    </x:row>
    <x:row r="11" ht="28" customHeight="1">
      <x:c r="A11" s="21" t="n">
        <x:v>7</x:v>
      </x:c>
      <x:c r="B11" s="21" t="n">
        <x:f>ROUNDUP(A11/50,0)</x:f>
        <x:v>1</x:v>
      </x:c>
      <x:c r="C11" s="21" t="n">
        <x:f>MOD(A11-1,50)+1</x:f>
        <x:v>7</x:v>
      </x:c>
      <x:c r="D11" s="29" t="str">
        <x:v>δόξα, -ης, ἡ</x:v>
      </x:c>
      <x:c r="E11" s="29" t="str">
        <x:v>δόξα</x:v>
      </x:c>
      <x:c r="F11" s="27" t="str">
        <x:v>doxa</x:v>
      </x:c>
      <x:c r="G11" s="20" t="str">
        <x:v>glory (as very apparent), in a wide application (literal or figurative, objective or subjective)</x:v>
      </x:c>
      <x:c r="H11" s="20" t="str"/>
      <x:c r="I11" s="21" t="n">
        <x:v>4</x:v>
      </x:c>
      <x:c r="J11" s="21" t="str">
        <x:v>BBG 課序</x:v>
      </x:c>
      <x:c r="K11" s="21" t="str">
        <x:v>G1391</x:v>
      </x:c>
      <x:c r="L11" s="21" t="str">
        <x:v>否</x:v>
      </x:c>
      <x:c r="M11" s="21" t="str"/>
      <x:c r="N11" s="21" t="str">
        <x:v>source_and_lexicon_matched</x:v>
      </x:c>
      <x:c r="O11" s="21" t="str">
        <x:v>rule_generated_from_official_table</x:v>
      </x:c>
      <x:c r="P11" s="21" t="n">
        <x:v>1</x:v>
      </x:c>
      <x:c r="Q11" s="21" t="str">
        <x:v>https://doxa.billmounce.com/Flashcards%20%28BBG%29.pdf</x:v>
      </x:c>
      <x:c r="R11" s="16" t="str"/>
    </x:row>
    <x:row r="12" ht="28" customHeight="1">
      <x:c r="A12" s="21" t="n">
        <x:v>8</x:v>
      </x:c>
      <x:c r="B12" s="21" t="n">
        <x:f>ROUNDUP(A12/50,0)</x:f>
        <x:v>1</x:v>
      </x:c>
      <x:c r="C12" s="21" t="n">
        <x:f>MOD(A12-1,50)+1</x:f>
        <x:v>8</x:v>
      </x:c>
      <x:c r="D12" s="29" t="str">
        <x:v>ἐγώ</x:v>
      </x:c>
      <x:c r="E12" s="29" t="str">
        <x:v>ἐγώ</x:v>
      </x:c>
      <x:c r="F12" s="27" t="str">
        <x:v>egō</x:v>
      </x:c>
      <x:c r="G12" s="20" t="str"/>
      <x:c r="H12" s="20" t="str"/>
      <x:c r="I12" s="21" t="n">
        <x:v>4</x:v>
      </x:c>
      <x:c r="J12" s="21" t="str">
        <x:v>BBG 課序</x:v>
      </x:c>
      <x:c r="K12" s="21" t="str">
        <x:v>G1473</x:v>
      </x:c>
      <x:c r="L12" s="21" t="str">
        <x:v>否</x:v>
      </x:c>
      <x:c r="M12" s="21" t="str"/>
      <x:c r="N12" s="21" t="str">
        <x:v>source_and_lexicon_matched</x:v>
      </x:c>
      <x:c r="O12" s="21" t="str">
        <x:v>rule_generated_from_official_table</x:v>
      </x:c>
      <x:c r="P12" s="21" t="n">
        <x:v>1</x:v>
      </x:c>
      <x:c r="Q12" s="21" t="str">
        <x:v>https://doxa.billmounce.com/Flashcards%20%28BBG%29.pdf</x:v>
      </x:c>
      <x:c r="R12" s="16" t="str"/>
    </x:row>
    <x:row r="13" ht="28" customHeight="1">
      <x:c r="A13" s="21" t="n">
        <x:v>9</x:v>
      </x:c>
      <x:c r="B13" s="21" t="n">
        <x:f>ROUNDUP(A13/50,0)</x:f>
        <x:v>1</x:v>
      </x:c>
      <x:c r="C13" s="21" t="n">
        <x:f>MOD(A13-1,50)+1</x:f>
        <x:v>9</x:v>
      </x:c>
      <x:c r="D13" s="29" t="str">
        <x:v>ἔσχατος, -η, -ον</x:v>
      </x:c>
      <x:c r="E13" s="29" t="str">
        <x:v>ἔσχατος</x:v>
      </x:c>
      <x:c r="F13" s="27" t="str">
        <x:v>eschatos</x:v>
      </x:c>
      <x:c r="G13" s="20" t="str">
        <x:v>farthest, final (of place or time)</x:v>
      </x:c>
      <x:c r="H13" s="20" t="str"/>
      <x:c r="I13" s="21" t="n">
        <x:v>4</x:v>
      </x:c>
      <x:c r="J13" s="21" t="str">
        <x:v>BBG 課序</x:v>
      </x:c>
      <x:c r="K13" s="21" t="str">
        <x:v>G2078</x:v>
      </x:c>
      <x:c r="L13" s="21" t="str">
        <x:v>否</x:v>
      </x:c>
      <x:c r="M13" s="21" t="str"/>
      <x:c r="N13" s="21" t="str">
        <x:v>source_and_lexicon_matched</x:v>
      </x:c>
      <x:c r="O13" s="21" t="str">
        <x:v>rule_generated_from_official_table</x:v>
      </x:c>
      <x:c r="P13" s="21" t="n">
        <x:v>1</x:v>
      </x:c>
      <x:c r="Q13" s="21" t="str">
        <x:v>https://doxa.billmounce.com/Flashcards%20%28BBG%29.pdf</x:v>
      </x:c>
      <x:c r="R13" s="16" t="str"/>
    </x:row>
    <x:row r="14" ht="28" customHeight="1">
      <x:c r="A14" s="21" t="n">
        <x:v>10</x:v>
      </x:c>
      <x:c r="B14" s="21" t="n">
        <x:f>ROUNDUP(A14/50,0)</x:f>
        <x:v>1</x:v>
      </x:c>
      <x:c r="C14" s="21" t="n">
        <x:f>MOD(A14-1,50)+1</x:f>
        <x:v>10</x:v>
      </x:c>
      <x:c r="D14" s="29" t="str">
        <x:v>ζωή, -ῆς, ἡ</x:v>
      </x:c>
      <x:c r="E14" s="29" t="str">
        <x:v>ζωή</x:v>
      </x:c>
      <x:c r="F14" s="27" t="str">
        <x:v>zōē</x:v>
      </x:c>
      <x:c r="G14" s="20" t="str">
        <x:v>life (literally or figuratively)</x:v>
      </x:c>
      <x:c r="H14" s="20" t="str"/>
      <x:c r="I14" s="21" t="n">
        <x:v>4</x:v>
      </x:c>
      <x:c r="J14" s="21" t="str">
        <x:v>BBG 課序</x:v>
      </x:c>
      <x:c r="K14" s="21" t="str">
        <x:v>G2222</x:v>
      </x:c>
      <x:c r="L14" s="21" t="str">
        <x:v>否</x:v>
      </x:c>
      <x:c r="M14" s="21" t="str"/>
      <x:c r="N14" s="21" t="str">
        <x:v>source_and_lexicon_matched</x:v>
      </x:c>
      <x:c r="O14" s="21" t="str">
        <x:v>rule_generated_from_official_table</x:v>
      </x:c>
      <x:c r="P14" s="21" t="n">
        <x:v>1</x:v>
      </x:c>
      <x:c r="Q14" s="21" t="str">
        <x:v>https://doxa.billmounce.com/Flashcards%20%28BBG%29.pdf</x:v>
      </x:c>
      <x:c r="R14" s="16" t="str"/>
    </x:row>
    <x:row r="15" ht="28" customHeight="1">
      <x:c r="A15" s="21" t="n">
        <x:v>11</x:v>
      </x:c>
      <x:c r="B15" s="21" t="n">
        <x:f>ROUNDUP(A15/50,0)</x:f>
        <x:v>1</x:v>
      </x:c>
      <x:c r="C15" s="21" t="n">
        <x:f>MOD(A15-1,50)+1</x:f>
        <x:v>11</x:v>
      </x:c>
      <x:c r="D15" s="29" t="str">
        <x:v>θεός, -οῦ, -ὁ</x:v>
      </x:c>
      <x:c r="E15" s="29" t="str">
        <x:v>θεός</x:v>
      </x:c>
      <x:c r="F15" s="27" t="str">
        <x:v>theos</x:v>
      </x:c>
      <x:c r="G15" s="20" t="str">
        <x:v>figuratively, a magistrate; by Hebraism, very</x:v>
      </x:c>
      <x:c r="H15" s="20" t="str"/>
      <x:c r="I15" s="21" t="n">
        <x:v>4</x:v>
      </x:c>
      <x:c r="J15" s="21" t="str">
        <x:v>BBG 課序</x:v>
      </x:c>
      <x:c r="K15" s="21" t="str">
        <x:v>G2316</x:v>
      </x:c>
      <x:c r="L15" s="21" t="str">
        <x:v>否</x:v>
      </x:c>
      <x:c r="M15" s="21" t="str"/>
      <x:c r="N15" s="21" t="str">
        <x:v>source_and_lexicon_matched</x:v>
      </x:c>
      <x:c r="O15" s="21" t="str">
        <x:v>rule_generated_from_official_table</x:v>
      </x:c>
      <x:c r="P15" s="21" t="n">
        <x:v>1</x:v>
      </x:c>
      <x:c r="Q15" s="21" t="str">
        <x:v>https://doxa.billmounce.com/Flashcards%20%28BBG%29.pdf</x:v>
      </x:c>
      <x:c r="R15" s="16" t="str"/>
    </x:row>
    <x:row r="16" ht="28" customHeight="1">
      <x:c r="A16" s="21" t="n">
        <x:v>12</x:v>
      </x:c>
      <x:c r="B16" s="21" t="n">
        <x:f>ROUNDUP(A16/50,0)</x:f>
        <x:v>1</x:v>
      </x:c>
      <x:c r="C16" s="21" t="n">
        <x:f>MOD(A16-1,50)+1</x:f>
        <x:v>12</x:v>
      </x:c>
      <x:c r="D16" s="29" t="str">
        <x:v>καί</x:v>
      </x:c>
      <x:c r="E16" s="29" t="str">
        <x:v>καί</x:v>
      </x:c>
      <x:c r="F16" s="27" t="str">
        <x:v>kai</x:v>
      </x:c>
      <x:c r="G16" s="20" t="str">
        <x:v>and, also, even, so then, too, etc.; often used in connection (or composition) with other particles or small words</x:v>
      </x:c>
      <x:c r="H16" s="20" t="str"/>
      <x:c r="I16" s="21" t="n">
        <x:v>4</x:v>
      </x:c>
      <x:c r="J16" s="21" t="str">
        <x:v>BBG 課序</x:v>
      </x:c>
      <x:c r="K16" s="21" t="str">
        <x:v>G2532</x:v>
      </x:c>
      <x:c r="L16" s="21" t="str">
        <x:v>否</x:v>
      </x:c>
      <x:c r="M16" s="21" t="str"/>
      <x:c r="N16" s="21" t="str">
        <x:v>source_and_lexicon_matched</x:v>
      </x:c>
      <x:c r="O16" s="21" t="str">
        <x:v>rule_generated_from_official_table</x:v>
      </x:c>
      <x:c r="P16" s="21" t="n">
        <x:v>1</x:v>
      </x:c>
      <x:c r="Q16" s="21" t="str">
        <x:v>https://doxa.billmounce.com/Flashcards%20%28BBG%29.pdf</x:v>
      </x:c>
      <x:c r="R16" s="16" t="str"/>
    </x:row>
    <x:row r="17" ht="28" customHeight="1">
      <x:c r="A17" s="21" t="n">
        <x:v>13</x:v>
      </x:c>
      <x:c r="B17" s="21" t="n">
        <x:f>ROUNDUP(A17/50,0)</x:f>
        <x:v>1</x:v>
      </x:c>
      <x:c r="C17" s="21" t="n">
        <x:f>MOD(A17-1,50)+1</x:f>
        <x:v>13</x:v>
      </x:c>
      <x:c r="D17" s="29" t="str">
        <x:v>καρδία, -ας, ἡ</x:v>
      </x:c>
      <x:c r="E17" s="29" t="str">
        <x:v>καρδία</x:v>
      </x:c>
      <x:c r="F17" s="27" t="str">
        <x:v>kardia</x:v>
      </x:c>
      <x:c r="G17" s="20" t="str">
        <x:v>the heart, i.e. (figuratively) the thoughts or feelings (mind); also (by analogy) the middle</x:v>
      </x:c>
      <x:c r="H17" s="20" t="str"/>
      <x:c r="I17" s="21" t="n">
        <x:v>4</x:v>
      </x:c>
      <x:c r="J17" s="21" t="str">
        <x:v>BBG 課序</x:v>
      </x:c>
      <x:c r="K17" s="21" t="str">
        <x:v>G2588</x:v>
      </x:c>
      <x:c r="L17" s="21" t="str">
        <x:v>否</x:v>
      </x:c>
      <x:c r="M17" s="21" t="str"/>
      <x:c r="N17" s="21" t="str">
        <x:v>source_and_lexicon_matched</x:v>
      </x:c>
      <x:c r="O17" s="21" t="str">
        <x:v>rule_generated_from_official_table</x:v>
      </x:c>
      <x:c r="P17" s="21" t="n">
        <x:v>1</x:v>
      </x:c>
      <x:c r="Q17" s="21" t="str">
        <x:v>https://doxa.billmounce.com/Flashcards%20%28BBG%29.pdf</x:v>
      </x:c>
      <x:c r="R17" s="16" t="str"/>
    </x:row>
    <x:row r="18" ht="28" customHeight="1">
      <x:c r="A18" s="21" t="n">
        <x:v>14</x:v>
      </x:c>
      <x:c r="B18" s="21" t="n">
        <x:f>ROUNDUP(A18/50,0)</x:f>
        <x:v>1</x:v>
      </x:c>
      <x:c r="C18" s="21" t="n">
        <x:f>MOD(A18-1,50)+1</x:f>
        <x:v>14</x:v>
      </x:c>
      <x:c r="D18" s="29" t="str">
        <x:v>κόσμος, ου, -ὁ</x:v>
      </x:c>
      <x:c r="E18" s="29" t="str">
        <x:v>κόσμος</x:v>
      </x:c>
      <x:c r="F18" s="27" t="str">
        <x:v>kosmos</x:v>
      </x:c>
      <x:c r="G18" s="20" t="str">
        <x:v>orderly arrangement, i.e. decoration; by implication, the world (in a wide or narrow sense, including its inhabitants, literally or figuratively (morally))</x:v>
      </x:c>
      <x:c r="H18" s="20" t="str"/>
      <x:c r="I18" s="21" t="n">
        <x:v>4</x:v>
      </x:c>
      <x:c r="J18" s="21" t="str">
        <x:v>BBG 課序</x:v>
      </x:c>
      <x:c r="K18" s="21" t="str">
        <x:v>G2889</x:v>
      </x:c>
      <x:c r="L18" s="21" t="str">
        <x:v>否</x:v>
      </x:c>
      <x:c r="M18" s="21" t="str"/>
      <x:c r="N18" s="21" t="str">
        <x:v>source_and_lexicon_matched</x:v>
      </x:c>
      <x:c r="O18" s="21" t="str">
        <x:v>rule_generated_from_official_table</x:v>
      </x:c>
      <x:c r="P18" s="21" t="n">
        <x:v>1</x:v>
      </x:c>
      <x:c r="Q18" s="21" t="str">
        <x:v>https://doxa.billmounce.com/Flashcards%20%28BBG%29.pdf</x:v>
      </x:c>
      <x:c r="R18" s="16" t="str"/>
    </x:row>
    <x:row r="19" ht="28" customHeight="1">
      <x:c r="A19" s="21" t="n">
        <x:v>15</x:v>
      </x:c>
      <x:c r="B19" s="21" t="n">
        <x:f>ROUNDUP(A19/50,0)</x:f>
        <x:v>1</x:v>
      </x:c>
      <x:c r="C19" s="21" t="n">
        <x:f>MOD(A19-1,50)+1</x:f>
        <x:v>15</x:v>
      </x:c>
      <x:c r="D19" s="29" t="str">
        <x:v>λόγος, -ου, ὁ</x:v>
      </x:c>
      <x:c r="E19" s="29" t="str">
        <x:v>λόγος</x:v>
      </x:c>
      <x:c r="F19" s="27" t="str">
        <x:v>logos</x:v>
      </x:c>
      <x:c r="G19" s="20" t="str">
        <x:v>something said (including the thought); by implication, a topic (subject of discourse), also reasoning (the mental faculty) or motive; by extension, a computation; specially, (with the article in John) the Divine Expression (i.e. Christ)</x:v>
      </x:c>
      <x:c r="H19" s="20" t="str"/>
      <x:c r="I19" s="21" t="n">
        <x:v>4</x:v>
      </x:c>
      <x:c r="J19" s="21" t="str">
        <x:v>BBG 課序</x:v>
      </x:c>
      <x:c r="K19" s="21" t="str">
        <x:v>G3056</x:v>
      </x:c>
      <x:c r="L19" s="21" t="str">
        <x:v>否</x:v>
      </x:c>
      <x:c r="M19" s="21" t="str"/>
      <x:c r="N19" s="21" t="str">
        <x:v>source_and_lexicon_matched</x:v>
      </x:c>
      <x:c r="O19" s="21" t="str">
        <x:v>rule_generated_from_official_table</x:v>
      </x:c>
      <x:c r="P19" s="21" t="n">
        <x:v>1</x:v>
      </x:c>
      <x:c r="Q19" s="21" t="str">
        <x:v>https://doxa.billmounce.com/Flashcards%20%28BBG%29.pdf</x:v>
      </x:c>
      <x:c r="R19" s="16" t="str"/>
    </x:row>
    <x:row r="20" ht="28" customHeight="1">
      <x:c r="A20" s="21" t="n">
        <x:v>16</x:v>
      </x:c>
      <x:c r="B20" s="21" t="n">
        <x:f>ROUNDUP(A20/50,0)</x:f>
        <x:v>1</x:v>
      </x:c>
      <x:c r="C20" s="21" t="n">
        <x:f>MOD(A20-1,50)+1</x:f>
        <x:v>16</x:v>
      </x:c>
      <x:c r="D20" s="29" t="str">
        <x:v>πνεῦμα, -ατος, τό</x:v>
      </x:c>
      <x:c r="E20" s="29" t="str">
        <x:v>πνεῦμα</x:v>
      </x:c>
      <x:c r="F20" s="27" t="str">
        <x:v>pneuma</x:v>
      </x:c>
      <x:c r="G20" s="20" t="str">
        <x:v>a current of air, i.e. breath (blast) or a breeze; by analogy or figuratively, a spirit, i.e. (human) the rational soul, (by implication) vital principle, mental disposition, etc., or (superhuman) an angel, demon, or (divine) God, Christ's spirit, the Holy Spirit</x:v>
      </x:c>
      <x:c r="H20" s="20" t="str"/>
      <x:c r="I20" s="21" t="n">
        <x:v>4</x:v>
      </x:c>
      <x:c r="J20" s="21" t="str">
        <x:v>BBG 課序</x:v>
      </x:c>
      <x:c r="K20" s="21" t="str">
        <x:v>G4151</x:v>
      </x:c>
      <x:c r="L20" s="21" t="str">
        <x:v>否</x:v>
      </x:c>
      <x:c r="M20" s="21" t="str"/>
      <x:c r="N20" s="21" t="str">
        <x:v>source_and_lexicon_matched</x:v>
      </x:c>
      <x:c r="O20" s="21" t="str">
        <x:v>rule_generated_from_official_table</x:v>
      </x:c>
      <x:c r="P20" s="21" t="n">
        <x:v>1</x:v>
      </x:c>
      <x:c r="Q20" s="21" t="str">
        <x:v>https://doxa.billmounce.com/Flashcards%20%28BBG%29.pdf</x:v>
      </x:c>
      <x:c r="R20" s="16" t="str"/>
    </x:row>
    <x:row r="21" ht="28" customHeight="1">
      <x:c r="A21" s="21" t="n">
        <x:v>17</x:v>
      </x:c>
      <x:c r="B21" s="21" t="n">
        <x:f>ROUNDUP(A21/50,0)</x:f>
        <x:v>1</x:v>
      </x:c>
      <x:c r="C21" s="21" t="n">
        <x:f>MOD(A21-1,50)+1</x:f>
        <x:v>17</x:v>
      </x:c>
      <x:c r="D21" s="29" t="str">
        <x:v>προφήτης, -ου, ὁ</x:v>
      </x:c>
      <x:c r="E21" s="29" t="str">
        <x:v>προφήτης</x:v>
      </x:c>
      <x:c r="F21" s="27" t="str">
        <x:v>prophētēs</x:v>
      </x:c>
      <x:c r="G21" s="20" t="str">
        <x:v>a foreteller ("prophet"); by analogy, an inspired speaker; by extension, a poet</x:v>
      </x:c>
      <x:c r="H21" s="20" t="str"/>
      <x:c r="I21" s="21" t="n">
        <x:v>4</x:v>
      </x:c>
      <x:c r="J21" s="21" t="str">
        <x:v>BBG 課序</x:v>
      </x:c>
      <x:c r="K21" s="21" t="str">
        <x:v>G4396</x:v>
      </x:c>
      <x:c r="L21" s="21" t="str">
        <x:v>否</x:v>
      </x:c>
      <x:c r="M21" s="21" t="str"/>
      <x:c r="N21" s="21" t="str">
        <x:v>source_and_lexicon_matched</x:v>
      </x:c>
      <x:c r="O21" s="21" t="str">
        <x:v>rule_generated_from_official_table</x:v>
      </x:c>
      <x:c r="P21" s="21" t="n">
        <x:v>1</x:v>
      </x:c>
      <x:c r="Q21" s="21" t="str">
        <x:v>https://doxa.billmounce.com/Flashcards%20%28BBG%29.pdf</x:v>
      </x:c>
      <x:c r="R21" s="16" t="str"/>
    </x:row>
    <x:row r="22" ht="28" customHeight="1">
      <x:c r="A22" s="21" t="n">
        <x:v>18</x:v>
      </x:c>
      <x:c r="B22" s="21" t="n">
        <x:f>ROUNDUP(A22/50,0)</x:f>
        <x:v>1</x:v>
      </x:c>
      <x:c r="C22" s="21" t="n">
        <x:f>MOD(A22-1,50)+1</x:f>
        <x:v>18</x:v>
      </x:c>
      <x:c r="D22" s="29" t="str">
        <x:v>σάββατον, -ου, τό</x:v>
      </x:c>
      <x:c r="E22" s="29" t="str">
        <x:v>σάββατον</x:v>
      </x:c>
      <x:c r="F22" s="27" t="str">
        <x:v>sabbaton</x:v>
      </x:c>
      <x:c r="G22" s="20" t="str">
        <x:v>the Sabbath (i.e. Shabbath), or day of weekly repose from secular avocations (also the observance or institution itself); by extension, a se'nnight, i.e. the interval between two Sabbaths; likewise the plural in all the above applications</x:v>
      </x:c>
      <x:c r="H22" s="20" t="str"/>
      <x:c r="I22" s="21" t="n">
        <x:v>4</x:v>
      </x:c>
      <x:c r="J22" s="21" t="str">
        <x:v>BBG 課序</x:v>
      </x:c>
      <x:c r="K22" s="21" t="str">
        <x:v>G4521</x:v>
      </x:c>
      <x:c r="L22" s="21" t="str">
        <x:v>否</x:v>
      </x:c>
      <x:c r="M22" s="21" t="str"/>
      <x:c r="N22" s="21" t="str">
        <x:v>source_and_lexicon_matched</x:v>
      </x:c>
      <x:c r="O22" s="21" t="str">
        <x:v>rule_generated_from_official_table</x:v>
      </x:c>
      <x:c r="P22" s="21" t="n">
        <x:v>1</x:v>
      </x:c>
      <x:c r="Q22" s="21" t="str">
        <x:v>https://doxa.billmounce.com/Flashcards%20%28BBG%29.pdf</x:v>
      </x:c>
      <x:c r="R22" s="16" t="str"/>
    </x:row>
    <x:row r="23" ht="28" customHeight="1">
      <x:c r="A23" s="21" t="n">
        <x:v>19</x:v>
      </x:c>
      <x:c r="B23" s="21" t="n">
        <x:f>ROUNDUP(A23/50,0)</x:f>
        <x:v>1</x:v>
      </x:c>
      <x:c r="C23" s="21" t="n">
        <x:f>MOD(A23-1,50)+1</x:f>
        <x:v>19</x:v>
      </x:c>
      <x:c r="D23" s="29" t="str">
        <x:v>φωνή, -ῆς, ἡ</x:v>
      </x:c>
      <x:c r="E23" s="29" t="str">
        <x:v>φωνή</x:v>
      </x:c>
      <x:c r="F23" s="27" t="str">
        <x:v>phōnē</x:v>
      </x:c>
      <x:c r="G23" s="20" t="str">
        <x:v>a tone (articulate, bestial or artificial); by implication, an address (for any purpose), saying or language</x:v>
      </x:c>
      <x:c r="H23" s="20" t="str"/>
      <x:c r="I23" s="21" t="n">
        <x:v>4</x:v>
      </x:c>
      <x:c r="J23" s="21" t="str">
        <x:v>BBG 課序</x:v>
      </x:c>
      <x:c r="K23" s="21" t="str">
        <x:v>G5456</x:v>
      </x:c>
      <x:c r="L23" s="21" t="str">
        <x:v>否</x:v>
      </x:c>
      <x:c r="M23" s="21" t="str"/>
      <x:c r="N23" s="21" t="str">
        <x:v>source_and_lexicon_matched</x:v>
      </x:c>
      <x:c r="O23" s="21" t="str">
        <x:v>rule_generated_from_official_table</x:v>
      </x:c>
      <x:c r="P23" s="21" t="n">
        <x:v>1</x:v>
      </x:c>
      <x:c r="Q23" s="21" t="str">
        <x:v>https://doxa.billmounce.com/Flashcards%20%28BBG%29.pdf</x:v>
      </x:c>
      <x:c r="R23" s="16" t="str"/>
    </x:row>
    <x:row r="24" ht="28" customHeight="1">
      <x:c r="A24" s="21" t="n">
        <x:v>20</x:v>
      </x:c>
      <x:c r="B24" s="21" t="n">
        <x:f>ROUNDUP(A24/50,0)</x:f>
        <x:v>1</x:v>
      </x:c>
      <x:c r="C24" s="21" t="n">
        <x:f>MOD(A24-1,50)+1</x:f>
        <x:v>20</x:v>
      </x:c>
      <x:c r="D24" s="29" t="str">
        <x:v>Χριστός, -οῦ, ὁ</x:v>
      </x:c>
      <x:c r="E24" s="29" t="str">
        <x:v>Χριστός</x:v>
      </x:c>
      <x:c r="F24" s="27" t="str">
        <x:v>Christos</x:v>
      </x:c>
      <x:c r="G24" s="20" t="str">
        <x:v>anointed, i.e. the Messiah, an epithet of Jesus</x:v>
      </x:c>
      <x:c r="H24" s="20" t="str"/>
      <x:c r="I24" s="21" t="n">
        <x:v>4</x:v>
      </x:c>
      <x:c r="J24" s="21" t="str">
        <x:v>BBG 課序</x:v>
      </x:c>
      <x:c r="K24" s="21" t="str">
        <x:v>G5547</x:v>
      </x:c>
      <x:c r="L24" s="21" t="str">
        <x:v>是</x:v>
      </x:c>
      <x:c r="M24" s="21" t="str">
        <x:v>神名／稱號</x:v>
      </x:c>
      <x:c r="N24" s="21" t="str">
        <x:v>source_and_lexicon_matched</x:v>
      </x:c>
      <x:c r="O24" s="21" t="str">
        <x:v>rule_generated_from_official_table</x:v>
      </x:c>
      <x:c r="P24" s="21" t="n">
        <x:v>1</x:v>
      </x:c>
      <x:c r="Q24" s="21" t="str">
        <x:v>https://doxa.billmounce.com/Flashcards%20%28BBG%29.pdf</x:v>
      </x:c>
      <x:c r="R24" s="16" t="str"/>
    </x:row>
    <x:row r="25" ht="28" customHeight="1">
      <x:c r="A25" s="21" t="n">
        <x:v>21</x:v>
      </x:c>
      <x:c r="B25" s="21" t="n">
        <x:f>ROUNDUP(A25/50,0)</x:f>
        <x:v>1</x:v>
      </x:c>
      <x:c r="C25" s="21" t="n">
        <x:f>MOD(A25-1,50)+1</x:f>
        <x:v>21</x:v>
      </x:c>
      <x:c r="D25" s="29" t="str">
        <x:v>Ἀβραάμ, ὁ</x:v>
      </x:c>
      <x:c r="E25" s="29" t="str">
        <x:v>Ἀβραάμ</x:v>
      </x:c>
      <x:c r="F25" s="27" t="str">
        <x:v>Abraam</x:v>
      </x:c>
      <x:c r="G25" s="20" t="str">
        <x:v>Abraham, the Hebrew patriarch</x:v>
      </x:c>
      <x:c r="H25" s="20" t="str"/>
      <x:c r="I25" s="21" t="n">
        <x:v>4</x:v>
      </x:c>
      <x:c r="J25" s="21" t="str">
        <x:v>BBG 課序</x:v>
      </x:c>
      <x:c r="K25" s="21" t="str">
        <x:v>G11</x:v>
      </x:c>
      <x:c r="L25" s="21" t="str">
        <x:v>是</x:v>
      </x:c>
      <x:c r="M25" s="21" t="str">
        <x:v>人名</x:v>
      </x:c>
      <x:c r="N25" s="21" t="str">
        <x:v>source_and_lexicon_matched</x:v>
      </x:c>
      <x:c r="O25" s="21" t="str">
        <x:v>rule_generated_from_official_table</x:v>
      </x:c>
      <x:c r="P25" s="21" t="n">
        <x:v>1</x:v>
      </x:c>
      <x:c r="Q25" s="21" t="str">
        <x:v>https://doxa.billmounce.com/Flashcards%20%28BBG%29.pdf</x:v>
      </x:c>
      <x:c r="R25" s="16" t="str"/>
    </x:row>
    <x:row r="26" ht="28" customHeight="1">
      <x:c r="A26" s="21" t="n">
        <x:v>22</x:v>
      </x:c>
      <x:c r="B26" s="21" t="n">
        <x:f>ROUNDUP(A26/50,0)</x:f>
        <x:v>1</x:v>
      </x:c>
      <x:c r="C26" s="21" t="n">
        <x:f>MOD(A26-1,50)+1</x:f>
        <x:v>22</x:v>
      </x:c>
      <x:c r="D26" s="29" t="str">
        <x:v>Δαυίδ, ὁ</x:v>
      </x:c>
      <x:c r="E26" s="29" t="str">
        <x:v>Δαυίδ</x:v>
      </x:c>
      <x:c r="F26" s="27" t="str">
        <x:v>Dauid</x:v>
      </x:c>
      <x:c r="G26" s="20" t="str"/>
      <x:c r="H26" s="20" t="str"/>
      <x:c r="I26" s="21" t="n">
        <x:v>4</x:v>
      </x:c>
      <x:c r="J26" s="21" t="str">
        <x:v>BBG 課序</x:v>
      </x:c>
      <x:c r="K26" s="21" t="str"/>
      <x:c r="L26" s="21" t="str">
        <x:v>是</x:v>
      </x:c>
      <x:c r="M26" s="21" t="str">
        <x:v>人名</x:v>
      </x:c>
      <x:c r="N26" s="21" t="str">
        <x:v>source_verified_lexicon_pending</x:v>
      </x:c>
      <x:c r="O26" s="21" t="str">
        <x:v>rule_generated_from_official_table</x:v>
      </x:c>
      <x:c r="P26" s="21" t="n">
        <x:v>1</x:v>
      </x:c>
      <x:c r="Q26" s="21" t="str">
        <x:v>https://doxa.billmounce.com/Flashcards%20%28BBG%29.pdf</x:v>
      </x:c>
      <x:c r="R26" s="16" t="str"/>
    </x:row>
    <x:row r="27" ht="28" customHeight="1">
      <x:c r="A27" s="21" t="n">
        <x:v>23</x:v>
      </x:c>
      <x:c r="B27" s="21" t="n">
        <x:f>ROUNDUP(A27/50,0)</x:f>
        <x:v>1</x:v>
      </x:c>
      <x:c r="C27" s="21" t="n">
        <x:f>MOD(A27-1,50)+1</x:f>
        <x:v>23</x:v>
      </x:c>
      <x:c r="D27" s="29" t="str">
        <x:v>Παῦλος, -ου, ὁ</x:v>
      </x:c>
      <x:c r="E27" s="29" t="str">
        <x:v>Παῦλος</x:v>
      </x:c>
      <x:c r="F27" s="27" t="str">
        <x:v>Paulos</x:v>
      </x:c>
      <x:c r="G27" s="20" t="str">
        <x:v>(little; but remotely from a derivative of G3973 (παύω), meaning the same); Paulus, the name of a Roman and of an apostle</x:v>
      </x:c>
      <x:c r="H27" s="20" t="str"/>
      <x:c r="I27" s="21" t="n">
        <x:v>4</x:v>
      </x:c>
      <x:c r="J27" s="21" t="str">
        <x:v>BBG 課序</x:v>
      </x:c>
      <x:c r="K27" s="21" t="str">
        <x:v>G3972</x:v>
      </x:c>
      <x:c r="L27" s="21" t="str">
        <x:v>是</x:v>
      </x:c>
      <x:c r="M27" s="21" t="str">
        <x:v>人名</x:v>
      </x:c>
      <x:c r="N27" s="21" t="str">
        <x:v>source_and_lexicon_matched</x:v>
      </x:c>
      <x:c r="O27" s="21" t="str">
        <x:v>rule_generated_from_official_table</x:v>
      </x:c>
      <x:c r="P27" s="21" t="n">
        <x:v>1</x:v>
      </x:c>
      <x:c r="Q27" s="21" t="str">
        <x:v>https://doxa.billmounce.com/Flashcards%20%28BBG%29.pdf</x:v>
      </x:c>
      <x:c r="R27" s="16" t="str"/>
    </x:row>
    <x:row r="28" ht="28" customHeight="1">
      <x:c r="A28" s="21" t="n">
        <x:v>24</x:v>
      </x:c>
      <x:c r="B28" s="21" t="n">
        <x:f>ROUNDUP(A28/50,0)</x:f>
        <x:v>1</x:v>
      </x:c>
      <x:c r="C28" s="21" t="n">
        <x:f>MOD(A28-1,50)+1</x:f>
        <x:v>24</x:v>
      </x:c>
      <x:c r="D28" s="29" t="str">
        <x:v>Πέτρος, -ου, ὁ</x:v>
      </x:c>
      <x:c r="E28" s="29" t="str">
        <x:v>Πέτρος</x:v>
      </x:c>
      <x:c r="F28" s="27" t="str">
        <x:v>Petros</x:v>
      </x:c>
      <x:c r="G28" s="20" t="str">
        <x:v>a (piece of) rock (larger than G3037 (λίθος)); as a name, Petrus, an apostle</x:v>
      </x:c>
      <x:c r="H28" s="20" t="str"/>
      <x:c r="I28" s="21" t="n">
        <x:v>4</x:v>
      </x:c>
      <x:c r="J28" s="21" t="str">
        <x:v>BBG 課序</x:v>
      </x:c>
      <x:c r="K28" s="21" t="str">
        <x:v>G4074</x:v>
      </x:c>
      <x:c r="L28" s="21" t="str">
        <x:v>是</x:v>
      </x:c>
      <x:c r="M28" s="21" t="str">
        <x:v>人名</x:v>
      </x:c>
      <x:c r="N28" s="21" t="str">
        <x:v>source_and_lexicon_matched</x:v>
      </x:c>
      <x:c r="O28" s="21" t="str">
        <x:v>rule_generated_from_official_table</x:v>
      </x:c>
      <x:c r="P28" s="21" t="n">
        <x:v>1</x:v>
      </x:c>
      <x:c r="Q28" s="21" t="str">
        <x:v>https://doxa.billmounce.com/Flashcards%20%28BBG%29.pdf</x:v>
      </x:c>
      <x:c r="R28" s="16" t="str"/>
    </x:row>
    <x:row r="29" ht="28" customHeight="1">
      <x:c r="A29" s="21" t="n">
        <x:v>25</x:v>
      </x:c>
      <x:c r="B29" s="21" t="n">
        <x:f>ROUNDUP(A29/50,0)</x:f>
        <x:v>1</x:v>
      </x:c>
      <x:c r="C29" s="21" t="n">
        <x:f>MOD(A29-1,50)+1</x:f>
        <x:v>25</x:v>
      </x:c>
      <x:c r="D29" s="29" t="str">
        <x:v>Πιλᾶτος, -ου, ὁ</x:v>
      </x:c>
      <x:c r="E29" s="29" t="str">
        <x:v>Πιλᾶτος</x:v>
      </x:c>
      <x:c r="F29" s="27" t="str">
        <x:v>Pilatos</x:v>
      </x:c>
      <x:c r="G29" s="20" t="str">
        <x:v>close-pressed, i.e. firm; Pilatus, a Roman</x:v>
      </x:c>
      <x:c r="H29" s="20" t="str"/>
      <x:c r="I29" s="21" t="n">
        <x:v>4</x:v>
      </x:c>
      <x:c r="J29" s="21" t="str">
        <x:v>BBG 課序</x:v>
      </x:c>
      <x:c r="K29" s="21" t="str">
        <x:v>G4091</x:v>
      </x:c>
      <x:c r="L29" s="21" t="str">
        <x:v>是</x:v>
      </x:c>
      <x:c r="M29" s="21" t="str">
        <x:v>人名</x:v>
      </x:c>
      <x:c r="N29" s="21" t="str">
        <x:v>source_and_lexicon_matched</x:v>
      </x:c>
      <x:c r="O29" s="21" t="str">
        <x:v>rule_generated_from_official_table</x:v>
      </x:c>
      <x:c r="P29" s="21" t="n">
        <x:v>1</x:v>
      </x:c>
      <x:c r="Q29" s="21" t="str">
        <x:v>https://doxa.billmounce.com/Flashcards%20%28BBG%29.pdf</x:v>
      </x:c>
      <x:c r="R29" s="16" t="str"/>
    </x:row>
    <x:row r="30" ht="28" customHeight="1">
      <x:c r="A30" s="21" t="n">
        <x:v>26</x:v>
      </x:c>
      <x:c r="B30" s="21" t="n">
        <x:f>ROUNDUP(A30/50,0)</x:f>
        <x:v>1</x:v>
      </x:c>
      <x:c r="C30" s="21" t="n">
        <x:f>MOD(A30-1,50)+1</x:f>
        <x:v>26</x:v>
      </x:c>
      <x:c r="D30" s="29" t="str">
        <x:v>Σίμων, -ωνος, ὁ</x:v>
      </x:c>
      <x:c r="E30" s="29" t="str">
        <x:v>Σίμων</x:v>
      </x:c>
      <x:c r="F30" s="27" t="str">
        <x:v>Simōn</x:v>
      </x:c>
      <x:c r="G30" s="20" t="str">
        <x:v>Simon (i.e. Shimon), the name of nine Israelites</x:v>
      </x:c>
      <x:c r="H30" s="20" t="str"/>
      <x:c r="I30" s="21" t="n">
        <x:v>4</x:v>
      </x:c>
      <x:c r="J30" s="21" t="str">
        <x:v>BBG 課序</x:v>
      </x:c>
      <x:c r="K30" s="21" t="str">
        <x:v>G4613</x:v>
      </x:c>
      <x:c r="L30" s="21" t="str">
        <x:v>是</x:v>
      </x:c>
      <x:c r="M30" s="21" t="str">
        <x:v>人名</x:v>
      </x:c>
      <x:c r="N30" s="21" t="str">
        <x:v>source_and_lexicon_matched</x:v>
      </x:c>
      <x:c r="O30" s="21" t="str">
        <x:v>rule_generated_from_official_table</x:v>
      </x:c>
      <x:c r="P30" s="21" t="n">
        <x:v>1</x:v>
      </x:c>
      <x:c r="Q30" s="21" t="str">
        <x:v>https://doxa.billmounce.com/Flashcards%20%28BBG%29.pdf</x:v>
      </x:c>
      <x:c r="R30" s="16" t="str"/>
    </x:row>
    <x:row r="31" ht="28" customHeight="1">
      <x:c r="A31" s="21" t="n">
        <x:v>27</x:v>
      </x:c>
      <x:c r="B31" s="21" t="n">
        <x:f>ROUNDUP(A31/50,0)</x:f>
        <x:v>1</x:v>
      </x:c>
      <x:c r="C31" s="21" t="n">
        <x:f>MOD(A31-1,50)+1</x:f>
        <x:v>27</x:v>
      </x:c>
      <x:c r="D31" s="29" t="str">
        <x:v>ἀγάπη, -ης, ἡ</x:v>
      </x:c>
      <x:c r="E31" s="29" t="str">
        <x:v>ἀγάπη</x:v>
      </x:c>
      <x:c r="F31" s="27" t="str">
        <x:v>agapē</x:v>
      </x:c>
      <x:c r="G31" s="20" t="str">
        <x:v>love, i.e. affection or benevolence; specially (plural) a love-feast</x:v>
      </x:c>
      <x:c r="H31" s="20" t="str"/>
      <x:c r="I31" s="21" t="n">
        <x:v>6</x:v>
      </x:c>
      <x:c r="J31" s="21" t="str">
        <x:v>BBG 課序</x:v>
      </x:c>
      <x:c r="K31" s="21" t="str">
        <x:v>G26</x:v>
      </x:c>
      <x:c r="L31" s="21" t="str">
        <x:v>否</x:v>
      </x:c>
      <x:c r="M31" s="21" t="str"/>
      <x:c r="N31" s="21" t="str">
        <x:v>source_and_lexicon_matched</x:v>
      </x:c>
      <x:c r="O31" s="21" t="str">
        <x:v>rule_generated_from_official_table</x:v>
      </x:c>
      <x:c r="P31" s="21" t="n">
        <x:v>1</x:v>
      </x:c>
      <x:c r="Q31" s="21" t="str">
        <x:v>https://doxa.billmounce.com/Flashcards%20%28BBG%29.pdf</x:v>
      </x:c>
      <x:c r="R31" s="16" t="str"/>
    </x:row>
    <x:row r="32" ht="28" customHeight="1">
      <x:c r="A32" s="21" t="n">
        <x:v>28</x:v>
      </x:c>
      <x:c r="B32" s="21" t="n">
        <x:f>ROUNDUP(A32/50,0)</x:f>
        <x:v>1</x:v>
      </x:c>
      <x:c r="C32" s="21" t="n">
        <x:f>MOD(A32-1,50)+1</x:f>
        <x:v>28</x:v>
      </x:c>
      <x:c r="D32" s="29" t="str">
        <x:v>ἄλλος, -η, -ο</x:v>
      </x:c>
      <x:c r="E32" s="29" t="str">
        <x:v>ἄλλος</x:v>
      </x:c>
      <x:c r="F32" s="27" t="str">
        <x:v>allos</x:v>
      </x:c>
      <x:c r="G32" s="20" t="str">
        <x:v>"else," i.e. different (in many applications)</x:v>
      </x:c>
      <x:c r="H32" s="20" t="str"/>
      <x:c r="I32" s="21" t="n">
        <x:v>6</x:v>
      </x:c>
      <x:c r="J32" s="21" t="str">
        <x:v>BBG 課序</x:v>
      </x:c>
      <x:c r="K32" s="21" t="str">
        <x:v>G243</x:v>
      </x:c>
      <x:c r="L32" s="21" t="str">
        <x:v>否</x:v>
      </x:c>
      <x:c r="M32" s="21" t="str"/>
      <x:c r="N32" s="21" t="str">
        <x:v>source_and_lexicon_matched</x:v>
      </x:c>
      <x:c r="O32" s="21" t="str">
        <x:v>rule_generated_from_official_table</x:v>
      </x:c>
      <x:c r="P32" s="21" t="n">
        <x:v>1</x:v>
      </x:c>
      <x:c r="Q32" s="21" t="str">
        <x:v>https://doxa.billmounce.com/Flashcards%20%28BBG%29.pdf</x:v>
      </x:c>
      <x:c r="R32" s="16" t="str"/>
    </x:row>
    <x:row r="33" ht="28" customHeight="1">
      <x:c r="A33" s="21" t="n">
        <x:v>29</x:v>
      </x:c>
      <x:c r="B33" s="21" t="n">
        <x:f>ROUNDUP(A33/50,0)</x:f>
        <x:v>1</x:v>
      </x:c>
      <x:c r="C33" s="21" t="n">
        <x:f>MOD(A33-1,50)+1</x:f>
        <x:v>29</x:v>
      </x:c>
      <x:c r="D33" s="29" t="str">
        <x:v>αὐτός, -ή, -ό</x:v>
      </x:c>
      <x:c r="E33" s="29" t="str">
        <x:v>αὐτός</x:v>
      </x:c>
      <x:c r="F33" s="27" t="str">
        <x:v>autos</x:v>
      </x:c>
      <x:c r="G33" s="20" t="str">
        <x:v>the reflexive pronoun self, used (alone or in the comparative G1438 (ἑαυτοῦ)) of the third person , and (with the proper personal pronoun) of the other persons</x:v>
      </x:c>
      <x:c r="H33" s="20" t="str"/>
      <x:c r="I33" s="21" t="n">
        <x:v>6</x:v>
      </x:c>
      <x:c r="J33" s="21" t="str">
        <x:v>BBG 課序</x:v>
      </x:c>
      <x:c r="K33" s="21" t="str">
        <x:v>G846</x:v>
      </x:c>
      <x:c r="L33" s="21" t="str">
        <x:v>否</x:v>
      </x:c>
      <x:c r="M33" s="21" t="str"/>
      <x:c r="N33" s="21" t="str">
        <x:v>source_and_lexicon_matched</x:v>
      </x:c>
      <x:c r="O33" s="21" t="str">
        <x:v>rule_generated_from_official_table</x:v>
      </x:c>
      <x:c r="P33" s="21" t="n">
        <x:v>1</x:v>
      </x:c>
      <x:c r="Q33" s="21" t="str">
        <x:v>https://doxa.billmounce.com/Flashcards%20%28BBG%29.pdf</x:v>
      </x:c>
      <x:c r="R33" s="16" t="str"/>
    </x:row>
    <x:row r="34" ht="28" customHeight="1">
      <x:c r="A34" s="21" t="n">
        <x:v>30</x:v>
      </x:c>
      <x:c r="B34" s="21" t="n">
        <x:f>ROUNDUP(A34/50,0)</x:f>
        <x:v>1</x:v>
      </x:c>
      <x:c r="C34" s="21" t="n">
        <x:f>MOD(A34-1,50)+1</x:f>
        <x:v>30</x:v>
      </x:c>
      <x:c r="D34" s="29" t="str">
        <x:v>βασιλεία, -ας, ἡ</x:v>
      </x:c>
      <x:c r="E34" s="29" t="str">
        <x:v>βασιλεία</x:v>
      </x:c>
      <x:c r="F34" s="27" t="str">
        <x:v>basileia</x:v>
      </x:c>
      <x:c r="G34" s="20" t="str">
        <x:v>properly, royalty, i.e. (abstractly) rule, or (concretely) a realm (literally or figuratively)</x:v>
      </x:c>
      <x:c r="H34" s="20" t="str"/>
      <x:c r="I34" s="21" t="n">
        <x:v>6</x:v>
      </x:c>
      <x:c r="J34" s="21" t="str">
        <x:v>BBG 課序</x:v>
      </x:c>
      <x:c r="K34" s="21" t="str">
        <x:v>G932</x:v>
      </x:c>
      <x:c r="L34" s="21" t="str">
        <x:v>否</x:v>
      </x:c>
      <x:c r="M34" s="21" t="str"/>
      <x:c r="N34" s="21" t="str">
        <x:v>source_and_lexicon_matched</x:v>
      </x:c>
      <x:c r="O34" s="21" t="str">
        <x:v>rule_generated_from_official_table</x:v>
      </x:c>
      <x:c r="P34" s="21" t="n">
        <x:v>1</x:v>
      </x:c>
      <x:c r="Q34" s="21" t="str">
        <x:v>https://doxa.billmounce.com/Flashcards%20%28BBG%29.pdf</x:v>
      </x:c>
      <x:c r="R34" s="16" t="str"/>
    </x:row>
    <x:row r="35" ht="28" customHeight="1">
      <x:c r="A35" s="21" t="n">
        <x:v>31</x:v>
      </x:c>
      <x:c r="B35" s="21" t="n">
        <x:f>ROUNDUP(A35/50,0)</x:f>
        <x:v>1</x:v>
      </x:c>
      <x:c r="C35" s="21" t="n">
        <x:f>MOD(A35-1,50)+1</x:f>
        <x:v>31</x:v>
      </x:c>
      <x:c r="D35" s="29" t="str">
        <x:v>δέ</x:v>
      </x:c>
      <x:c r="E35" s="29" t="str">
        <x:v>δέ</x:v>
      </x:c>
      <x:c r="F35" s="27" t="str">
        <x:v>de</x:v>
      </x:c>
      <x:c r="G35" s="20" t="str">
        <x:v>but, and, etc.</x:v>
      </x:c>
      <x:c r="H35" s="20" t="str"/>
      <x:c r="I35" s="21" t="n">
        <x:v>6</x:v>
      </x:c>
      <x:c r="J35" s="21" t="str">
        <x:v>BBG 課序</x:v>
      </x:c>
      <x:c r="K35" s="21" t="str">
        <x:v>G1161</x:v>
      </x:c>
      <x:c r="L35" s="21" t="str">
        <x:v>否</x:v>
      </x:c>
      <x:c r="M35" s="21" t="str"/>
      <x:c r="N35" s="21" t="str">
        <x:v>source_and_lexicon_matched</x:v>
      </x:c>
      <x:c r="O35" s="21" t="str">
        <x:v>rule_generated_from_official_table</x:v>
      </x:c>
      <x:c r="P35" s="21" t="n">
        <x:v>1</x:v>
      </x:c>
      <x:c r="Q35" s="21" t="str">
        <x:v>https://doxa.billmounce.com/Flashcards%20%28BBG%29.pdf</x:v>
      </x:c>
      <x:c r="R35" s="16" t="str"/>
    </x:row>
    <x:row r="36" ht="28" customHeight="1">
      <x:c r="A36" s="21" t="n">
        <x:v>32</x:v>
      </x:c>
      <x:c r="B36" s="21" t="n">
        <x:f>ROUNDUP(A36/50,0)</x:f>
        <x:v>1</x:v>
      </x:c>
      <x:c r="C36" s="21" t="n">
        <x:f>MOD(A36-1,50)+1</x:f>
        <x:v>32</x:v>
      </x:c>
      <x:c r="D36" s="29" t="str">
        <x:v>ἐν</x:v>
      </x:c>
      <x:c r="E36" s="29" t="str">
        <x:v>ἐν</x:v>
      </x:c>
      <x:c r="F36" s="27" t="str">
        <x:v>en</x:v>
      </x:c>
      <x:c r="G36" s="20" t="str">
        <x:v>"in," at, (up-)on, by, etc.</x:v>
      </x:c>
      <x:c r="H36" s="20" t="str"/>
      <x:c r="I36" s="21" t="n">
        <x:v>6</x:v>
      </x:c>
      <x:c r="J36" s="21" t="str">
        <x:v>BBG 課序</x:v>
      </x:c>
      <x:c r="K36" s="21" t="str">
        <x:v>G1722</x:v>
      </x:c>
      <x:c r="L36" s="21" t="str">
        <x:v>否</x:v>
      </x:c>
      <x:c r="M36" s="21" t="str"/>
      <x:c r="N36" s="21" t="str">
        <x:v>source_and_lexicon_matched</x:v>
      </x:c>
      <x:c r="O36" s="21" t="str">
        <x:v>rule_generated_from_official_table</x:v>
      </x:c>
      <x:c r="P36" s="21" t="n">
        <x:v>1</x:v>
      </x:c>
      <x:c r="Q36" s="21" t="str">
        <x:v>https://doxa.billmounce.com/Flashcards%20%28BBG%29.pdf</x:v>
      </x:c>
      <x:c r="R36" s="16" t="str"/>
    </x:row>
    <x:row r="37" ht="28" customHeight="1">
      <x:c r="A37" s="21" t="n">
        <x:v>33</x:v>
      </x:c>
      <x:c r="B37" s="21" t="n">
        <x:f>ROUNDUP(A37/50,0)</x:f>
        <x:v>1</x:v>
      </x:c>
      <x:c r="C37" s="21" t="n">
        <x:f>MOD(A37-1,50)+1</x:f>
        <x:v>33</x:v>
      </x:c>
      <x:c r="D37" s="29" t="str">
        <x:v>ἔργον, -ου, τό</x:v>
      </x:c>
      <x:c r="E37" s="29" t="str">
        <x:v>ἔργον</x:v>
      </x:c>
      <x:c r="F37" s="27" t="str">
        <x:v>ergon</x:v>
      </x:c>
      <x:c r="G37" s="20" t="str">
        <x:v>toil (as an effort or occupation); by implication, an act</x:v>
      </x:c>
      <x:c r="H37" s="20" t="str"/>
      <x:c r="I37" s="21" t="n">
        <x:v>6</x:v>
      </x:c>
      <x:c r="J37" s="21" t="str">
        <x:v>BBG 課序</x:v>
      </x:c>
      <x:c r="K37" s="21" t="str">
        <x:v>G2041</x:v>
      </x:c>
      <x:c r="L37" s="21" t="str">
        <x:v>否</x:v>
      </x:c>
      <x:c r="M37" s="21" t="str"/>
      <x:c r="N37" s="21" t="str">
        <x:v>source_and_lexicon_matched</x:v>
      </x:c>
      <x:c r="O37" s="21" t="str">
        <x:v>rule_generated_from_official_table</x:v>
      </x:c>
      <x:c r="P37" s="21" t="n">
        <x:v>1</x:v>
      </x:c>
      <x:c r="Q37" s="21" t="str">
        <x:v>https://doxa.billmounce.com/Flashcards%20%28BBG%29.pdf</x:v>
      </x:c>
      <x:c r="R37" s="16" t="str"/>
    </x:row>
    <x:row r="38" ht="28" customHeight="1">
      <x:c r="A38" s="21" t="n">
        <x:v>34</x:v>
      </x:c>
      <x:c r="B38" s="21" t="n">
        <x:f>ROUNDUP(A38/50,0)</x:f>
        <x:v>1</x:v>
      </x:c>
      <x:c r="C38" s="21" t="n">
        <x:f>MOD(A38-1,50)+1</x:f>
        <x:v>34</x:v>
      </x:c>
      <x:c r="D38" s="29" t="str">
        <x:v>καιρός, -οῦ, ὁ</x:v>
      </x:c>
      <x:c r="E38" s="29" t="str">
        <x:v>καιρός</x:v>
      </x:c>
      <x:c r="F38" s="27" t="str">
        <x:v>kairos</x:v>
      </x:c>
      <x:c r="G38" s="20" t="str">
        <x:v>an occasion, i.e. set or proper time</x:v>
      </x:c>
      <x:c r="H38" s="20" t="str"/>
      <x:c r="I38" s="21" t="n">
        <x:v>6</x:v>
      </x:c>
      <x:c r="J38" s="21" t="str">
        <x:v>BBG 課序</x:v>
      </x:c>
      <x:c r="K38" s="21" t="str">
        <x:v>G2540</x:v>
      </x:c>
      <x:c r="L38" s="21" t="str">
        <x:v>否</x:v>
      </x:c>
      <x:c r="M38" s="21" t="str"/>
      <x:c r="N38" s="21" t="str">
        <x:v>source_and_lexicon_matched</x:v>
      </x:c>
      <x:c r="O38" s="21" t="str">
        <x:v>rule_generated_from_official_table</x:v>
      </x:c>
      <x:c r="P38" s="21" t="n">
        <x:v>1</x:v>
      </x:c>
      <x:c r="Q38" s="21" t="str">
        <x:v>https://doxa.billmounce.com/Flashcards%20%28BBG%29.pdf</x:v>
      </x:c>
      <x:c r="R38" s="16" t="str"/>
    </x:row>
    <x:row r="39" ht="28" customHeight="1">
      <x:c r="A39" s="21" t="n">
        <x:v>35</x:v>
      </x:c>
      <x:c r="B39" s="21" t="n">
        <x:f>ROUNDUP(A39/50,0)</x:f>
        <x:v>1</x:v>
      </x:c>
      <x:c r="C39" s="21" t="n">
        <x:f>MOD(A39-1,50)+1</x:f>
        <x:v>35</x:v>
      </x:c>
      <x:c r="D39" s="29" t="str">
        <x:v>νῦν</x:v>
      </x:c>
      <x:c r="E39" s="29" t="str">
        <x:v>νῦν</x:v>
      </x:c>
      <x:c r="F39" s="27" t="str">
        <x:v>nun</x:v>
      </x:c>
      <x:c r="G39" s="20" t="str">
        <x:v>"now" (as adverb of date, a transition or emphasis); also as noun or adjective present or immediate</x:v>
      </x:c>
      <x:c r="H39" s="20" t="str"/>
      <x:c r="I39" s="21" t="n">
        <x:v>6</x:v>
      </x:c>
      <x:c r="J39" s="21" t="str">
        <x:v>BBG 課序</x:v>
      </x:c>
      <x:c r="K39" s="21" t="str">
        <x:v>G3568</x:v>
      </x:c>
      <x:c r="L39" s="21" t="str">
        <x:v>否</x:v>
      </x:c>
      <x:c r="M39" s="21" t="str"/>
      <x:c r="N39" s="21" t="str">
        <x:v>source_and_lexicon_matched</x:v>
      </x:c>
      <x:c r="O39" s="21" t="str">
        <x:v>rule_generated_from_official_table</x:v>
      </x:c>
      <x:c r="P39" s="21" t="n">
        <x:v>1</x:v>
      </x:c>
      <x:c r="Q39" s="21" t="str">
        <x:v>https://doxa.billmounce.com/Flashcards%20%28BBG%29.pdf</x:v>
      </x:c>
      <x:c r="R39" s="16" t="str"/>
    </x:row>
    <x:row r="40" ht="28" customHeight="1">
      <x:c r="A40" s="21" t="n">
        <x:v>36</x:v>
      </x:c>
      <x:c r="B40" s="21" t="n">
        <x:f>ROUNDUP(A40/50,0)</x:f>
        <x:v>1</x:v>
      </x:c>
      <x:c r="C40" s="21" t="n">
        <x:f>MOD(A40-1,50)+1</x:f>
        <x:v>36</x:v>
      </x:c>
      <x:c r="D40" s="29" t="str">
        <x:v>ὁ, ἡ, τό</x:v>
      </x:c>
      <x:c r="E40" s="29" t="str">
        <x:v>ὁ</x:v>
      </x:c>
      <x:c r="F40" s="27" t="str">
        <x:v>ho</x:v>
      </x:c>
      <x:c r="G40" s="20" t="str">
        <x:v>the (sometimes to be supplied, at others omitted, in English idiom)</x:v>
      </x:c>
      <x:c r="H40" s="20" t="str"/>
      <x:c r="I40" s="21" t="n">
        <x:v>6</x:v>
      </x:c>
      <x:c r="J40" s="21" t="str">
        <x:v>BBG 課序</x:v>
      </x:c>
      <x:c r="K40" s="21" t="str">
        <x:v>G3588</x:v>
      </x:c>
      <x:c r="L40" s="21" t="str">
        <x:v>否</x:v>
      </x:c>
      <x:c r="M40" s="21" t="str"/>
      <x:c r="N40" s="21" t="str">
        <x:v>source_and_lexicon_matched</x:v>
      </x:c>
      <x:c r="O40" s="21" t="str">
        <x:v>rule_generated_from_official_table</x:v>
      </x:c>
      <x:c r="P40" s="21" t="n">
        <x:v>1</x:v>
      </x:c>
      <x:c r="Q40" s="21" t="str">
        <x:v>https://doxa.billmounce.com/Flashcards%20%28BBG%29.pdf</x:v>
      </x:c>
      <x:c r="R40" s="16" t="str"/>
    </x:row>
    <x:row r="41" ht="28" customHeight="1">
      <x:c r="A41" s="21" t="n">
        <x:v>37</x:v>
      </x:c>
      <x:c r="B41" s="21" t="n">
        <x:f>ROUNDUP(A41/50,0)</x:f>
        <x:v>1</x:v>
      </x:c>
      <x:c r="C41" s="21" t="n">
        <x:f>MOD(A41-1,50)+1</x:f>
        <x:v>37</x:v>
      </x:c>
      <x:c r="D41" s="29" t="str">
        <x:v>ὅτι</x:v>
      </x:c>
      <x:c r="E41" s="29" t="str">
        <x:v>ὅτι</x:v>
      </x:c>
      <x:c r="F41" s="27" t="str">
        <x:v>hoti</x:v>
      </x:c>
      <x:c r="G41" s="20" t="str">
        <x:v>demonstrative, that (sometimes redundant); causative, because</x:v>
      </x:c>
      <x:c r="H41" s="20" t="str"/>
      <x:c r="I41" s="21" t="n">
        <x:v>6</x:v>
      </x:c>
      <x:c r="J41" s="21" t="str">
        <x:v>BBG 課序</x:v>
      </x:c>
      <x:c r="K41" s="21" t="str">
        <x:v>G3754</x:v>
      </x:c>
      <x:c r="L41" s="21" t="str">
        <x:v>否</x:v>
      </x:c>
      <x:c r="M41" s="21" t="str"/>
      <x:c r="N41" s="21" t="str">
        <x:v>source_and_lexicon_matched</x:v>
      </x:c>
      <x:c r="O41" s="21" t="str">
        <x:v>rule_generated_from_official_table</x:v>
      </x:c>
      <x:c r="P41" s="21" t="n">
        <x:v>1</x:v>
      </x:c>
      <x:c r="Q41" s="21" t="str">
        <x:v>https://doxa.billmounce.com/Flashcards%20%28BBG%29.pdf</x:v>
      </x:c>
      <x:c r="R41" s="16" t="str"/>
    </x:row>
    <x:row r="42" ht="28" customHeight="1">
      <x:c r="A42" s="21" t="n">
        <x:v>38</x:v>
      </x:c>
      <x:c r="B42" s="21" t="n">
        <x:f>ROUNDUP(A42/50,0)</x:f>
        <x:v>1</x:v>
      </x:c>
      <x:c r="C42" s="21" t="n">
        <x:f>MOD(A42-1,50)+1</x:f>
        <x:v>38</x:v>
      </x:c>
      <x:c r="D42" s="29" t="str">
        <x:v>οὐ (οὐκ, οὐχ)</x:v>
      </x:c>
      <x:c r="E42" s="29" t="str">
        <x:v>οὐ (οὐκ</x:v>
      </x:c>
      <x:c r="F42" s="27" t="str">
        <x:v>ououk</x:v>
      </x:c>
      <x:c r="G42" s="20" t="str"/>
      <x:c r="H42" s="20" t="str"/>
      <x:c r="I42" s="21" t="n">
        <x:v>6</x:v>
      </x:c>
      <x:c r="J42" s="21" t="str">
        <x:v>BBG 課序</x:v>
      </x:c>
      <x:c r="K42" s="21" t="str"/>
      <x:c r="L42" s="21" t="str">
        <x:v>否</x:v>
      </x:c>
      <x:c r="M42" s="21" t="str"/>
      <x:c r="N42" s="21" t="str">
        <x:v>source_verified_lexicon_pending</x:v>
      </x:c>
      <x:c r="O42" s="21" t="str">
        <x:v>rule_generated_from_official_table</x:v>
      </x:c>
      <x:c r="P42" s="21" t="n">
        <x:v>1</x:v>
      </x:c>
      <x:c r="Q42" s="21" t="str">
        <x:v>https://doxa.billmounce.com/Flashcards%20%28BBG%29.pdf</x:v>
      </x:c>
      <x:c r="R42" s="16" t="str"/>
    </x:row>
    <x:row r="43" ht="28" customHeight="1">
      <x:c r="A43" s="21" t="n">
        <x:v>39</x:v>
      </x:c>
      <x:c r="B43" s="21" t="n">
        <x:f>ROUNDUP(A43/50,0)</x:f>
        <x:v>1</x:v>
      </x:c>
      <x:c r="C43" s="21" t="n">
        <x:f>MOD(A43-1,50)+1</x:f>
        <x:v>39</x:v>
      </x:c>
      <x:c r="D43" s="29" t="str">
        <x:v>ὥρα, -ας, ἡ</x:v>
      </x:c>
      <x:c r="E43" s="29" t="str">
        <x:v>ὥρα</x:v>
      </x:c>
      <x:c r="F43" s="27" t="str">
        <x:v>hōra</x:v>
      </x:c>
      <x:c r="G43" s="20" t="str">
        <x:v>an "hour" (literally or figuratively)</x:v>
      </x:c>
      <x:c r="H43" s="20" t="str"/>
      <x:c r="I43" s="21" t="n">
        <x:v>6</x:v>
      </x:c>
      <x:c r="J43" s="21" t="str">
        <x:v>BBG 課序</x:v>
      </x:c>
      <x:c r="K43" s="21" t="str">
        <x:v>G5610</x:v>
      </x:c>
      <x:c r="L43" s="21" t="str">
        <x:v>否</x:v>
      </x:c>
      <x:c r="M43" s="21" t="str"/>
      <x:c r="N43" s="21" t="str">
        <x:v>source_and_lexicon_matched</x:v>
      </x:c>
      <x:c r="O43" s="21" t="str">
        <x:v>rule_generated_from_official_table</x:v>
      </x:c>
      <x:c r="P43" s="21" t="n">
        <x:v>1</x:v>
      </x:c>
      <x:c r="Q43" s="21" t="str">
        <x:v>https://doxa.billmounce.com/Flashcards%20%28BBG%29.pdf</x:v>
      </x:c>
      <x:c r="R43" s="16" t="str"/>
    </x:row>
    <x:row r="44" ht="28" customHeight="1">
      <x:c r="A44" s="21" t="n">
        <x:v>40</x:v>
      </x:c>
      <x:c r="B44" s="21" t="n">
        <x:f>ROUNDUP(A44/50,0)</x:f>
        <x:v>1</x:v>
      </x:c>
      <x:c r="C44" s="21" t="n">
        <x:f>MOD(A44-1,50)+1</x:f>
        <x:v>40</x:v>
      </x:c>
      <x:c r="D44" s="29" t="str">
        <x:v>ἁμαρτία, -ας, ἡ</x:v>
      </x:c>
      <x:c r="E44" s="29" t="str">
        <x:v>ἁμαρτία</x:v>
      </x:c>
      <x:c r="F44" s="27" t="str">
        <x:v>hamartia</x:v>
      </x:c>
      <x:c r="G44" s="20" t="str">
        <x:v>a sin (properly abstract)</x:v>
      </x:c>
      <x:c r="H44" s="20" t="str"/>
      <x:c r="I44" s="21" t="n">
        <x:v>7</x:v>
      </x:c>
      <x:c r="J44" s="21" t="str">
        <x:v>BBG 課序</x:v>
      </x:c>
      <x:c r="K44" s="21" t="str">
        <x:v>G266</x:v>
      </x:c>
      <x:c r="L44" s="21" t="str">
        <x:v>否</x:v>
      </x:c>
      <x:c r="M44" s="21" t="str"/>
      <x:c r="N44" s="21" t="str">
        <x:v>source_and_lexicon_matched</x:v>
      </x:c>
      <x:c r="O44" s="21" t="str">
        <x:v>rule_generated_from_official_table</x:v>
      </x:c>
      <x:c r="P44" s="21" t="n">
        <x:v>1</x:v>
      </x:c>
      <x:c r="Q44" s="21" t="str">
        <x:v>https://doxa.billmounce.com/Flashcards%20%28BBG%29.pdf</x:v>
      </x:c>
      <x:c r="R44" s="16" t="str"/>
    </x:row>
    <x:row r="45" ht="28" customHeight="1">
      <x:c r="A45" s="21" t="n">
        <x:v>41</x:v>
      </x:c>
      <x:c r="B45" s="21" t="n">
        <x:f>ROUNDUP(A45/50,0)</x:f>
        <x:v>1</x:v>
      </x:c>
      <x:c r="C45" s="21" t="n">
        <x:f>MOD(A45-1,50)+1</x:f>
        <x:v>41</x:v>
      </x:c>
      <x:c r="D45" s="29" t="str">
        <x:v>ἀρχή, -ῆς, ἡ</x:v>
      </x:c>
      <x:c r="E45" s="29" t="str">
        <x:v>ἀρχή</x:v>
      </x:c>
      <x:c r="F45" s="27" t="str">
        <x:v>archē</x:v>
      </x:c>
      <x:c r="G45" s="20" t="str">
        <x:v>(properly abstract) a commencement, or (concretely) chief (in various applications of order, time, place, or rank)</x:v>
      </x:c>
      <x:c r="H45" s="20" t="str"/>
      <x:c r="I45" s="21" t="n">
        <x:v>7</x:v>
      </x:c>
      <x:c r="J45" s="21" t="str">
        <x:v>BBG 課序</x:v>
      </x:c>
      <x:c r="K45" s="21" t="str">
        <x:v>G746</x:v>
      </x:c>
      <x:c r="L45" s="21" t="str">
        <x:v>否</x:v>
      </x:c>
      <x:c r="M45" s="21" t="str"/>
      <x:c r="N45" s="21" t="str">
        <x:v>source_and_lexicon_matched</x:v>
      </x:c>
      <x:c r="O45" s="21" t="str">
        <x:v>rule_generated_from_official_table</x:v>
      </x:c>
      <x:c r="P45" s="21" t="n">
        <x:v>1</x:v>
      </x:c>
      <x:c r="Q45" s="21" t="str">
        <x:v>https://doxa.billmounce.com/Flashcards%20%28BBG%29.pdf</x:v>
      </x:c>
      <x:c r="R45" s="16" t="str"/>
    </x:row>
    <x:row r="46" ht="28" customHeight="1">
      <x:c r="A46" s="21" t="n">
        <x:v>42</x:v>
      </x:c>
      <x:c r="B46" s="21" t="n">
        <x:f>ROUNDUP(A46/50,0)</x:f>
        <x:v>1</x:v>
      </x:c>
      <x:c r="C46" s="21" t="n">
        <x:f>MOD(A46-1,50)+1</x:f>
        <x:v>42</x:v>
      </x:c>
      <x:c r="D46" s="29" t="str">
        <x:v>γάρ</x:v>
      </x:c>
      <x:c r="E46" s="29" t="str">
        <x:v>γάρ</x:v>
      </x:c>
      <x:c r="F46" s="27" t="str">
        <x:v>gar</x:v>
      </x:c>
      <x:c r="G46" s="20" t="str">
        <x:v>properly, assigning a reason (used in argument, explanation or intensification; often with other particles)</x:v>
      </x:c>
      <x:c r="H46" s="20" t="str"/>
      <x:c r="I46" s="21" t="n">
        <x:v>7</x:v>
      </x:c>
      <x:c r="J46" s="21" t="str">
        <x:v>BBG 課序</x:v>
      </x:c>
      <x:c r="K46" s="21" t="str">
        <x:v>G1063</x:v>
      </x:c>
      <x:c r="L46" s="21" t="str">
        <x:v>否</x:v>
      </x:c>
      <x:c r="M46" s="21" t="str"/>
      <x:c r="N46" s="21" t="str">
        <x:v>source_and_lexicon_matched</x:v>
      </x:c>
      <x:c r="O46" s="21" t="str">
        <x:v>rule_generated_from_official_table</x:v>
      </x:c>
      <x:c r="P46" s="21" t="n">
        <x:v>1</x:v>
      </x:c>
      <x:c r="Q46" s="21" t="str">
        <x:v>https://doxa.billmounce.com/Flashcards%20%28BBG%29.pdf</x:v>
      </x:c>
      <x:c r="R46" s="16" t="str"/>
    </x:row>
    <x:row r="47" ht="28" customHeight="1">
      <x:c r="A47" s="21" t="n">
        <x:v>43</x:v>
      </x:c>
      <x:c r="B47" s="21" t="n">
        <x:f>ROUNDUP(A47/50,0)</x:f>
        <x:v>1</x:v>
      </x:c>
      <x:c r="C47" s="21" t="n">
        <x:f>MOD(A47-1,50)+1</x:f>
        <x:v>43</x:v>
      </x:c>
      <x:c r="D47" s="29" t="str">
        <x:v>εἶπεν</x:v>
      </x:c>
      <x:c r="E47" s="29" t="str">
        <x:v>εἶπεν</x:v>
      </x:c>
      <x:c r="F47" s="27" t="str">
        <x:v>eipen</x:v>
      </x:c>
      <x:c r="G47" s="20" t="str"/>
      <x:c r="H47" s="20" t="str"/>
      <x:c r="I47" s="21" t="n">
        <x:v>7</x:v>
      </x:c>
      <x:c r="J47" s="21" t="str">
        <x:v>BBG 課序</x:v>
      </x:c>
      <x:c r="K47" s="21" t="str"/>
      <x:c r="L47" s="21" t="str">
        <x:v>否</x:v>
      </x:c>
      <x:c r="M47" s="21" t="str"/>
      <x:c r="N47" s="21" t="str">
        <x:v>source_verified_lexicon_pending</x:v>
      </x:c>
      <x:c r="O47" s="21" t="str">
        <x:v>rule_generated_from_official_table</x:v>
      </x:c>
      <x:c r="P47" s="21" t="n">
        <x:v>1</x:v>
      </x:c>
      <x:c r="Q47" s="21" t="str">
        <x:v>https://doxa.billmounce.com/Flashcards%20%28BBG%29.pdf</x:v>
      </x:c>
      <x:c r="R47" s="16" t="str"/>
    </x:row>
    <x:row r="48" ht="28" customHeight="1">
      <x:c r="A48" s="21" t="n">
        <x:v>44</x:v>
      </x:c>
      <x:c r="B48" s="21" t="n">
        <x:f>ROUNDUP(A48/50,0)</x:f>
        <x:v>1</x:v>
      </x:c>
      <x:c r="C48" s="21" t="n">
        <x:f>MOD(A48-1,50)+1</x:f>
        <x:v>44</x:v>
      </x:c>
      <x:c r="D48" s="29" t="str">
        <x:v>εἰς</x:v>
      </x:c>
      <x:c r="E48" s="29" t="str">
        <x:v>εἰς</x:v>
      </x:c>
      <x:c r="F48" s="27" t="str">
        <x:v>eis</x:v>
      </x:c>
      <x:c r="G48" s="20" t="str">
        <x:v>to or into (indicating the point reached or entered), of place, time, or (figuratively) purpose (result, etc.); also in adverbial phrases</x:v>
      </x:c>
      <x:c r="H48" s="20" t="str"/>
      <x:c r="I48" s="21" t="n">
        <x:v>7</x:v>
      </x:c>
      <x:c r="J48" s="21" t="str">
        <x:v>BBG 課序</x:v>
      </x:c>
      <x:c r="K48" s="21" t="str">
        <x:v>G1519</x:v>
      </x:c>
      <x:c r="L48" s="21" t="str">
        <x:v>否</x:v>
      </x:c>
      <x:c r="M48" s="21" t="str"/>
      <x:c r="N48" s="21" t="str">
        <x:v>source_and_lexicon_matched</x:v>
      </x:c>
      <x:c r="O48" s="21" t="str">
        <x:v>rule_generated_from_official_table</x:v>
      </x:c>
      <x:c r="P48" s="21" t="n">
        <x:v>1</x:v>
      </x:c>
      <x:c r="Q48" s="21" t="str">
        <x:v>https://doxa.billmounce.com/Flashcards%20%28BBG%29.pdf</x:v>
      </x:c>
      <x:c r="R48" s="16" t="str"/>
    </x:row>
    <x:row r="49" ht="28" customHeight="1">
      <x:c r="A49" s="21" t="n">
        <x:v>45</x:v>
      </x:c>
      <x:c r="B49" s="21" t="n">
        <x:f>ROUNDUP(A49/50,0)</x:f>
        <x:v>1</x:v>
      </x:c>
      <x:c r="C49" s="21" t="n">
        <x:f>MOD(A49-1,50)+1</x:f>
        <x:v>45</x:v>
      </x:c>
      <x:c r="D49" s="29" t="str">
        <x:v>ἐξουσία, -ας, ἡ</x:v>
      </x:c>
      <x:c r="E49" s="29" t="str">
        <x:v>ἐξουσία</x:v>
      </x:c>
      <x:c r="F49" s="27" t="str">
        <x:v>exousia</x:v>
      </x:c>
      <x:c r="G49" s="20" t="str">
        <x:v>privilege, i.e. (subjectively) force, capacity, competency, freedom, or (objectively) mastery (concretely, magistrate, superhuman, potentate, token of control), delegated influence</x:v>
      </x:c>
      <x:c r="H49" s="20" t="str"/>
      <x:c r="I49" s="21" t="n">
        <x:v>7</x:v>
      </x:c>
      <x:c r="J49" s="21" t="str">
        <x:v>BBG 課序</x:v>
      </x:c>
      <x:c r="K49" s="21" t="str">
        <x:v>G1849</x:v>
      </x:c>
      <x:c r="L49" s="21" t="str">
        <x:v>否</x:v>
      </x:c>
      <x:c r="M49" s="21" t="str"/>
      <x:c r="N49" s="21" t="str">
        <x:v>source_and_lexicon_matched</x:v>
      </x:c>
      <x:c r="O49" s="21" t="str">
        <x:v>rule_generated_from_official_table</x:v>
      </x:c>
      <x:c r="P49" s="21" t="n">
        <x:v>1</x:v>
      </x:c>
      <x:c r="Q49" s="21" t="str">
        <x:v>https://doxa.billmounce.com/Flashcards%20%28BBG%29.pdf</x:v>
      </x:c>
      <x:c r="R49" s="16" t="str"/>
    </x:row>
    <x:row r="50" ht="28" customHeight="1">
      <x:c r="A50" s="21" t="n">
        <x:v>46</x:v>
      </x:c>
      <x:c r="B50" s="21" t="n">
        <x:f>ROUNDUP(A50/50,0)</x:f>
        <x:v>1</x:v>
      </x:c>
      <x:c r="C50" s="21" t="n">
        <x:f>MOD(A50-1,50)+1</x:f>
        <x:v>46</x:v>
      </x:c>
      <x:c r="D50" s="29" t="str">
        <x:v>εὐαγγέλιον, -ου, τό</x:v>
      </x:c>
      <x:c r="E50" s="29" t="str">
        <x:v>εὐαγγέλιον</x:v>
      </x:c>
      <x:c r="F50" s="27" t="str">
        <x:v>euangelion</x:v>
      </x:c>
      <x:c r="G50" s="20" t="str">
        <x:v>a good message, i.e. the gospel</x:v>
      </x:c>
      <x:c r="H50" s="20" t="str"/>
      <x:c r="I50" s="21" t="n">
        <x:v>7</x:v>
      </x:c>
      <x:c r="J50" s="21" t="str">
        <x:v>BBG 課序</x:v>
      </x:c>
      <x:c r="K50" s="21" t="str">
        <x:v>G2098</x:v>
      </x:c>
      <x:c r="L50" s="21" t="str">
        <x:v>否</x:v>
      </x:c>
      <x:c r="M50" s="21" t="str"/>
      <x:c r="N50" s="21" t="str">
        <x:v>source_and_lexicon_matched</x:v>
      </x:c>
      <x:c r="O50" s="21" t="str">
        <x:v>rule_generated_from_official_table</x:v>
      </x:c>
      <x:c r="P50" s="21" t="n">
        <x:v>1</x:v>
      </x:c>
      <x:c r="Q50" s="21" t="str">
        <x:v>https://doxa.billmounce.com/Flashcards%20%28BBG%29.pdf</x:v>
      </x:c>
      <x:c r="R50" s="16" t="str"/>
    </x:row>
    <x:row r="51" ht="28" customHeight="1">
      <x:c r="A51" s="21" t="n">
        <x:v>47</x:v>
      </x:c>
      <x:c r="B51" s="21" t="n">
        <x:f>ROUNDUP(A51/50,0)</x:f>
        <x:v>1</x:v>
      </x:c>
      <x:c r="C51" s="21" t="n">
        <x:f>MOD(A51-1,50)+1</x:f>
        <x:v>47</x:v>
      </x:c>
      <x:c r="D51" s="29" t="str">
        <x:v>Ἰησοῦς, -οῦ, ὁ</x:v>
      </x:c>
      <x:c r="E51" s="29" t="str">
        <x:v>Ἰησοῦς</x:v>
      </x:c>
      <x:c r="F51" s="27" t="str">
        <x:v>Iēsous</x:v>
      </x:c>
      <x:c r="G51" s="20" t="str">
        <x:v>Jesus (i.e. Jehoshua), the name of our Lord and two (three) other Israelites</x:v>
      </x:c>
      <x:c r="H51" s="20" t="str"/>
      <x:c r="I51" s="21" t="n">
        <x:v>7</x:v>
      </x:c>
      <x:c r="J51" s="21" t="str">
        <x:v>BBG 課序</x:v>
      </x:c>
      <x:c r="K51" s="21" t="str">
        <x:v>G2424</x:v>
      </x:c>
      <x:c r="L51" s="21" t="str">
        <x:v>是</x:v>
      </x:c>
      <x:c r="M51" s="21" t="str">
        <x:v>人名、神名／稱號</x:v>
      </x:c>
      <x:c r="N51" s="21" t="str">
        <x:v>source_and_lexicon_matched</x:v>
      </x:c>
      <x:c r="O51" s="21" t="str">
        <x:v>rule_generated_from_official_table</x:v>
      </x:c>
      <x:c r="P51" s="21" t="n">
        <x:v>1</x:v>
      </x:c>
      <x:c r="Q51" s="21" t="str">
        <x:v>https://doxa.billmounce.com/Flashcards%20%28BBG%29.pdf</x:v>
      </x:c>
      <x:c r="R51" s="16" t="str"/>
    </x:row>
    <x:row r="52" ht="28" customHeight="1">
      <x:c r="A52" s="21" t="n">
        <x:v>48</x:v>
      </x:c>
      <x:c r="B52" s="21" t="n">
        <x:f>ROUNDUP(A52/50,0)</x:f>
        <x:v>1</x:v>
      </x:c>
      <x:c r="C52" s="21" t="n">
        <x:f>MOD(A52-1,50)+1</x:f>
        <x:v>48</x:v>
      </x:c>
      <x:c r="D52" s="29" t="str">
        <x:v>κύριος, -ου, ὁ</x:v>
      </x:c>
      <x:c r="E52" s="29" t="str">
        <x:v>κύριος</x:v>
      </x:c>
      <x:c r="F52" s="27" t="str">
        <x:v>kurios</x:v>
      </x:c>
      <x:c r="G52" s="20" t="str">
        <x:v>supreme in authority, i.e. (as noun) controller; by implication, Master (as a respectful title)</x:v>
      </x:c>
      <x:c r="H52" s="20" t="str"/>
      <x:c r="I52" s="21" t="n">
        <x:v>7</x:v>
      </x:c>
      <x:c r="J52" s="21" t="str">
        <x:v>BBG 課序</x:v>
      </x:c>
      <x:c r="K52" s="21" t="str">
        <x:v>G2962</x:v>
      </x:c>
      <x:c r="L52" s="21" t="str">
        <x:v>否</x:v>
      </x:c>
      <x:c r="M52" s="21" t="str"/>
      <x:c r="N52" s="21" t="str">
        <x:v>source_and_lexicon_matched</x:v>
      </x:c>
      <x:c r="O52" s="21" t="str">
        <x:v>rule_generated_from_official_table</x:v>
      </x:c>
      <x:c r="P52" s="21" t="n">
        <x:v>1</x:v>
      </x:c>
      <x:c r="Q52" s="21" t="str">
        <x:v>https://doxa.billmounce.com/Flashcards%20%28BBG%29.pdf</x:v>
      </x:c>
      <x:c r="R52" s="16" t="str"/>
    </x:row>
    <x:row r="53" ht="28" customHeight="1">
      <x:c r="A53" s="21" t="n">
        <x:v>49</x:v>
      </x:c>
      <x:c r="B53" s="21" t="n">
        <x:f>ROUNDUP(A53/50,0)</x:f>
        <x:v>1</x:v>
      </x:c>
      <x:c r="C53" s="21" t="n">
        <x:f>MOD(A53-1,50)+1</x:f>
        <x:v>49</x:v>
      </x:c>
      <x:c r="D53" s="29" t="str">
        <x:v>μή</x:v>
      </x:c>
      <x:c r="E53" s="29" t="str">
        <x:v>μή</x:v>
      </x:c>
      <x:c r="F53" s="27" t="str">
        <x:v>mē</x:v>
      </x:c>
      <x:c r="G53" s="20" t="str">
        <x:v>(adverb) not, (conjunction) lest; also (as an interrogative implying a negative answer (whereas G3756 (οὐ) expects an affirmative one)) whether</x:v>
      </x:c>
      <x:c r="H53" s="20" t="str"/>
      <x:c r="I53" s="21" t="n">
        <x:v>7</x:v>
      </x:c>
      <x:c r="J53" s="21" t="str">
        <x:v>BBG 課序</x:v>
      </x:c>
      <x:c r="K53" s="21" t="str">
        <x:v>G3361</x:v>
      </x:c>
      <x:c r="L53" s="21" t="str">
        <x:v>否</x:v>
      </x:c>
      <x:c r="M53" s="21" t="str"/>
      <x:c r="N53" s="21" t="str">
        <x:v>source_and_lexicon_matched</x:v>
      </x:c>
      <x:c r="O53" s="21" t="str">
        <x:v>rule_generated_from_official_table</x:v>
      </x:c>
      <x:c r="P53" s="21" t="n">
        <x:v>1</x:v>
      </x:c>
      <x:c r="Q53" s="21" t="str">
        <x:v>https://doxa.billmounce.com/Flashcards%20%28BBG%29.pdf</x:v>
      </x:c>
      <x:c r="R53" s="16" t="str"/>
    </x:row>
    <x:row r="54" ht="28" customHeight="1">
      <x:c r="A54" s="21" t="n">
        <x:v>50</x:v>
      </x:c>
      <x:c r="B54" s="21" t="n">
        <x:f>ROUNDUP(A54/50,0)</x:f>
        <x:v>1</x:v>
      </x:c>
      <x:c r="C54" s="21" t="n">
        <x:f>MOD(A54-1,50)+1</x:f>
        <x:v>50</x:v>
      </x:c>
      <x:c r="D54" s="29" t="str">
        <x:v>οὐρανός, -οῦ, ὁ</x:v>
      </x:c>
      <x:c r="E54" s="29" t="str">
        <x:v>οὐρανός</x:v>
      </x:c>
      <x:c r="F54" s="27" t="str">
        <x:v>ouranos</x:v>
      </x:c>
      <x:c r="G54" s="20" t="str">
        <x:v>the sky; by extension, heaven (as the abode of God); by implication, happiness, power, eternity; specially, the Gospel (Christianity)</x:v>
      </x:c>
      <x:c r="H54" s="20" t="str"/>
      <x:c r="I54" s="21" t="n">
        <x:v>7</x:v>
      </x:c>
      <x:c r="J54" s="21" t="str">
        <x:v>BBG 課序</x:v>
      </x:c>
      <x:c r="K54" s="21" t="str">
        <x:v>G3772</x:v>
      </x:c>
      <x:c r="L54" s="21" t="str">
        <x:v>否</x:v>
      </x:c>
      <x:c r="M54" s="21" t="str"/>
      <x:c r="N54" s="21" t="str">
        <x:v>source_and_lexicon_matched</x:v>
      </x:c>
      <x:c r="O54" s="21" t="str">
        <x:v>rule_generated_from_official_table</x:v>
      </x:c>
      <x:c r="P54" s="21" t="n">
        <x:v>1</x:v>
      </x:c>
      <x:c r="Q54" s="21" t="str">
        <x:v>https://doxa.billmounce.com/Flashcards%20%28BBG%29.pdf</x:v>
      </x:c>
      <x:c r="R54" s="16" t="str"/>
    </x:row>
    <x:row r="55" ht="28" customHeight="1">
      <x:c r="A55" s="21" t="n">
        <x:v>51</x:v>
      </x:c>
      <x:c r="B55" s="21" t="n">
        <x:f>ROUNDUP(A55/50,0)</x:f>
        <x:v>2</x:v>
      </x:c>
      <x:c r="C55" s="21" t="n">
        <x:f>MOD(A55-1,50)+1</x:f>
        <x:v>1</x:v>
      </x:c>
      <x:c r="D55" s="29" t="str">
        <x:v>οὗτος, αὕτη, τοῦτο</x:v>
      </x:c>
      <x:c r="E55" s="29" t="str">
        <x:v>οὗτος</x:v>
      </x:c>
      <x:c r="F55" s="27" t="str">
        <x:v>houtos</x:v>
      </x:c>
      <x:c r="G55" s="20" t="str">
        <x:v>the he (she or it), i.e. this or that (often with article repeated)</x:v>
      </x:c>
      <x:c r="H55" s="20" t="str"/>
      <x:c r="I55" s="21" t="n">
        <x:v>7</x:v>
      </x:c>
      <x:c r="J55" s="21" t="str">
        <x:v>BBG 課序</x:v>
      </x:c>
      <x:c r="K55" s="21" t="str">
        <x:v>G3778</x:v>
      </x:c>
      <x:c r="L55" s="21" t="str">
        <x:v>否</x:v>
      </x:c>
      <x:c r="M55" s="21" t="str"/>
      <x:c r="N55" s="21" t="str">
        <x:v>source_and_lexicon_matched</x:v>
      </x:c>
      <x:c r="O55" s="21" t="str">
        <x:v>rule_generated_from_official_table</x:v>
      </x:c>
      <x:c r="P55" s="21" t="n">
        <x:v>1</x:v>
      </x:c>
      <x:c r="Q55" s="21" t="str">
        <x:v>https://doxa.billmounce.com/Flashcards%20%28BBG%29.pdf</x:v>
      </x:c>
      <x:c r="R55" s="16" t="str"/>
    </x:row>
    <x:row r="56" ht="28" customHeight="1">
      <x:c r="A56" s="21" t="n">
        <x:v>52</x:v>
      </x:c>
      <x:c r="B56" s="21" t="n">
        <x:f>ROUNDUP(A56/50,0)</x:f>
        <x:v>2</x:v>
      </x:c>
      <x:c r="C56" s="21" t="n">
        <x:f>MOD(A56-1,50)+1</x:f>
        <x:v>2</x:v>
      </x:c>
      <x:c r="D56" s="29" t="str">
        <x:v>σύ</x:v>
      </x:c>
      <x:c r="E56" s="29" t="str">
        <x:v>σύ</x:v>
      </x:c>
      <x:c r="F56" s="27" t="str">
        <x:v>su</x:v>
      </x:c>
      <x:c r="G56" s="20" t="str">
        <x:v>thou</x:v>
      </x:c>
      <x:c r="H56" s="20" t="str"/>
      <x:c r="I56" s="21" t="n">
        <x:v>7</x:v>
      </x:c>
      <x:c r="J56" s="21" t="str">
        <x:v>BBG 課序</x:v>
      </x:c>
      <x:c r="K56" s="21" t="str">
        <x:v>G4771</x:v>
      </x:c>
      <x:c r="L56" s="21" t="str">
        <x:v>否</x:v>
      </x:c>
      <x:c r="M56" s="21" t="str"/>
      <x:c r="N56" s="21" t="str">
        <x:v>source_and_lexicon_matched</x:v>
      </x:c>
      <x:c r="O56" s="21" t="str">
        <x:v>rule_generated_from_official_table</x:v>
      </x:c>
      <x:c r="P56" s="21" t="n">
        <x:v>1</x:v>
      </x:c>
      <x:c r="Q56" s="21" t="str">
        <x:v>https://doxa.billmounce.com/Flashcards%20%28BBG%29.pdf</x:v>
      </x:c>
      <x:c r="R56" s="16" t="str"/>
    </x:row>
    <x:row r="57" ht="28" customHeight="1">
      <x:c r="A57" s="21" t="n">
        <x:v>53</x:v>
      </x:c>
      <x:c r="B57" s="21" t="n">
        <x:f>ROUNDUP(A57/50,0)</x:f>
        <x:v>2</x:v>
      </x:c>
      <x:c r="C57" s="21" t="n">
        <x:f>MOD(A57-1,50)+1</x:f>
        <x:v>3</x:v>
      </x:c>
      <x:c r="D57" s="29" t="str">
        <x:v>υἱός, -οῦ, ὁ</x:v>
      </x:c>
      <x:c r="E57" s="29" t="str">
        <x:v>υἱός</x:v>
      </x:c>
      <x:c r="F57" s="27" t="str">
        <x:v>huios</x:v>
      </x:c>
      <x:c r="G57" s="20" t="str">
        <x:v>a "son" (sometimes of animals), used very widely of immediate, remote or figuratively, kinship</x:v>
      </x:c>
      <x:c r="H57" s="20" t="str"/>
      <x:c r="I57" s="21" t="n">
        <x:v>7</x:v>
      </x:c>
      <x:c r="J57" s="21" t="str">
        <x:v>BBG 課序</x:v>
      </x:c>
      <x:c r="K57" s="21" t="str">
        <x:v>G5207</x:v>
      </x:c>
      <x:c r="L57" s="21" t="str">
        <x:v>否</x:v>
      </x:c>
      <x:c r="M57" s="21" t="str"/>
      <x:c r="N57" s="21" t="str">
        <x:v>source_and_lexicon_matched</x:v>
      </x:c>
      <x:c r="O57" s="21" t="str">
        <x:v>rule_generated_from_official_table</x:v>
      </x:c>
      <x:c r="P57" s="21" t="n">
        <x:v>1</x:v>
      </x:c>
      <x:c r="Q57" s="21" t="str">
        <x:v>https://doxa.billmounce.com/Flashcards%20%28BBG%29.pdf</x:v>
      </x:c>
      <x:c r="R57" s="16" t="str"/>
    </x:row>
    <x:row r="58" ht="28" customHeight="1">
      <x:c r="A58" s="21" t="n">
        <x:v>54</x:v>
      </x:c>
      <x:c r="B58" s="21" t="n">
        <x:f>ROUNDUP(A58/50,0)</x:f>
        <x:v>2</x:v>
      </x:c>
      <x:c r="C58" s="21" t="n">
        <x:f>MOD(A58-1,50)+1</x:f>
        <x:v>4</x:v>
      </x:c>
      <x:c r="D58" s="29" t="str">
        <x:v>ὥστε</x:v>
      </x:c>
      <x:c r="E58" s="29" t="str">
        <x:v>ὥστε</x:v>
      </x:c>
      <x:c r="F58" s="27" t="str">
        <x:v>hōste</x:v>
      </x:c>
      <x:c r="G58" s="20" t="str">
        <x:v>so too, i.e. thus therefore (in various relations of consecution, as follow)</x:v>
      </x:c>
      <x:c r="H58" s="20" t="str"/>
      <x:c r="I58" s="21" t="n">
        <x:v>7</x:v>
      </x:c>
      <x:c r="J58" s="21" t="str">
        <x:v>BBG 課序</x:v>
      </x:c>
      <x:c r="K58" s="21" t="str">
        <x:v>G5620</x:v>
      </x:c>
      <x:c r="L58" s="21" t="str">
        <x:v>否</x:v>
      </x:c>
      <x:c r="M58" s="21" t="str"/>
      <x:c r="N58" s="21" t="str">
        <x:v>source_and_lexicon_matched</x:v>
      </x:c>
      <x:c r="O58" s="21" t="str">
        <x:v>rule_generated_from_official_table</x:v>
      </x:c>
      <x:c r="P58" s="21" t="n">
        <x:v>1</x:v>
      </x:c>
      <x:c r="Q58" s="21" t="str">
        <x:v>https://doxa.billmounce.com/Flashcards%20%28BBG%29.pdf</x:v>
      </x:c>
      <x:c r="R58" s="16" t="str"/>
    </x:row>
    <x:row r="59" ht="28" customHeight="1">
      <x:c r="A59" s="21" t="n">
        <x:v>55</x:v>
      </x:c>
      <x:c r="B59" s="21" t="n">
        <x:f>ROUNDUP(A59/50,0)</x:f>
        <x:v>2</x:v>
      </x:c>
      <x:c r="C59" s="21" t="n">
        <x:f>MOD(A59-1,50)+1</x:f>
        <x:v>5</x:v>
      </x:c>
      <x:c r="D59" s="29" t="str">
        <x:v>ἀλλά</x:v>
      </x:c>
      <x:c r="E59" s="29" t="str">
        <x:v>ἀλλά</x:v>
      </x:c>
      <x:c r="F59" s="27" t="str">
        <x:v>alla</x:v>
      </x:c>
      <x:c r="G59" s="20" t="str">
        <x:v>properly, other things, i.e. (adverbially) contrariwise (in many relations)</x:v>
      </x:c>
      <x:c r="H59" s="20" t="str"/>
      <x:c r="I59" s="21" t="n">
        <x:v>8</x:v>
      </x:c>
      <x:c r="J59" s="21" t="str">
        <x:v>BBG 課序</x:v>
      </x:c>
      <x:c r="K59" s="21" t="str">
        <x:v>G235</x:v>
      </x:c>
      <x:c r="L59" s="21" t="str">
        <x:v>否</x:v>
      </x:c>
      <x:c r="M59" s="21" t="str"/>
      <x:c r="N59" s="21" t="str">
        <x:v>source_and_lexicon_matched</x:v>
      </x:c>
      <x:c r="O59" s="21" t="str">
        <x:v>rule_generated_from_official_table</x:v>
      </x:c>
      <x:c r="P59" s="21" t="n">
        <x:v>1</x:v>
      </x:c>
      <x:c r="Q59" s="21" t="str">
        <x:v>https://doxa.billmounce.com/Flashcards%20%28BBG%29.pdf</x:v>
      </x:c>
      <x:c r="R59" s="16" t="str"/>
    </x:row>
    <x:row r="60" ht="28" customHeight="1">
      <x:c r="A60" s="21" t="n">
        <x:v>56</x:v>
      </x:c>
      <x:c r="B60" s="21" t="n">
        <x:f>ROUNDUP(A60/50,0)</x:f>
        <x:v>2</x:v>
      </x:c>
      <x:c r="C60" s="21" t="n">
        <x:f>MOD(A60-1,50)+1</x:f>
        <x:v>6</x:v>
      </x:c>
      <x:c r="D60" s="29" t="str">
        <x:v>ἀπό</x:v>
      </x:c>
      <x:c r="E60" s="29" t="str">
        <x:v>ἀπό</x:v>
      </x:c>
      <x:c r="F60" s="27" t="str">
        <x:v>apo</x:v>
      </x:c>
      <x:c r="G60" s="20" t="str">
        <x:v>"off," i.e. away (from something near), in various senses (of place, time, or relation; literal or figurative)</x:v>
      </x:c>
      <x:c r="H60" s="20" t="str"/>
      <x:c r="I60" s="21" t="n">
        <x:v>8</x:v>
      </x:c>
      <x:c r="J60" s="21" t="str">
        <x:v>BBG 課序</x:v>
      </x:c>
      <x:c r="K60" s="21" t="str">
        <x:v>G575</x:v>
      </x:c>
      <x:c r="L60" s="21" t="str">
        <x:v>否</x:v>
      </x:c>
      <x:c r="M60" s="21" t="str"/>
      <x:c r="N60" s="21" t="str">
        <x:v>source_and_lexicon_matched</x:v>
      </x:c>
      <x:c r="O60" s="21" t="str">
        <x:v>rule_generated_from_official_table</x:v>
      </x:c>
      <x:c r="P60" s="21" t="n">
        <x:v>1</x:v>
      </x:c>
      <x:c r="Q60" s="21" t="str">
        <x:v>https://doxa.billmounce.com/Flashcards%20%28BBG%29.pdf</x:v>
      </x:c>
      <x:c r="R60" s="16" t="str"/>
    </x:row>
    <x:row r="61" ht="28" customHeight="1">
      <x:c r="A61" s="21" t="n">
        <x:v>57</x:v>
      </x:c>
      <x:c r="B61" s="21" t="n">
        <x:f>ROUNDUP(A61/50,0)</x:f>
        <x:v>2</x:v>
      </x:c>
      <x:c r="C61" s="21" t="n">
        <x:f>MOD(A61-1,50)+1</x:f>
        <x:v>7</x:v>
      </x:c>
      <x:c r="D61" s="29" t="str">
        <x:v>διά</x:v>
      </x:c>
      <x:c r="E61" s="29" t="str">
        <x:v>διά</x:v>
      </x:c>
      <x:c r="F61" s="27" t="str">
        <x:v>dia</x:v>
      </x:c>
      <x:c r="G61" s="20" t="str">
        <x:v>through (in very wide applications, local, causal, or occasional)</x:v>
      </x:c>
      <x:c r="H61" s="20" t="str"/>
      <x:c r="I61" s="21" t="n">
        <x:v>8</x:v>
      </x:c>
      <x:c r="J61" s="21" t="str">
        <x:v>BBG 課序</x:v>
      </x:c>
      <x:c r="K61" s="21" t="str">
        <x:v>G1223</x:v>
      </x:c>
      <x:c r="L61" s="21" t="str">
        <x:v>否</x:v>
      </x:c>
      <x:c r="M61" s="21" t="str"/>
      <x:c r="N61" s="21" t="str">
        <x:v>source_and_lexicon_matched</x:v>
      </x:c>
      <x:c r="O61" s="21" t="str">
        <x:v>rule_generated_from_official_table</x:v>
      </x:c>
      <x:c r="P61" s="21" t="n">
        <x:v>1</x:v>
      </x:c>
      <x:c r="Q61" s="21" t="str">
        <x:v>https://doxa.billmounce.com/Flashcards%20%28BBG%29.pdf</x:v>
      </x:c>
      <x:c r="R61" s="16" t="str"/>
    </x:row>
    <x:row r="62" ht="28" customHeight="1">
      <x:c r="A62" s="21" t="n">
        <x:v>58</x:v>
      </x:c>
      <x:c r="B62" s="21" t="n">
        <x:f>ROUNDUP(A62/50,0)</x:f>
        <x:v>2</x:v>
      </x:c>
      <x:c r="C62" s="21" t="n">
        <x:f>MOD(A62-1,50)+1</x:f>
        <x:v>8</x:v>
      </x:c>
      <x:c r="D62" s="29" t="str">
        <x:v>εἰμί</x:v>
      </x:c>
      <x:c r="E62" s="29" t="str">
        <x:v>εἰμί</x:v>
      </x:c>
      <x:c r="F62" s="27" t="str">
        <x:v>eimi</x:v>
      </x:c>
      <x:c r="G62" s="20" t="str">
        <x:v>I exist (used only when emphatic)</x:v>
      </x:c>
      <x:c r="H62" s="20" t="str"/>
      <x:c r="I62" s="21" t="n">
        <x:v>8</x:v>
      </x:c>
      <x:c r="J62" s="21" t="str">
        <x:v>BBG 課序</x:v>
      </x:c>
      <x:c r="K62" s="21" t="str">
        <x:v>G1510</x:v>
      </x:c>
      <x:c r="L62" s="21" t="str">
        <x:v>否</x:v>
      </x:c>
      <x:c r="M62" s="21" t="str"/>
      <x:c r="N62" s="21" t="str">
        <x:v>source_and_lexicon_matched</x:v>
      </x:c>
      <x:c r="O62" s="21" t="str">
        <x:v>rule_generated_from_official_table</x:v>
      </x:c>
      <x:c r="P62" s="21" t="n">
        <x:v>1</x:v>
      </x:c>
      <x:c r="Q62" s="21" t="str">
        <x:v>https://doxa.billmounce.com/Flashcards%20%28BBG%29.pdf</x:v>
      </x:c>
      <x:c r="R62" s="16" t="str"/>
    </x:row>
    <x:row r="63" ht="28" customHeight="1">
      <x:c r="A63" s="21" t="n">
        <x:v>59</x:v>
      </x:c>
      <x:c r="B63" s="21" t="n">
        <x:f>ROUNDUP(A63/50,0)</x:f>
        <x:v>2</x:v>
      </x:c>
      <x:c r="C63" s="21" t="n">
        <x:f>MOD(A63-1,50)+1</x:f>
        <x:v>9</x:v>
      </x:c>
      <x:c r="D63" s="29" t="str">
        <x:v>ἐκ (ἐξ)</x:v>
      </x:c>
      <x:c r="E63" s="29" t="str">
        <x:v>ἐκ (ἐξ)</x:v>
      </x:c>
      <x:c r="F63" s="27" t="str">
        <x:v>ekex</x:v>
      </x:c>
      <x:c r="G63" s="20" t="str"/>
      <x:c r="H63" s="20" t="str"/>
      <x:c r="I63" s="21" t="n">
        <x:v>8</x:v>
      </x:c>
      <x:c r="J63" s="21" t="str">
        <x:v>BBG 課序</x:v>
      </x:c>
      <x:c r="K63" s="21" t="str"/>
      <x:c r="L63" s="21" t="str">
        <x:v>否</x:v>
      </x:c>
      <x:c r="M63" s="21" t="str"/>
      <x:c r="N63" s="21" t="str">
        <x:v>source_verified_lexicon_pending</x:v>
      </x:c>
      <x:c r="O63" s="21" t="str">
        <x:v>rule_generated_from_official_table</x:v>
      </x:c>
      <x:c r="P63" s="21" t="n">
        <x:v>1</x:v>
      </x:c>
      <x:c r="Q63" s="21" t="str">
        <x:v>https://doxa.billmounce.com/Flashcards%20%28BBG%29.pdf</x:v>
      </x:c>
      <x:c r="R63" s="16" t="str"/>
    </x:row>
    <x:row r="64" ht="28" customHeight="1">
      <x:c r="A64" s="21" t="n">
        <x:v>60</x:v>
      </x:c>
      <x:c r="B64" s="21" t="n">
        <x:f>ROUNDUP(A64/50,0)</x:f>
        <x:v>2</x:v>
      </x:c>
      <x:c r="C64" s="21" t="n">
        <x:f>MOD(A64-1,50)+1</x:f>
        <x:v>10</x:v>
      </x:c>
      <x:c r="D64" s="29" t="str">
        <x:v>ἡμέρα, -ας, ἡ</x:v>
      </x:c>
      <x:c r="E64" s="29" t="str">
        <x:v>ἡμέρα</x:v>
      </x:c>
      <x:c r="F64" s="27" t="str">
        <x:v>hēmera</x:v>
      </x:c>
      <x:c r="G64" s="20" t="str">
        <x:v>day, i.e. (literally) the time space between dawn and dark, or the whole 24 hours (but several days were usually reckoned by the Jews as inclusive of the parts of both extremes); figuratively, a period (always defined more or less clearly by the context)</x:v>
      </x:c>
      <x:c r="H64" s="20" t="str"/>
      <x:c r="I64" s="21" t="n">
        <x:v>8</x:v>
      </x:c>
      <x:c r="J64" s="21" t="str">
        <x:v>BBG 課序</x:v>
      </x:c>
      <x:c r="K64" s="21" t="str">
        <x:v>G2250</x:v>
      </x:c>
      <x:c r="L64" s="21" t="str">
        <x:v>否</x:v>
      </x:c>
      <x:c r="M64" s="21" t="str"/>
      <x:c r="N64" s="21" t="str">
        <x:v>source_and_lexicon_matched</x:v>
      </x:c>
      <x:c r="O64" s="21" t="str">
        <x:v>rule_generated_from_official_table</x:v>
      </x:c>
      <x:c r="P64" s="21" t="n">
        <x:v>1</x:v>
      </x:c>
      <x:c r="Q64" s="21" t="str">
        <x:v>https://doxa.billmounce.com/Flashcards%20%28BBG%29.pdf</x:v>
      </x:c>
      <x:c r="R64" s="16" t="str"/>
    </x:row>
    <x:row r="65" ht="28" customHeight="1">
      <x:c r="A65" s="21" t="n">
        <x:v>61</x:v>
      </x:c>
      <x:c r="B65" s="21" t="n">
        <x:f>ROUNDUP(A65/50,0)</x:f>
        <x:v>2</x:v>
      </x:c>
      <x:c r="C65" s="21" t="n">
        <x:f>MOD(A65-1,50)+1</x:f>
        <x:v>11</x:v>
      </x:c>
      <x:c r="D65" s="29" t="str">
        <x:v>ἦν</x:v>
      </x:c>
      <x:c r="E65" s="29" t="str">
        <x:v>ἦν</x:v>
      </x:c>
      <x:c r="F65" s="27" t="str">
        <x:v>ēn</x:v>
      </x:c>
      <x:c r="G65" s="20" t="str">
        <x:v>I (thou, etc.) was (wast or were)</x:v>
      </x:c>
      <x:c r="H65" s="20" t="str"/>
      <x:c r="I65" s="21" t="n">
        <x:v>8</x:v>
      </x:c>
      <x:c r="J65" s="21" t="str">
        <x:v>BBG 課序</x:v>
      </x:c>
      <x:c r="K65" s="21" t="str">
        <x:v>G2258</x:v>
      </x:c>
      <x:c r="L65" s="21" t="str">
        <x:v>否</x:v>
      </x:c>
      <x:c r="M65" s="21" t="str"/>
      <x:c r="N65" s="21" t="str">
        <x:v>source_and_lexicon_matched</x:v>
      </x:c>
      <x:c r="O65" s="21" t="str">
        <x:v>rule_generated_from_official_table</x:v>
      </x:c>
      <x:c r="P65" s="21" t="n">
        <x:v>2</x:v>
      </x:c>
      <x:c r="Q65" s="21" t="str">
        <x:v>https://doxa.billmounce.com/Flashcards%20%28BBG%29.pdf</x:v>
      </x:c>
      <x:c r="R65" s="16" t="str"/>
    </x:row>
    <x:row r="66" ht="28" customHeight="1">
      <x:c r="A66" s="21" t="n">
        <x:v>62</x:v>
      </x:c>
      <x:c r="B66" s="21" t="n">
        <x:f>ROUNDUP(A66/50,0)</x:f>
        <x:v>2</x:v>
      </x:c>
      <x:c r="C66" s="21" t="n">
        <x:f>MOD(A66-1,50)+1</x:f>
        <x:v>12</x:v>
      </x:c>
      <x:c r="D66" s="29" t="str">
        <x:v>θάλασσα, -ης, ἡ</x:v>
      </x:c>
      <x:c r="E66" s="29" t="str">
        <x:v>θάλασσα</x:v>
      </x:c>
      <x:c r="F66" s="27" t="str">
        <x:v>thalassa</x:v>
      </x:c>
      <x:c r="G66" s="20" t="str">
        <x:v>the sea (genitive case or specially)</x:v>
      </x:c>
      <x:c r="H66" s="20" t="str"/>
      <x:c r="I66" s="21" t="n">
        <x:v>8</x:v>
      </x:c>
      <x:c r="J66" s="21" t="str">
        <x:v>BBG 課序</x:v>
      </x:c>
      <x:c r="K66" s="21" t="str">
        <x:v>G2281</x:v>
      </x:c>
      <x:c r="L66" s="21" t="str">
        <x:v>否</x:v>
      </x:c>
      <x:c r="M66" s="21" t="str"/>
      <x:c r="N66" s="21" t="str">
        <x:v>source_and_lexicon_matched</x:v>
      </x:c>
      <x:c r="O66" s="21" t="str">
        <x:v>rule_generated_from_official_table</x:v>
      </x:c>
      <x:c r="P66" s="21" t="n">
        <x:v>2</x:v>
      </x:c>
      <x:c r="Q66" s="21" t="str">
        <x:v>https://doxa.billmounce.com/Flashcards%20%28BBG%29.pdf</x:v>
      </x:c>
      <x:c r="R66" s="16" t="str"/>
    </x:row>
    <x:row r="67" ht="28" customHeight="1">
      <x:c r="A67" s="21" t="n">
        <x:v>63</x:v>
      </x:c>
      <x:c r="B67" s="21" t="n">
        <x:f>ROUNDUP(A67/50,0)</x:f>
        <x:v>2</x:v>
      </x:c>
      <x:c r="C67" s="21" t="n">
        <x:f>MOD(A67-1,50)+1</x:f>
        <x:v>13</x:v>
      </x:c>
      <x:c r="D67" s="29" t="str">
        <x:v>θάνατος, -ου, ὁ</x:v>
      </x:c>
      <x:c r="E67" s="29" t="str">
        <x:v>θάνατος</x:v>
      </x:c>
      <x:c r="F67" s="27" t="str">
        <x:v>thanatos</x:v>
      </x:c>
      <x:c r="G67" s="20" t="str">
        <x:v>(properly, an adjective used as a noun) death (literally or figuratively)</x:v>
      </x:c>
      <x:c r="H67" s="20" t="str"/>
      <x:c r="I67" s="21" t="n">
        <x:v>8</x:v>
      </x:c>
      <x:c r="J67" s="21" t="str">
        <x:v>BBG 課序</x:v>
      </x:c>
      <x:c r="K67" s="21" t="str">
        <x:v>G2288</x:v>
      </x:c>
      <x:c r="L67" s="21" t="str">
        <x:v>否</x:v>
      </x:c>
      <x:c r="M67" s="21" t="str"/>
      <x:c r="N67" s="21" t="str">
        <x:v>source_and_lexicon_matched</x:v>
      </x:c>
      <x:c r="O67" s="21" t="str">
        <x:v>rule_generated_from_official_table</x:v>
      </x:c>
      <x:c r="P67" s="21" t="n">
        <x:v>2</x:v>
      </x:c>
      <x:c r="Q67" s="21" t="str">
        <x:v>https://doxa.billmounce.com/Flashcards%20%28BBG%29.pdf</x:v>
      </x:c>
      <x:c r="R67" s="16" t="str"/>
    </x:row>
    <x:row r="68" ht="28" customHeight="1">
      <x:c r="A68" s="21" t="n">
        <x:v>64</x:v>
      </x:c>
      <x:c r="B68" s="21" t="n">
        <x:f>ROUNDUP(A68/50,0)</x:f>
        <x:v>2</x:v>
      </x:c>
      <x:c r="C68" s="21" t="n">
        <x:f>MOD(A68-1,50)+1</x:f>
        <x:v>14</x:v>
      </x:c>
      <x:c r="D68" s="29" t="str">
        <x:v>ἵνα</x:v>
      </x:c>
      <x:c r="E68" s="29" t="str">
        <x:v>ἵνα</x:v>
      </x:c>
      <x:c r="F68" s="27" t="str">
        <x:v>hina</x:v>
      </x:c>
      <x:c r="G68" s="20" t="str">
        <x:v>compare G3588 (ὁ)); in order that (denoting the purpose or the result)</x:v>
      </x:c>
      <x:c r="H68" s="20" t="str"/>
      <x:c r="I68" s="21" t="n">
        <x:v>8</x:v>
      </x:c>
      <x:c r="J68" s="21" t="str">
        <x:v>BBG 課序</x:v>
      </x:c>
      <x:c r="K68" s="21" t="str">
        <x:v>G2443</x:v>
      </x:c>
      <x:c r="L68" s="21" t="str">
        <x:v>否</x:v>
      </x:c>
      <x:c r="M68" s="21" t="str"/>
      <x:c r="N68" s="21" t="str">
        <x:v>source_and_lexicon_matched</x:v>
      </x:c>
      <x:c r="O68" s="21" t="str">
        <x:v>rule_generated_from_official_table</x:v>
      </x:c>
      <x:c r="P68" s="21" t="n">
        <x:v>2</x:v>
      </x:c>
      <x:c r="Q68" s="21" t="str">
        <x:v>https://doxa.billmounce.com/Flashcards%20%28BBG%29.pdf</x:v>
      </x:c>
      <x:c r="R68" s="16" t="str"/>
    </x:row>
    <x:row r="69" ht="28" customHeight="1">
      <x:c r="A69" s="21" t="n">
        <x:v>65</x:v>
      </x:c>
      <x:c r="B69" s="21" t="n">
        <x:f>ROUNDUP(A69/50,0)</x:f>
        <x:v>2</x:v>
      </x:c>
      <x:c r="C69" s="21" t="n">
        <x:f>MOD(A69-1,50)+1</x:f>
        <x:v>15</x:v>
      </x:c>
      <x:c r="D69" s="29" t="str">
        <x:v>Ἰωάννης, -ου, ὁ</x:v>
      </x:c>
      <x:c r="E69" s="29" t="str">
        <x:v>Ἰωάννης</x:v>
      </x:c>
      <x:c r="F69" s="27" t="str">
        <x:v>Iōannēs</x:v>
      </x:c>
      <x:c r="G69" s="20" t="str">
        <x:v>Joannes (i.e. Jochanan), the name of four Israelites</x:v>
      </x:c>
      <x:c r="H69" s="20" t="str"/>
      <x:c r="I69" s="21" t="n">
        <x:v>8</x:v>
      </x:c>
      <x:c r="J69" s="21" t="str">
        <x:v>BBG 課序</x:v>
      </x:c>
      <x:c r="K69" s="21" t="str">
        <x:v>G2491</x:v>
      </x:c>
      <x:c r="L69" s="21" t="str">
        <x:v>是</x:v>
      </x:c>
      <x:c r="M69" s="21" t="str">
        <x:v>人名</x:v>
      </x:c>
      <x:c r="N69" s="21" t="str">
        <x:v>source_and_lexicon_matched</x:v>
      </x:c>
      <x:c r="O69" s="21" t="str">
        <x:v>rule_generated_from_official_table</x:v>
      </x:c>
      <x:c r="P69" s="21" t="n">
        <x:v>2</x:v>
      </x:c>
      <x:c r="Q69" s="21" t="str">
        <x:v>https://doxa.billmounce.com/Flashcards%20%28BBG%29.pdf</x:v>
      </x:c>
      <x:c r="R69" s="16" t="str"/>
    </x:row>
    <x:row r="70" ht="28" customHeight="1">
      <x:c r="A70" s="21" t="n">
        <x:v>66</x:v>
      </x:c>
      <x:c r="B70" s="21" t="n">
        <x:f>ROUNDUP(A70/50,0)</x:f>
        <x:v>2</x:v>
      </x:c>
      <x:c r="C70" s="21" t="n">
        <x:f>MOD(A70-1,50)+1</x:f>
        <x:v>16</x:v>
      </x:c>
      <x:c r="D70" s="29" t="str">
        <x:v>λέγω</x:v>
      </x:c>
      <x:c r="E70" s="29" t="str">
        <x:v>λέγω</x:v>
      </x:c>
      <x:c r="F70" s="27" t="str">
        <x:v>legō</x:v>
      </x:c>
      <x:c r="G70" s="20" t="str">
        <x:v>properly, to "lay" forth, i.e. (figuratively) relate (in words (usually of systematic or set discourse; whereas G2036 (ἔπω) and G5346 (φημί) generally refer to an individual expression or speech respectively; while G4483 (ῥέω) is properly to break silence merely, and G2980 (λαλέω) means an extended or random harangue)); by implication, to mean</x:v>
      </x:c>
      <x:c r="H70" s="20" t="str"/>
      <x:c r="I70" s="21" t="n">
        <x:v>8</x:v>
      </x:c>
      <x:c r="J70" s="21" t="str">
        <x:v>BBG 課序</x:v>
      </x:c>
      <x:c r="K70" s="21" t="str">
        <x:v>G3004</x:v>
      </x:c>
      <x:c r="L70" s="21" t="str">
        <x:v>否</x:v>
      </x:c>
      <x:c r="M70" s="21" t="str"/>
      <x:c r="N70" s="21" t="str">
        <x:v>source_and_lexicon_matched</x:v>
      </x:c>
      <x:c r="O70" s="21" t="str">
        <x:v>rule_generated_from_official_table</x:v>
      </x:c>
      <x:c r="P70" s="21" t="n">
        <x:v>2</x:v>
      </x:c>
      <x:c r="Q70" s="21" t="str">
        <x:v>https://doxa.billmounce.com/Flashcards%20%28BBG%29.pdf</x:v>
      </x:c>
      <x:c r="R70" s="16" t="str"/>
    </x:row>
    <x:row r="71" ht="28" customHeight="1">
      <x:c r="A71" s="21" t="n">
        <x:v>67</x:v>
      </x:c>
      <x:c r="B71" s="21" t="n">
        <x:f>ROUNDUP(A71/50,0)</x:f>
        <x:v>2</x:v>
      </x:c>
      <x:c r="C71" s="21" t="n">
        <x:f>MOD(A71-1,50)+1</x:f>
        <x:v>17</x:v>
      </x:c>
      <x:c r="D71" s="29" t="str">
        <x:v>μετά</x:v>
      </x:c>
      <x:c r="E71" s="29" t="str">
        <x:v>μετά</x:v>
      </x:c>
      <x:c r="F71" s="27" t="str">
        <x:v>meta</x:v>
      </x:c>
      <x:c r="G71" s="20" t="str">
        <x:v>properly, denoting accompaniment; "amid" (local or causal); modified variously according to the case (genitive association, or accusative succession) with which it is joined; occupying an intermediate position between G575 (ἀπό) or G1537 (ἐκ) and G1519 (εἰς) or G4314 (πρός); less intimate than G1722 (ἐν) and less close than G4862 (σύν))</x:v>
      </x:c>
      <x:c r="H71" s="20" t="str"/>
      <x:c r="I71" s="21" t="n">
        <x:v>8</x:v>
      </x:c>
      <x:c r="J71" s="21" t="str">
        <x:v>BBG 課序</x:v>
      </x:c>
      <x:c r="K71" s="21" t="str">
        <x:v>G3326</x:v>
      </x:c>
      <x:c r="L71" s="21" t="str">
        <x:v>否</x:v>
      </x:c>
      <x:c r="M71" s="21" t="str"/>
      <x:c r="N71" s="21" t="str">
        <x:v>source_and_lexicon_matched</x:v>
      </x:c>
      <x:c r="O71" s="21" t="str">
        <x:v>rule_generated_from_official_table</x:v>
      </x:c>
      <x:c r="P71" s="21" t="n">
        <x:v>2</x:v>
      </x:c>
      <x:c r="Q71" s="21" t="str">
        <x:v>https://doxa.billmounce.com/Flashcards%20%28BBG%29.pdf</x:v>
      </x:c>
      <x:c r="R71" s="16" t="str"/>
    </x:row>
    <x:row r="72" ht="28" customHeight="1">
      <x:c r="A72" s="21" t="n">
        <x:v>68</x:v>
      </x:c>
      <x:c r="B72" s="21" t="n">
        <x:f>ROUNDUP(A72/50,0)</x:f>
        <x:v>2</x:v>
      </x:c>
      <x:c r="C72" s="21" t="n">
        <x:f>MOD(A72-1,50)+1</x:f>
        <x:v>18</x:v>
      </x:c>
      <x:c r="D72" s="29" t="str">
        <x:v>οἰκία, -ας, ἡ</x:v>
      </x:c>
      <x:c r="E72" s="29" t="str">
        <x:v>οἰκία</x:v>
      </x:c>
      <x:c r="F72" s="27" t="str">
        <x:v>oikia</x:v>
      </x:c>
      <x:c r="G72" s="20" t="str">
        <x:v>properly, residence (abstractly), but usually (concretely) an abode (literally or figuratively); by implication, a family (especially domestics)</x:v>
      </x:c>
      <x:c r="H72" s="20" t="str"/>
      <x:c r="I72" s="21" t="n">
        <x:v>8</x:v>
      </x:c>
      <x:c r="J72" s="21" t="str">
        <x:v>BBG 課序</x:v>
      </x:c>
      <x:c r="K72" s="21" t="str">
        <x:v>G3614</x:v>
      </x:c>
      <x:c r="L72" s="21" t="str">
        <x:v>否</x:v>
      </x:c>
      <x:c r="M72" s="21" t="str"/>
      <x:c r="N72" s="21" t="str">
        <x:v>source_and_lexicon_matched</x:v>
      </x:c>
      <x:c r="O72" s="21" t="str">
        <x:v>rule_generated_from_official_table</x:v>
      </x:c>
      <x:c r="P72" s="21" t="n">
        <x:v>2</x:v>
      </x:c>
      <x:c r="Q72" s="21" t="str">
        <x:v>https://doxa.billmounce.com/Flashcards%20%28BBG%29.pdf</x:v>
      </x:c>
      <x:c r="R72" s="16" t="str"/>
    </x:row>
    <x:row r="73" ht="28" customHeight="1">
      <x:c r="A73" s="21" t="n">
        <x:v>69</x:v>
      </x:c>
      <x:c r="B73" s="21" t="n">
        <x:f>ROUNDUP(A73/50,0)</x:f>
        <x:v>2</x:v>
      </x:c>
      <x:c r="C73" s="21" t="n">
        <x:f>MOD(A73-1,50)+1</x:f>
        <x:v>19</x:v>
      </x:c>
      <x:c r="D73" s="29" t="str">
        <x:v>οἶκος, -ου, ὁ</x:v>
      </x:c>
      <x:c r="E73" s="29" t="str">
        <x:v>οἶκος</x:v>
      </x:c>
      <x:c r="F73" s="27" t="str">
        <x:v>oikos</x:v>
      </x:c>
      <x:c r="G73" s="20" t="str">
        <x:v>a dwelling (more or less extensive, literal or figurative); by implication, a family (more or less related, literally or figuratively)</x:v>
      </x:c>
      <x:c r="H73" s="20" t="str"/>
      <x:c r="I73" s="21" t="n">
        <x:v>8</x:v>
      </x:c>
      <x:c r="J73" s="21" t="str">
        <x:v>BBG 課序</x:v>
      </x:c>
      <x:c r="K73" s="21" t="str">
        <x:v>G3624</x:v>
      </x:c>
      <x:c r="L73" s="21" t="str">
        <x:v>否</x:v>
      </x:c>
      <x:c r="M73" s="21" t="str"/>
      <x:c r="N73" s="21" t="str">
        <x:v>source_and_lexicon_matched</x:v>
      </x:c>
      <x:c r="O73" s="21" t="str">
        <x:v>rule_generated_from_official_table</x:v>
      </x:c>
      <x:c r="P73" s="21" t="n">
        <x:v>2</x:v>
      </x:c>
      <x:c r="Q73" s="21" t="str">
        <x:v>https://doxa.billmounce.com/Flashcards%20%28BBG%29.pdf</x:v>
      </x:c>
      <x:c r="R73" s="16" t="str"/>
    </x:row>
    <x:row r="74" ht="28" customHeight="1">
      <x:c r="A74" s="21" t="n">
        <x:v>70</x:v>
      </x:c>
      <x:c r="B74" s="21" t="n">
        <x:f>ROUNDUP(A74/50,0)</x:f>
        <x:v>2</x:v>
      </x:c>
      <x:c r="C74" s="21" t="n">
        <x:f>MOD(A74-1,50)+1</x:f>
        <x:v>20</x:v>
      </x:c>
      <x:c r="D74" s="29" t="str">
        <x:v>ὄχλος, -ου, ὁ</x:v>
      </x:c>
      <x:c r="E74" s="29" t="str">
        <x:v>ὄχλος</x:v>
      </x:c>
      <x:c r="F74" s="27" t="str">
        <x:v>ochlos</x:v>
      </x:c>
      <x:c r="G74" s="20" t="str">
        <x:v>a throng (as borne along); by implication, the rabble; by extension, a class of people; figuratively, a riot</x:v>
      </x:c>
      <x:c r="H74" s="20" t="str"/>
      <x:c r="I74" s="21" t="n">
        <x:v>8</x:v>
      </x:c>
      <x:c r="J74" s="21" t="str">
        <x:v>BBG 課序</x:v>
      </x:c>
      <x:c r="K74" s="21" t="str">
        <x:v>G3793</x:v>
      </x:c>
      <x:c r="L74" s="21" t="str">
        <x:v>否</x:v>
      </x:c>
      <x:c r="M74" s="21" t="str"/>
      <x:c r="N74" s="21" t="str">
        <x:v>source_and_lexicon_matched</x:v>
      </x:c>
      <x:c r="O74" s="21" t="str">
        <x:v>rule_generated_from_official_table</x:v>
      </x:c>
      <x:c r="P74" s="21" t="n">
        <x:v>2</x:v>
      </x:c>
      <x:c r="Q74" s="21" t="str">
        <x:v>https://doxa.billmounce.com/Flashcards%20%28BBG%29.pdf</x:v>
      </x:c>
      <x:c r="R74" s="16" t="str"/>
    </x:row>
    <x:row r="75" ht="28" customHeight="1">
      <x:c r="A75" s="21" t="n">
        <x:v>71</x:v>
      </x:c>
      <x:c r="B75" s="21" t="n">
        <x:f>ROUNDUP(A75/50,0)</x:f>
        <x:v>2</x:v>
      </x:c>
      <x:c r="C75" s="21" t="n">
        <x:f>MOD(A75-1,50)+1</x:f>
        <x:v>21</x:v>
      </x:c>
      <x:c r="D75" s="29" t="str">
        <x:v>παρά</x:v>
      </x:c>
      <x:c r="E75" s="29" t="str">
        <x:v>παρά</x:v>
      </x:c>
      <x:c r="F75" s="27" t="str">
        <x:v>para</x:v>
      </x:c>
      <x:c r="G75" s="20" t="str">
        <x:v>properly, near; i.e. (with genitive case) from beside (literally or figuratively), (with dative case) at (or in) the vicinity of (objectively or subjectively), (with accusative case) to the proximity with (local (especially beyond or opposed to) or causal (on account of)</x:v>
      </x:c>
      <x:c r="H75" s="20" t="str"/>
      <x:c r="I75" s="21" t="n">
        <x:v>8</x:v>
      </x:c>
      <x:c r="J75" s="21" t="str">
        <x:v>BBG 課序</x:v>
      </x:c>
      <x:c r="K75" s="21" t="str">
        <x:v>G3844</x:v>
      </x:c>
      <x:c r="L75" s="21" t="str">
        <x:v>否</x:v>
      </x:c>
      <x:c r="M75" s="21" t="str"/>
      <x:c r="N75" s="21" t="str">
        <x:v>source_and_lexicon_matched</x:v>
      </x:c>
      <x:c r="O75" s="21" t="str">
        <x:v>rule_generated_from_official_table</x:v>
      </x:c>
      <x:c r="P75" s="21" t="n">
        <x:v>2</x:v>
      </x:c>
      <x:c r="Q75" s="21" t="str">
        <x:v>https://doxa.billmounce.com/Flashcards%20%28BBG%29.pdf</x:v>
      </x:c>
      <x:c r="R75" s="16" t="str"/>
    </x:row>
    <x:row r="76" ht="28" customHeight="1">
      <x:c r="A76" s="21" t="n">
        <x:v>72</x:v>
      </x:c>
      <x:c r="B76" s="21" t="n">
        <x:f>ROUNDUP(A76/50,0)</x:f>
        <x:v>2</x:v>
      </x:c>
      <x:c r="C76" s="21" t="n">
        <x:f>MOD(A76-1,50)+1</x:f>
        <x:v>22</x:v>
      </x:c>
      <x:c r="D76" s="29" t="str">
        <x:v>παραβολή, -ῆς, ἡ</x:v>
      </x:c>
      <x:c r="E76" s="29" t="str">
        <x:v>παραβολή</x:v>
      </x:c>
      <x:c r="F76" s="27" t="str">
        <x:v>parabolē</x:v>
      </x:c>
      <x:c r="G76" s="20" t="str">
        <x:v>a similitude ("parable"), i.e. (symbolic) fictitious narrative (of common life conveying a moral), apothegm or adage</x:v>
      </x:c>
      <x:c r="H76" s="20" t="str"/>
      <x:c r="I76" s="21" t="n">
        <x:v>8</x:v>
      </x:c>
      <x:c r="J76" s="21" t="str">
        <x:v>BBG 課序</x:v>
      </x:c>
      <x:c r="K76" s="21" t="str">
        <x:v>G3850</x:v>
      </x:c>
      <x:c r="L76" s="21" t="str">
        <x:v>否</x:v>
      </x:c>
      <x:c r="M76" s="21" t="str"/>
      <x:c r="N76" s="21" t="str">
        <x:v>source_and_lexicon_matched</x:v>
      </x:c>
      <x:c r="O76" s="21" t="str">
        <x:v>rule_generated_from_official_table</x:v>
      </x:c>
      <x:c r="P76" s="21" t="n">
        <x:v>2</x:v>
      </x:c>
      <x:c r="Q76" s="21" t="str">
        <x:v>https://doxa.billmounce.com/Flashcards%20%28BBG%29.pdf</x:v>
      </x:c>
      <x:c r="R76" s="16" t="str"/>
    </x:row>
    <x:row r="77" ht="28" customHeight="1">
      <x:c r="A77" s="21" t="n">
        <x:v>73</x:v>
      </x:c>
      <x:c r="B77" s="21" t="n">
        <x:f>ROUNDUP(A77/50,0)</x:f>
        <x:v>2</x:v>
      </x:c>
      <x:c r="C77" s="21" t="n">
        <x:f>MOD(A77-1,50)+1</x:f>
        <x:v>23</x:v>
      </x:c>
      <x:c r="D77" s="29" t="str">
        <x:v>πρός</x:v>
      </x:c>
      <x:c r="E77" s="29" t="str">
        <x:v>πρός</x:v>
      </x:c>
      <x:c r="F77" s="27" t="str">
        <x:v>pros</x:v>
      </x:c>
      <x:c r="G77" s="20" t="str">
        <x:v>a preposition of direction; forward to, i.e. toward (with the genitive case, the side of, i.e. pertaining to; with the dative case, by the side of, i.e. near to; usually with the accusative case, the place, time, occasion, or respect, which is the destination of the relation, i.e. whither or for which it is predicated)</x:v>
      </x:c>
      <x:c r="H77" s="20" t="str"/>
      <x:c r="I77" s="21" t="n">
        <x:v>8</x:v>
      </x:c>
      <x:c r="J77" s="21" t="str">
        <x:v>BBG 課序</x:v>
      </x:c>
      <x:c r="K77" s="21" t="str">
        <x:v>G4314</x:v>
      </x:c>
      <x:c r="L77" s="21" t="str">
        <x:v>否</x:v>
      </x:c>
      <x:c r="M77" s="21" t="str"/>
      <x:c r="N77" s="21" t="str">
        <x:v>source_and_lexicon_matched</x:v>
      </x:c>
      <x:c r="O77" s="21" t="str">
        <x:v>rule_generated_from_official_table</x:v>
      </x:c>
      <x:c r="P77" s="21" t="n">
        <x:v>2</x:v>
      </x:c>
      <x:c r="Q77" s="21" t="str">
        <x:v>https://doxa.billmounce.com/Flashcards%20%28BBG%29.pdf</x:v>
      </x:c>
      <x:c r="R77" s="16" t="str"/>
    </x:row>
    <x:row r="78" ht="28" customHeight="1">
      <x:c r="A78" s="21" t="n">
        <x:v>74</x:v>
      </x:c>
      <x:c r="B78" s="21" t="n">
        <x:f>ROUNDUP(A78/50,0)</x:f>
        <x:v>2</x:v>
      </x:c>
      <x:c r="C78" s="21" t="n">
        <x:f>MOD(A78-1,50)+1</x:f>
        <x:v>24</x:v>
      </x:c>
      <x:c r="D78" s="29" t="str">
        <x:v>ὑπό</x:v>
      </x:c>
      <x:c r="E78" s="29" t="str">
        <x:v>ὑπό</x:v>
      </x:c>
      <x:c r="F78" s="27" t="str">
        <x:v>hupo</x:v>
      </x:c>
      <x:c r="G78" s="20" t="str">
        <x:v>under, i.e. (with the genitive case) of place (beneath), or with verbs (the agency or means, through); (with the accusative case) of place (whither (underneath) or where (below) or time (when (at))</x:v>
      </x:c>
      <x:c r="H78" s="20" t="str"/>
      <x:c r="I78" s="21" t="n">
        <x:v>8</x:v>
      </x:c>
      <x:c r="J78" s="21" t="str">
        <x:v>BBG 課序</x:v>
      </x:c>
      <x:c r="K78" s="21" t="str">
        <x:v>G5259</x:v>
      </x:c>
      <x:c r="L78" s="21" t="str">
        <x:v>否</x:v>
      </x:c>
      <x:c r="M78" s="21" t="str"/>
      <x:c r="N78" s="21" t="str">
        <x:v>source_and_lexicon_matched</x:v>
      </x:c>
      <x:c r="O78" s="21" t="str">
        <x:v>rule_generated_from_official_table</x:v>
      </x:c>
      <x:c r="P78" s="21" t="n">
        <x:v>2</x:v>
      </x:c>
      <x:c r="Q78" s="21" t="str">
        <x:v>https://doxa.billmounce.com/Flashcards%20%28BBG%29.pdf</x:v>
      </x:c>
      <x:c r="R78" s="16" t="str"/>
    </x:row>
    <x:row r="79" ht="28" customHeight="1">
      <x:c r="A79" s="21" t="n">
        <x:v>75</x:v>
      </x:c>
      <x:c r="B79" s="21" t="n">
        <x:f>ROUNDUP(A79/50,0)</x:f>
        <x:v>2</x:v>
      </x:c>
      <x:c r="C79" s="21" t="n">
        <x:f>MOD(A79-1,50)+1</x:f>
        <x:v>25</x:v>
      </x:c>
      <x:c r="D79" s="29" t="str">
        <x:v>ἀγαθός, -ή, -όν</x:v>
      </x:c>
      <x:c r="E79" s="29" t="str">
        <x:v>ἀγαθός</x:v>
      </x:c>
      <x:c r="F79" s="27" t="str">
        <x:v>agathos</x:v>
      </x:c>
      <x:c r="G79" s="20" t="str">
        <x:v>"good" (in any sense, often as noun)</x:v>
      </x:c>
      <x:c r="H79" s="20" t="str"/>
      <x:c r="I79" s="21" t="n">
        <x:v>9</x:v>
      </x:c>
      <x:c r="J79" s="21" t="str">
        <x:v>BBG 課序</x:v>
      </x:c>
      <x:c r="K79" s="21" t="str">
        <x:v>G18</x:v>
      </x:c>
      <x:c r="L79" s="21" t="str">
        <x:v>否</x:v>
      </x:c>
      <x:c r="M79" s="21" t="str"/>
      <x:c r="N79" s="21" t="str">
        <x:v>source_and_lexicon_matched</x:v>
      </x:c>
      <x:c r="O79" s="21" t="str">
        <x:v>rule_generated_from_official_table</x:v>
      </x:c>
      <x:c r="P79" s="21" t="n">
        <x:v>2</x:v>
      </x:c>
      <x:c r="Q79" s="21" t="str">
        <x:v>https://doxa.billmounce.com/Flashcards%20%28BBG%29.pdf</x:v>
      </x:c>
      <x:c r="R79" s="16" t="str"/>
    </x:row>
    <x:row r="80" ht="28" customHeight="1">
      <x:c r="A80" s="21" t="n">
        <x:v>76</x:v>
      </x:c>
      <x:c r="B80" s="21" t="n">
        <x:f>ROUNDUP(A80/50,0)</x:f>
        <x:v>2</x:v>
      </x:c>
      <x:c r="C80" s="21" t="n">
        <x:f>MOD(A80-1,50)+1</x:f>
        <x:v>26</x:v>
      </x:c>
      <x:c r="D80" s="29" t="str">
        <x:v>ἅγιος, -ία, -ιον</x:v>
      </x:c>
      <x:c r="E80" s="29" t="str">
        <x:v>ἅγιος</x:v>
      </x:c>
      <x:c r="F80" s="27" t="str">
        <x:v>hagios</x:v>
      </x:c>
      <x:c r="G80" s="20" t="str">
        <x:v>sacred (physically, pure, morally blameless or religious, ceremonially, consecrated)</x:v>
      </x:c>
      <x:c r="H80" s="20" t="str"/>
      <x:c r="I80" s="21" t="n">
        <x:v>9</x:v>
      </x:c>
      <x:c r="J80" s="21" t="str">
        <x:v>BBG 課序</x:v>
      </x:c>
      <x:c r="K80" s="21" t="str">
        <x:v>G40</x:v>
      </x:c>
      <x:c r="L80" s="21" t="str">
        <x:v>否</x:v>
      </x:c>
      <x:c r="M80" s="21" t="str"/>
      <x:c r="N80" s="21" t="str">
        <x:v>source_and_lexicon_matched</x:v>
      </x:c>
      <x:c r="O80" s="21" t="str">
        <x:v>rule_generated_from_official_table</x:v>
      </x:c>
      <x:c r="P80" s="21" t="n">
        <x:v>2</x:v>
      </x:c>
      <x:c r="Q80" s="21" t="str">
        <x:v>https://doxa.billmounce.com/Flashcards%20%28BBG%29.pdf</x:v>
      </x:c>
      <x:c r="R80" s="16" t="str"/>
    </x:row>
    <x:row r="81" ht="28" customHeight="1">
      <x:c r="A81" s="21" t="n">
        <x:v>77</x:v>
      </x:c>
      <x:c r="B81" s="21" t="n">
        <x:f>ROUNDUP(A81/50,0)</x:f>
        <x:v>2</x:v>
      </x:c>
      <x:c r="C81" s="21" t="n">
        <x:f>MOD(A81-1,50)+1</x:f>
        <x:v>27</x:v>
      </x:c>
      <x:c r="D81" s="29" t="str">
        <x:v>ἀγαπητός, -ή, -όν</x:v>
      </x:c>
      <x:c r="E81" s="29" t="str">
        <x:v>ἀγαπητός</x:v>
      </x:c>
      <x:c r="F81" s="27" t="str">
        <x:v>agapētos</x:v>
      </x:c>
      <x:c r="G81" s="20" t="str">
        <x:v>beloved</x:v>
      </x:c>
      <x:c r="H81" s="20" t="str"/>
      <x:c r="I81" s="21" t="n">
        <x:v>9</x:v>
      </x:c>
      <x:c r="J81" s="21" t="str">
        <x:v>BBG 課序</x:v>
      </x:c>
      <x:c r="K81" s="21" t="str">
        <x:v>G27</x:v>
      </x:c>
      <x:c r="L81" s="21" t="str">
        <x:v>否</x:v>
      </x:c>
      <x:c r="M81" s="21" t="str"/>
      <x:c r="N81" s="21" t="str">
        <x:v>source_and_lexicon_matched</x:v>
      </x:c>
      <x:c r="O81" s="21" t="str">
        <x:v>rule_generated_from_official_table</x:v>
      </x:c>
      <x:c r="P81" s="21" t="n">
        <x:v>2</x:v>
      </x:c>
      <x:c r="Q81" s="21" t="str">
        <x:v>https://doxa.billmounce.com/Flashcards%20%28BBG%29.pdf</x:v>
      </x:c>
      <x:c r="R81" s="16" t="str"/>
    </x:row>
    <x:row r="82" ht="28" customHeight="1">
      <x:c r="A82" s="21" t="n">
        <x:v>78</x:v>
      </x:c>
      <x:c r="B82" s="21" t="n">
        <x:f>ROUNDUP(A82/50,0)</x:f>
        <x:v>2</x:v>
      </x:c>
      <x:c r="C82" s="21" t="n">
        <x:f>MOD(A82-1,50)+1</x:f>
        <x:v>28</x:v>
      </x:c>
      <x:c r="D82" s="29" t="str">
        <x:v>αἰώνιος, -ον</x:v>
      </x:c>
      <x:c r="E82" s="29" t="str">
        <x:v>αἰώνιος</x:v>
      </x:c>
      <x:c r="F82" s="27" t="str">
        <x:v>aiōnios</x:v>
      </x:c>
      <x:c r="G82" s="20" t="str">
        <x:v>perpetual (also used of past time, or past and future as well)</x:v>
      </x:c>
      <x:c r="H82" s="20" t="str"/>
      <x:c r="I82" s="21" t="n">
        <x:v>9</x:v>
      </x:c>
      <x:c r="J82" s="21" t="str">
        <x:v>BBG 課序</x:v>
      </x:c>
      <x:c r="K82" s="21" t="str">
        <x:v>G166</x:v>
      </x:c>
      <x:c r="L82" s="21" t="str">
        <x:v>否</x:v>
      </x:c>
      <x:c r="M82" s="21" t="str"/>
      <x:c r="N82" s="21" t="str">
        <x:v>source_and_lexicon_matched</x:v>
      </x:c>
      <x:c r="O82" s="21" t="str">
        <x:v>rule_generated_from_official_table</x:v>
      </x:c>
      <x:c r="P82" s="21" t="n">
        <x:v>2</x:v>
      </x:c>
      <x:c r="Q82" s="21" t="str">
        <x:v>https://doxa.billmounce.com/Flashcards%20%28BBG%29.pdf</x:v>
      </x:c>
      <x:c r="R82" s="16" t="str"/>
    </x:row>
    <x:row r="83" ht="28" customHeight="1">
      <x:c r="A83" s="21" t="n">
        <x:v>79</x:v>
      </x:c>
      <x:c r="B83" s="21" t="n">
        <x:f>ROUNDUP(A83/50,0)</x:f>
        <x:v>2</x:v>
      </x:c>
      <x:c r="C83" s="21" t="n">
        <x:f>MOD(A83-1,50)+1</x:f>
        <x:v>29</x:v>
      </x:c>
      <x:c r="D83" s="29" t="str">
        <x:v>ἀλλήλων</x:v>
      </x:c>
      <x:c r="E83" s="29" t="str">
        <x:v>ἀλλήλων</x:v>
      </x:c>
      <x:c r="F83" s="27" t="str">
        <x:v>allēlōn</x:v>
      </x:c>
      <x:c r="G83" s="20" t="str">
        <x:v>one another</x:v>
      </x:c>
      <x:c r="H83" s="20" t="str"/>
      <x:c r="I83" s="21" t="n">
        <x:v>9</x:v>
      </x:c>
      <x:c r="J83" s="21" t="str">
        <x:v>BBG 課序</x:v>
      </x:c>
      <x:c r="K83" s="21" t="str">
        <x:v>G240</x:v>
      </x:c>
      <x:c r="L83" s="21" t="str">
        <x:v>否</x:v>
      </x:c>
      <x:c r="M83" s="21" t="str"/>
      <x:c r="N83" s="21" t="str">
        <x:v>source_and_lexicon_matched</x:v>
      </x:c>
      <x:c r="O83" s="21" t="str">
        <x:v>rule_generated_from_official_table</x:v>
      </x:c>
      <x:c r="P83" s="21" t="n">
        <x:v>2</x:v>
      </x:c>
      <x:c r="Q83" s="21" t="str">
        <x:v>https://doxa.billmounce.com/Flashcards%20%28BBG%29.pdf</x:v>
      </x:c>
      <x:c r="R83" s="16" t="str"/>
    </x:row>
    <x:row r="84" ht="28" customHeight="1">
      <x:c r="A84" s="21" t="n">
        <x:v>80</x:v>
      </x:c>
      <x:c r="B84" s="21" t="n">
        <x:f>ROUNDUP(A84/50,0)</x:f>
        <x:v>2</x:v>
      </x:c>
      <x:c r="C84" s="21" t="n">
        <x:f>MOD(A84-1,50)+1</x:f>
        <x:v>30</x:v>
      </x:c>
      <x:c r="D84" s="29" t="str">
        <x:v>ἀπεκρίθη</x:v>
      </x:c>
      <x:c r="E84" s="29" t="str">
        <x:v>ἀπεκρίθη</x:v>
      </x:c>
      <x:c r="F84" s="27" t="str">
        <x:v>apekrithē</x:v>
      </x:c>
      <x:c r="G84" s="20" t="str"/>
      <x:c r="H84" s="20" t="str"/>
      <x:c r="I84" s="21" t="n">
        <x:v>9</x:v>
      </x:c>
      <x:c r="J84" s="21" t="str">
        <x:v>BBG 課序</x:v>
      </x:c>
      <x:c r="K84" s="21" t="str"/>
      <x:c r="L84" s="21" t="str">
        <x:v>否</x:v>
      </x:c>
      <x:c r="M84" s="21" t="str"/>
      <x:c r="N84" s="21" t="str">
        <x:v>source_verified_lexicon_pending</x:v>
      </x:c>
      <x:c r="O84" s="21" t="str">
        <x:v>rule_generated_from_official_table</x:v>
      </x:c>
      <x:c r="P84" s="21" t="n">
        <x:v>2</x:v>
      </x:c>
      <x:c r="Q84" s="21" t="str">
        <x:v>https://doxa.billmounce.com/Flashcards%20%28BBG%29.pdf</x:v>
      </x:c>
      <x:c r="R84" s="16" t="str"/>
    </x:row>
    <x:row r="85" ht="28" customHeight="1">
      <x:c r="A85" s="21" t="n">
        <x:v>81</x:v>
      </x:c>
      <x:c r="B85" s="21" t="n">
        <x:f>ROUNDUP(A85/50,0)</x:f>
        <x:v>2</x:v>
      </x:c>
      <x:c r="C85" s="21" t="n">
        <x:f>MOD(A85-1,50)+1</x:f>
        <x:v>31</x:v>
      </x:c>
      <x:c r="D85" s="29" t="str">
        <x:v>δοῦλος, -ου, ὁ</x:v>
      </x:c>
      <x:c r="E85" s="29" t="str">
        <x:v>δοῦλος</x:v>
      </x:c>
      <x:c r="F85" s="27" t="str">
        <x:v>doulos</x:v>
      </x:c>
      <x:c r="G85" s="20" t="str">
        <x:v>a slave (literal or figurative, involuntary or voluntary; frequently, therefore in a qualified sense of subjection or subserviency)</x:v>
      </x:c>
      <x:c r="H85" s="20" t="str"/>
      <x:c r="I85" s="21" t="n">
        <x:v>9</x:v>
      </x:c>
      <x:c r="J85" s="21" t="str">
        <x:v>BBG 課序</x:v>
      </x:c>
      <x:c r="K85" s="21" t="str">
        <x:v>G1401</x:v>
      </x:c>
      <x:c r="L85" s="21" t="str">
        <x:v>否</x:v>
      </x:c>
      <x:c r="M85" s="21" t="str"/>
      <x:c r="N85" s="21" t="str">
        <x:v>source_and_lexicon_matched</x:v>
      </x:c>
      <x:c r="O85" s="21" t="str">
        <x:v>rule_generated_from_official_table</x:v>
      </x:c>
      <x:c r="P85" s="21" t="n">
        <x:v>2</x:v>
      </x:c>
      <x:c r="Q85" s="21" t="str">
        <x:v>https://doxa.billmounce.com/Flashcards%20%28BBG%29.pdf</x:v>
      </x:c>
      <x:c r="R85" s="16" t="str"/>
    </x:row>
    <x:row r="86" ht="28" customHeight="1">
      <x:c r="A86" s="21" t="n">
        <x:v>82</x:v>
      </x:c>
      <x:c r="B86" s="21" t="n">
        <x:f>ROUNDUP(A86/50,0)</x:f>
        <x:v>2</x:v>
      </x:c>
      <x:c r="C86" s="21" t="n">
        <x:f>MOD(A86-1,50)+1</x:f>
        <x:v>32</x:v>
      </x:c>
      <x:c r="D86" s="29" t="str">
        <x:v>ἐάν</x:v>
      </x:c>
      <x:c r="E86" s="29" t="str">
        <x:v>ἐάν</x:v>
      </x:c>
      <x:c r="F86" s="27" t="str">
        <x:v>ean</x:v>
      </x:c>
      <x:c r="G86" s="20" t="str">
        <x:v>a conditional particle; in case that, provided, etc.; often used in connection with other particles to denote indefiniteness or uncertainty</x:v>
      </x:c>
      <x:c r="H86" s="20" t="str"/>
      <x:c r="I86" s="21" t="n">
        <x:v>9</x:v>
      </x:c>
      <x:c r="J86" s="21" t="str">
        <x:v>BBG 課序</x:v>
      </x:c>
      <x:c r="K86" s="21" t="str">
        <x:v>G1437</x:v>
      </x:c>
      <x:c r="L86" s="21" t="str">
        <x:v>否</x:v>
      </x:c>
      <x:c r="M86" s="21" t="str"/>
      <x:c r="N86" s="21" t="str">
        <x:v>source_and_lexicon_matched</x:v>
      </x:c>
      <x:c r="O86" s="21" t="str">
        <x:v>rule_generated_from_official_table</x:v>
      </x:c>
      <x:c r="P86" s="21" t="n">
        <x:v>2</x:v>
      </x:c>
      <x:c r="Q86" s="21" t="str">
        <x:v>https://doxa.billmounce.com/Flashcards%20%28BBG%29.pdf</x:v>
      </x:c>
      <x:c r="R86" s="16" t="str"/>
    </x:row>
    <x:row r="87" ht="28" customHeight="1">
      <x:c r="A87" s="21" t="n">
        <x:v>83</x:v>
      </x:c>
      <x:c r="B87" s="21" t="n">
        <x:f>ROUNDUP(A87/50,0)</x:f>
        <x:v>2</x:v>
      </x:c>
      <x:c r="C87" s="21" t="n">
        <x:f>MOD(A87-1,50)+1</x:f>
        <x:v>33</x:v>
      </x:c>
      <x:c r="D87" s="29" t="str">
        <x:v>ἐμός, ἐμή, ἐμόν</x:v>
      </x:c>
      <x:c r="E87" s="29" t="str">
        <x:v>ἐμός</x:v>
      </x:c>
      <x:c r="F87" s="27" t="str">
        <x:v>emos</x:v>
      </x:c>
      <x:c r="G87" s="20" t="str">
        <x:v>my</x:v>
      </x:c>
      <x:c r="H87" s="20" t="str"/>
      <x:c r="I87" s="21" t="n">
        <x:v>9</x:v>
      </x:c>
      <x:c r="J87" s="21" t="str">
        <x:v>BBG 課序</x:v>
      </x:c>
      <x:c r="K87" s="21" t="str">
        <x:v>G1699</x:v>
      </x:c>
      <x:c r="L87" s="21" t="str">
        <x:v>否</x:v>
      </x:c>
      <x:c r="M87" s="21" t="str"/>
      <x:c r="N87" s="21" t="str">
        <x:v>source_and_lexicon_matched</x:v>
      </x:c>
      <x:c r="O87" s="21" t="str">
        <x:v>rule_generated_from_official_table</x:v>
      </x:c>
      <x:c r="P87" s="21" t="n">
        <x:v>2</x:v>
      </x:c>
      <x:c r="Q87" s="21" t="str">
        <x:v>https://doxa.billmounce.com/Flashcards%20%28BBG%29.pdf</x:v>
      </x:c>
      <x:c r="R87" s="16" t="str"/>
    </x:row>
    <x:row r="88" ht="28" customHeight="1">
      <x:c r="A88" s="21" t="n">
        <x:v>84</x:v>
      </x:c>
      <x:c r="B88" s="21" t="n">
        <x:f>ROUNDUP(A88/50,0)</x:f>
        <x:v>2</x:v>
      </x:c>
      <x:c r="C88" s="21" t="n">
        <x:f>MOD(A88-1,50)+1</x:f>
        <x:v>34</x:v>
      </x:c>
      <x:c r="D88" s="29" t="str">
        <x:v>ἐντολή, -ῆς, ἡ</x:v>
      </x:c>
      <x:c r="E88" s="29" t="str">
        <x:v>ἐντολή</x:v>
      </x:c>
      <x:c r="F88" s="27" t="str">
        <x:v>entolē</x:v>
      </x:c>
      <x:c r="G88" s="20" t="str">
        <x:v>injunction, i.e. an authoritative prescription</x:v>
      </x:c>
      <x:c r="H88" s="20" t="str"/>
      <x:c r="I88" s="21" t="n">
        <x:v>9</x:v>
      </x:c>
      <x:c r="J88" s="21" t="str">
        <x:v>BBG 課序</x:v>
      </x:c>
      <x:c r="K88" s="21" t="str">
        <x:v>G1785</x:v>
      </x:c>
      <x:c r="L88" s="21" t="str">
        <x:v>否</x:v>
      </x:c>
      <x:c r="M88" s="21" t="str"/>
      <x:c r="N88" s="21" t="str">
        <x:v>source_and_lexicon_matched</x:v>
      </x:c>
      <x:c r="O88" s="21" t="str">
        <x:v>rule_generated_from_official_table</x:v>
      </x:c>
      <x:c r="P88" s="21" t="n">
        <x:v>2</x:v>
      </x:c>
      <x:c r="Q88" s="21" t="str">
        <x:v>https://doxa.billmounce.com/Flashcards%20%28BBG%29.pdf</x:v>
      </x:c>
      <x:c r="R88" s="16" t="str"/>
    </x:row>
    <x:row r="89" ht="28" customHeight="1">
      <x:c r="A89" s="21" t="n">
        <x:v>85</x:v>
      </x:c>
      <x:c r="B89" s="21" t="n">
        <x:f>ROUNDUP(A89/50,0)</x:f>
        <x:v>2</x:v>
      </x:c>
      <x:c r="C89" s="21" t="n">
        <x:f>MOD(A89-1,50)+1</x:f>
        <x:v>35</x:v>
      </x:c>
      <x:c r="D89" s="29" t="str">
        <x:v>καθώς</x:v>
      </x:c>
      <x:c r="E89" s="29" t="str">
        <x:v>καθώς</x:v>
      </x:c>
      <x:c r="F89" s="27" t="str">
        <x:v>kathōs</x:v>
      </x:c>
      <x:c r="G89" s="20" t="str">
        <x:v>just (or inasmuch) as, that</x:v>
      </x:c>
      <x:c r="H89" s="20" t="str"/>
      <x:c r="I89" s="21" t="n">
        <x:v>9</x:v>
      </x:c>
      <x:c r="J89" s="21" t="str">
        <x:v>BBG 課序</x:v>
      </x:c>
      <x:c r="K89" s="21" t="str">
        <x:v>G2531</x:v>
      </x:c>
      <x:c r="L89" s="21" t="str">
        <x:v>否</x:v>
      </x:c>
      <x:c r="M89" s="21" t="str"/>
      <x:c r="N89" s="21" t="str">
        <x:v>source_and_lexicon_matched</x:v>
      </x:c>
      <x:c r="O89" s="21" t="str">
        <x:v>rule_generated_from_official_table</x:v>
      </x:c>
      <x:c r="P89" s="21" t="n">
        <x:v>2</x:v>
      </x:c>
      <x:c r="Q89" s="21" t="str">
        <x:v>https://doxa.billmounce.com/Flashcards%20%28BBG%29.pdf</x:v>
      </x:c>
      <x:c r="R89" s="16" t="str"/>
    </x:row>
    <x:row r="90" ht="28" customHeight="1">
      <x:c r="A90" s="21" t="n">
        <x:v>86</x:v>
      </x:c>
      <x:c r="B90" s="21" t="n">
        <x:f>ROUNDUP(A90/50,0)</x:f>
        <x:v>2</x:v>
      </x:c>
      <x:c r="C90" s="21" t="n">
        <x:f>MOD(A90-1,50)+1</x:f>
        <x:v>36</x:v>
      </x:c>
      <x:c r="D90" s="29" t="str">
        <x:v>κακός, -ή, -όν</x:v>
      </x:c>
      <x:c r="E90" s="29" t="str">
        <x:v>κακός</x:v>
      </x:c>
      <x:c r="F90" s="27" t="str">
        <x:v>kakos</x:v>
      </x:c>
      <x:c r="G90" s="20" t="str">
        <x:v>worthless (intrinsically, such; whereas G4190 (πονηρός) properly refers to effects), i.e. (subjectively) depraved, or (objectively) injurious</x:v>
      </x:c>
      <x:c r="H90" s="20" t="str"/>
      <x:c r="I90" s="21" t="n">
        <x:v>9</x:v>
      </x:c>
      <x:c r="J90" s="21" t="str">
        <x:v>BBG 課序</x:v>
      </x:c>
      <x:c r="K90" s="21" t="str">
        <x:v>G2556</x:v>
      </x:c>
      <x:c r="L90" s="21" t="str">
        <x:v>否</x:v>
      </x:c>
      <x:c r="M90" s="21" t="str"/>
      <x:c r="N90" s="21" t="str">
        <x:v>source_and_lexicon_matched</x:v>
      </x:c>
      <x:c r="O90" s="21" t="str">
        <x:v>rule_generated_from_official_table</x:v>
      </x:c>
      <x:c r="P90" s="21" t="n">
        <x:v>2</x:v>
      </x:c>
      <x:c r="Q90" s="21" t="str">
        <x:v>https://doxa.billmounce.com/Flashcards%20%28BBG%29.pdf</x:v>
      </x:c>
      <x:c r="R90" s="16" t="str"/>
    </x:row>
    <x:row r="91" ht="28" customHeight="1">
      <x:c r="A91" s="21" t="n">
        <x:v>87</x:v>
      </x:c>
      <x:c r="B91" s="21" t="n">
        <x:f>ROUNDUP(A91/50,0)</x:f>
        <x:v>2</x:v>
      </x:c>
      <x:c r="C91" s="21" t="n">
        <x:f>MOD(A91-1,50)+1</x:f>
        <x:v>37</x:v>
      </x:c>
      <x:c r="D91" s="29" t="str">
        <x:v>μου</x:v>
      </x:c>
      <x:c r="E91" s="29" t="str">
        <x:v>μου</x:v>
      </x:c>
      <x:c r="F91" s="27" t="str">
        <x:v>mou</x:v>
      </x:c>
      <x:c r="G91" s="20" t="str">
        <x:v>of me</x:v>
      </x:c>
      <x:c r="H91" s="20" t="str"/>
      <x:c r="I91" s="21" t="n">
        <x:v>9</x:v>
      </x:c>
      <x:c r="J91" s="21" t="str">
        <x:v>BBG 課序</x:v>
      </x:c>
      <x:c r="K91" s="21" t="str">
        <x:v>G3450</x:v>
      </x:c>
      <x:c r="L91" s="21" t="str">
        <x:v>否</x:v>
      </x:c>
      <x:c r="M91" s="21" t="str"/>
      <x:c r="N91" s="21" t="str">
        <x:v>source_and_lexicon_matched</x:v>
      </x:c>
      <x:c r="O91" s="21" t="str">
        <x:v>rule_generated_from_official_table</x:v>
      </x:c>
      <x:c r="P91" s="21" t="n">
        <x:v>2</x:v>
      </x:c>
      <x:c r="Q91" s="21" t="str">
        <x:v>https://doxa.billmounce.com/Flashcards%20%28BBG%29.pdf</x:v>
      </x:c>
      <x:c r="R91" s="16" t="str"/>
    </x:row>
    <x:row r="92" ht="28" customHeight="1">
      <x:c r="A92" s="21" t="n">
        <x:v>88</x:v>
      </x:c>
      <x:c r="B92" s="21" t="n">
        <x:f>ROUNDUP(A92/50,0)</x:f>
        <x:v>2</x:v>
      </x:c>
      <x:c r="C92" s="21" t="n">
        <x:f>MOD(A92-1,50)+1</x:f>
        <x:v>38</x:v>
      </x:c>
      <x:c r="D92" s="29" t="str">
        <x:v>νεκρός, -ά, -όν</x:v>
      </x:c>
      <x:c r="E92" s="29" t="str">
        <x:v>νεκρός</x:v>
      </x:c>
      <x:c r="F92" s="27" t="str">
        <x:v>nekros</x:v>
      </x:c>
      <x:c r="G92" s="20" t="str">
        <x:v>dead (literally or figuratively; also as noun)</x:v>
      </x:c>
      <x:c r="H92" s="20" t="str"/>
      <x:c r="I92" s="21" t="n">
        <x:v>9</x:v>
      </x:c>
      <x:c r="J92" s="21" t="str">
        <x:v>BBG 課序</x:v>
      </x:c>
      <x:c r="K92" s="21" t="str">
        <x:v>G3498</x:v>
      </x:c>
      <x:c r="L92" s="21" t="str">
        <x:v>否</x:v>
      </x:c>
      <x:c r="M92" s="21" t="str"/>
      <x:c r="N92" s="21" t="str">
        <x:v>source_and_lexicon_matched</x:v>
      </x:c>
      <x:c r="O92" s="21" t="str">
        <x:v>rule_generated_from_official_table</x:v>
      </x:c>
      <x:c r="P92" s="21" t="n">
        <x:v>2</x:v>
      </x:c>
      <x:c r="Q92" s="21" t="str">
        <x:v>https://doxa.billmounce.com/Flashcards%20%28BBG%29.pdf</x:v>
      </x:c>
      <x:c r="R92" s="16" t="str"/>
    </x:row>
    <x:row r="93" ht="28" customHeight="1">
      <x:c r="A93" s="21" t="n">
        <x:v>89</x:v>
      </x:c>
      <x:c r="B93" s="21" t="n">
        <x:f>ROUNDUP(A93/50,0)</x:f>
        <x:v>2</x:v>
      </x:c>
      <x:c r="C93" s="21" t="n">
        <x:f>MOD(A93-1,50)+1</x:f>
        <x:v>39</x:v>
      </x:c>
      <x:c r="D93" s="29" t="str">
        <x:v>πιστός, -ή, -όν</x:v>
      </x:c>
      <x:c r="E93" s="29" t="str">
        <x:v>πιστός</x:v>
      </x:c>
      <x:c r="F93" s="27" t="str">
        <x:v>pistos</x:v>
      </x:c>
      <x:c r="G93" s="20" t="str">
        <x:v>objectively, trustworthy; subjectively, trustful</x:v>
      </x:c>
      <x:c r="H93" s="20" t="str"/>
      <x:c r="I93" s="21" t="n">
        <x:v>9</x:v>
      </x:c>
      <x:c r="J93" s="21" t="str">
        <x:v>BBG 課序</x:v>
      </x:c>
      <x:c r="K93" s="21" t="str">
        <x:v>G4103</x:v>
      </x:c>
      <x:c r="L93" s="21" t="str">
        <x:v>否</x:v>
      </x:c>
      <x:c r="M93" s="21" t="str"/>
      <x:c r="N93" s="21" t="str">
        <x:v>source_and_lexicon_matched</x:v>
      </x:c>
      <x:c r="O93" s="21" t="str">
        <x:v>rule_generated_from_official_table</x:v>
      </x:c>
      <x:c r="P93" s="21" t="n">
        <x:v>2</x:v>
      </x:c>
      <x:c r="Q93" s="21" t="str">
        <x:v>https://doxa.billmounce.com/Flashcards%20%28BBG%29.pdf</x:v>
      </x:c>
      <x:c r="R93" s="16" t="str"/>
    </x:row>
    <x:row r="94" ht="28" customHeight="1">
      <x:c r="A94" s="21" t="n">
        <x:v>90</x:v>
      </x:c>
      <x:c r="B94" s="21" t="n">
        <x:f>ROUNDUP(A94/50,0)</x:f>
        <x:v>2</x:v>
      </x:c>
      <x:c r="C94" s="21" t="n">
        <x:f>MOD(A94-1,50)+1</x:f>
        <x:v>40</x:v>
      </x:c>
      <x:c r="D94" s="29" t="str">
        <x:v>πονηρός, -ά, -όν</x:v>
      </x:c>
      <x:c r="E94" s="29" t="str">
        <x:v>πονηρός</x:v>
      </x:c>
      <x:c r="F94" s="27" t="str">
        <x:v>ponēros</x:v>
      </x:c>
      <x:c r="G94" s="20" t="str">
        <x:v>hurtful, i.e. evil (properly, in effect or influence, and thus differing from G2556 (κακός), which refers rather to essential character, as well as from G4550 (σαπρός), which indicates degeneracy from original virtue); figuratively, calamitous; also (passively) ill, i.e. diseased; but especially (morally) culpable, i.e. derelict, vicious, facinorous; neuter (singular) mischief, malice, or (plural) guilt; masculine (singular) the devil, or (plural) sinners</x:v>
      </x:c>
      <x:c r="H94" s="20" t="str"/>
      <x:c r="I94" s="21" t="n">
        <x:v>9</x:v>
      </x:c>
      <x:c r="J94" s="21" t="str">
        <x:v>BBG 課序</x:v>
      </x:c>
      <x:c r="K94" s="21" t="str">
        <x:v>G4190</x:v>
      </x:c>
      <x:c r="L94" s="21" t="str">
        <x:v>否</x:v>
      </x:c>
      <x:c r="M94" s="21" t="str"/>
      <x:c r="N94" s="21" t="str">
        <x:v>source_and_lexicon_matched</x:v>
      </x:c>
      <x:c r="O94" s="21" t="str">
        <x:v>rule_generated_from_official_table</x:v>
      </x:c>
      <x:c r="P94" s="21" t="n">
        <x:v>2</x:v>
      </x:c>
      <x:c r="Q94" s="21" t="str">
        <x:v>https://doxa.billmounce.com/Flashcards%20%28BBG%29.pdf</x:v>
      </x:c>
      <x:c r="R94" s="16" t="str"/>
    </x:row>
    <x:row r="95" ht="28" customHeight="1">
      <x:c r="A95" s="21" t="n">
        <x:v>91</x:v>
      </x:c>
      <x:c r="B95" s="21" t="n">
        <x:f>ROUNDUP(A95/50,0)</x:f>
        <x:v>2</x:v>
      </x:c>
      <x:c r="C95" s="21" t="n">
        <x:f>MOD(A95-1,50)+1</x:f>
        <x:v>41</x:v>
      </x:c>
      <x:c r="D95" s="29" t="str">
        <x:v>πρῶτος, -η, -ον</x:v>
      </x:c>
      <x:c r="E95" s="29" t="str">
        <x:v>πρῶτος</x:v>
      </x:c>
      <x:c r="F95" s="27" t="str">
        <x:v>prōtos</x:v>
      </x:c>
      <x:c r="G95" s="20" t="str">
        <x:v>foremost (in time, place, order or importance)</x:v>
      </x:c>
      <x:c r="H95" s="20" t="str"/>
      <x:c r="I95" s="21" t="n">
        <x:v>9</x:v>
      </x:c>
      <x:c r="J95" s="21" t="str">
        <x:v>BBG 課序</x:v>
      </x:c>
      <x:c r="K95" s="21" t="str">
        <x:v>G4413</x:v>
      </x:c>
      <x:c r="L95" s="21" t="str">
        <x:v>否</x:v>
      </x:c>
      <x:c r="M95" s="21" t="str"/>
      <x:c r="N95" s="21" t="str">
        <x:v>source_and_lexicon_matched</x:v>
      </x:c>
      <x:c r="O95" s="21" t="str">
        <x:v>rule_generated_from_official_table</x:v>
      </x:c>
      <x:c r="P95" s="21" t="n">
        <x:v>2</x:v>
      </x:c>
      <x:c r="Q95" s="21" t="str">
        <x:v>https://doxa.billmounce.com/Flashcards%20%28BBG%29.pdf</x:v>
      </x:c>
      <x:c r="R95" s="16" t="str"/>
    </x:row>
    <x:row r="96" ht="28" customHeight="1">
      <x:c r="A96" s="21" t="n">
        <x:v>92</x:v>
      </x:c>
      <x:c r="B96" s="21" t="n">
        <x:f>ROUNDUP(A96/50,0)</x:f>
        <x:v>2</x:v>
      </x:c>
      <x:c r="C96" s="21" t="n">
        <x:f>MOD(A96-1,50)+1</x:f>
        <x:v>42</x:v>
      </x:c>
      <x:c r="D96" s="29" t="str">
        <x:v>τρίτος, -η, -ον</x:v>
      </x:c>
      <x:c r="E96" s="29" t="str">
        <x:v>τρίτος</x:v>
      </x:c>
      <x:c r="F96" s="27" t="str">
        <x:v>tritos</x:v>
      </x:c>
      <x:c r="G96" s="20" t="str">
        <x:v>third; neuter (as noun) a third part, or (as adverb) a (or the) third time, thirdly</x:v>
      </x:c>
      <x:c r="H96" s="20" t="str"/>
      <x:c r="I96" s="21" t="n">
        <x:v>9</x:v>
      </x:c>
      <x:c r="J96" s="21" t="str">
        <x:v>BBG 課序</x:v>
      </x:c>
      <x:c r="K96" s="21" t="str">
        <x:v>G5154</x:v>
      </x:c>
      <x:c r="L96" s="21" t="str">
        <x:v>否</x:v>
      </x:c>
      <x:c r="M96" s="21" t="str"/>
      <x:c r="N96" s="21" t="str">
        <x:v>source_and_lexicon_matched</x:v>
      </x:c>
      <x:c r="O96" s="21" t="str">
        <x:v>rule_generated_from_official_table</x:v>
      </x:c>
      <x:c r="P96" s="21" t="n">
        <x:v>2</x:v>
      </x:c>
      <x:c r="Q96" s="21" t="str">
        <x:v>https://doxa.billmounce.com/Flashcards%20%28BBG%29.pdf</x:v>
      </x:c>
      <x:c r="R96" s="16" t="str"/>
    </x:row>
    <x:row r="97" ht="28" customHeight="1">
      <x:c r="A97" s="21" t="n">
        <x:v>93</x:v>
      </x:c>
      <x:c r="B97" s="21" t="n">
        <x:f>ROUNDUP(A97/50,0)</x:f>
        <x:v>2</x:v>
      </x:c>
      <x:c r="C97" s="21" t="n">
        <x:f>MOD(A97-1,50)+1</x:f>
        <x:v>43</x:v>
      </x:c>
      <x:c r="D97" s="29" t="str">
        <x:v>εἰ</x:v>
      </x:c>
      <x:c r="E97" s="29" t="str">
        <x:v>εἰ</x:v>
      </x:c>
      <x:c r="F97" s="27" t="str">
        <x:v>ei</x:v>
      </x:c>
      <x:c r="G97" s="20" t="str">
        <x:v>if, whether, that, etc.</x:v>
      </x:c>
      <x:c r="H97" s="20" t="str"/>
      <x:c r="I97" s="21" t="n">
        <x:v>10</x:v>
      </x:c>
      <x:c r="J97" s="21" t="str">
        <x:v>BBG 課序</x:v>
      </x:c>
      <x:c r="K97" s="21" t="str">
        <x:v>G1487</x:v>
      </x:c>
      <x:c r="L97" s="21" t="str">
        <x:v>否</x:v>
      </x:c>
      <x:c r="M97" s="21" t="str"/>
      <x:c r="N97" s="21" t="str">
        <x:v>source_and_lexicon_matched</x:v>
      </x:c>
      <x:c r="O97" s="21" t="str">
        <x:v>rule_generated_from_official_table</x:v>
      </x:c>
      <x:c r="P97" s="21" t="n">
        <x:v>2</x:v>
      </x:c>
      <x:c r="Q97" s="21" t="str">
        <x:v>https://doxa.billmounce.com/Flashcards%20%28BBG%29.pdf</x:v>
      </x:c>
      <x:c r="R97" s="16" t="str"/>
    </x:row>
    <x:row r="98" ht="28" customHeight="1">
      <x:c r="A98" s="21" t="n">
        <x:v>94</x:v>
      </x:c>
      <x:c r="B98" s="21" t="n">
        <x:f>ROUNDUP(A98/50,0)</x:f>
        <x:v>2</x:v>
      </x:c>
      <x:c r="C98" s="21" t="n">
        <x:f>MOD(A98-1,50)+1</x:f>
        <x:v>44</x:v>
      </x:c>
      <x:c r="D98" s="29" t="str">
        <x:v>εἰ μή</x:v>
      </x:c>
      <x:c r="E98" s="29" t="str">
        <x:v>εἰ μή</x:v>
      </x:c>
      <x:c r="F98" s="27" t="str">
        <x:v>eimē</x:v>
      </x:c>
      <x:c r="G98" s="20" t="str">
        <x:v>if not</x:v>
      </x:c>
      <x:c r="H98" s="20" t="str"/>
      <x:c r="I98" s="21" t="n">
        <x:v>10</x:v>
      </x:c>
      <x:c r="J98" s="21" t="str">
        <x:v>BBG 課序</x:v>
      </x:c>
      <x:c r="K98" s="21" t="str">
        <x:v>G1508</x:v>
      </x:c>
      <x:c r="L98" s="21" t="str">
        <x:v>否</x:v>
      </x:c>
      <x:c r="M98" s="21" t="str"/>
      <x:c r="N98" s="21" t="str">
        <x:v>source_and_lexicon_matched</x:v>
      </x:c>
      <x:c r="O98" s="21" t="str">
        <x:v>rule_generated_from_official_table</x:v>
      </x:c>
      <x:c r="P98" s="21" t="n">
        <x:v>2</x:v>
      </x:c>
      <x:c r="Q98" s="21" t="str">
        <x:v>https://doxa.billmounce.com/Flashcards%20%28BBG%29.pdf</x:v>
      </x:c>
      <x:c r="R98" s="16" t="str"/>
    </x:row>
    <x:row r="99" ht="28" customHeight="1">
      <x:c r="A99" s="21" t="n">
        <x:v>95</x:v>
      </x:c>
      <x:c r="B99" s="21" t="n">
        <x:f>ROUNDUP(A99/50,0)</x:f>
        <x:v>2</x:v>
      </x:c>
      <x:c r="C99" s="21" t="n">
        <x:f>MOD(A99-1,50)+1</x:f>
        <x:v>45</x:v>
      </x:c>
      <x:c r="D99" s="29" t="str">
        <x:v>εἷς, μία, ἕν</x:v>
      </x:c>
      <x:c r="E99" s="29" t="str">
        <x:v>εἷς</x:v>
      </x:c>
      <x:c r="F99" s="27" t="str">
        <x:v>heis</x:v>
      </x:c>
      <x:c r="G99" s="20" t="str">
        <x:v>one</x:v>
      </x:c>
      <x:c r="H99" s="20" t="str"/>
      <x:c r="I99" s="21" t="n">
        <x:v>10</x:v>
      </x:c>
      <x:c r="J99" s="21" t="str">
        <x:v>BBG 課序</x:v>
      </x:c>
      <x:c r="K99" s="21" t="str">
        <x:v>G1520</x:v>
      </x:c>
      <x:c r="L99" s="21" t="str">
        <x:v>否</x:v>
      </x:c>
      <x:c r="M99" s="21" t="str"/>
      <x:c r="N99" s="21" t="str">
        <x:v>source_and_lexicon_matched</x:v>
      </x:c>
      <x:c r="O99" s="21" t="str">
        <x:v>rule_generated_from_official_table</x:v>
      </x:c>
      <x:c r="P99" s="21" t="n">
        <x:v>2</x:v>
      </x:c>
      <x:c r="Q99" s="21" t="str">
        <x:v>https://doxa.billmounce.com/Flashcards%20%28BBG%29.pdf</x:v>
      </x:c>
      <x:c r="R99" s="16" t="str"/>
    </x:row>
    <x:row r="100" ht="28" customHeight="1">
      <x:c r="A100" s="21" t="n">
        <x:v>96</x:v>
      </x:c>
      <x:c r="B100" s="21" t="n">
        <x:f>ROUNDUP(A100/50,0)</x:f>
        <x:v>2</x:v>
      </x:c>
      <x:c r="C100" s="21" t="n">
        <x:f>MOD(A100-1,50)+1</x:f>
        <x:v>46</x:v>
      </x:c>
      <x:c r="D100" s="29" t="str">
        <x:v>ἤδη</x:v>
      </x:c>
      <x:c r="E100" s="29" t="str">
        <x:v>ἤδη</x:v>
      </x:c>
      <x:c r="F100" s="27" t="str">
        <x:v>ēdē</x:v>
      </x:c>
      <x:c r="G100" s="20" t="str">
        <x:v>even now</x:v>
      </x:c>
      <x:c r="H100" s="20" t="str"/>
      <x:c r="I100" s="21" t="n">
        <x:v>10</x:v>
      </x:c>
      <x:c r="J100" s="21" t="str">
        <x:v>BBG 課序</x:v>
      </x:c>
      <x:c r="K100" s="21" t="str">
        <x:v>G2235</x:v>
      </x:c>
      <x:c r="L100" s="21" t="str">
        <x:v>否</x:v>
      </x:c>
      <x:c r="M100" s="21" t="str"/>
      <x:c r="N100" s="21" t="str">
        <x:v>source_and_lexicon_matched</x:v>
      </x:c>
      <x:c r="O100" s="21" t="str">
        <x:v>rule_generated_from_official_table</x:v>
      </x:c>
      <x:c r="P100" s="21" t="n">
        <x:v>2</x:v>
      </x:c>
      <x:c r="Q100" s="21" t="str">
        <x:v>https://doxa.billmounce.com/Flashcards%20%28BBG%29.pdf</x:v>
      </x:c>
      <x:c r="R100" s="16" t="str"/>
    </x:row>
    <x:row r="101" ht="28" customHeight="1">
      <x:c r="A101" s="21" t="n">
        <x:v>97</x:v>
      </x:c>
      <x:c r="B101" s="21" t="n">
        <x:f>ROUNDUP(A101/50,0)</x:f>
        <x:v>2</x:v>
      </x:c>
      <x:c r="C101" s="21" t="n">
        <x:f>MOD(A101-1,50)+1</x:f>
        <x:v>47</x:v>
      </x:c>
      <x:c r="D101" s="29" t="str">
        <x:v>ὄνομα, -ατος, τό</x:v>
      </x:c>
      <x:c r="E101" s="29" t="str">
        <x:v>ὄνομα</x:v>
      </x:c>
      <x:c r="F101" s="27" t="str">
        <x:v>onoma</x:v>
      </x:c>
      <x:c r="G101" s="20" t="str">
        <x:v>a "name" (literally or figuratively) (authority, character)</x:v>
      </x:c>
      <x:c r="H101" s="20" t="str"/>
      <x:c r="I101" s="21" t="n">
        <x:v>10</x:v>
      </x:c>
      <x:c r="J101" s="21" t="str">
        <x:v>BBG 課序</x:v>
      </x:c>
      <x:c r="K101" s="21" t="str">
        <x:v>G3686</x:v>
      </x:c>
      <x:c r="L101" s="21" t="str">
        <x:v>否</x:v>
      </x:c>
      <x:c r="M101" s="21" t="str"/>
      <x:c r="N101" s="21" t="str">
        <x:v>source_and_lexicon_matched</x:v>
      </x:c>
      <x:c r="O101" s="21" t="str">
        <x:v>rule_generated_from_official_table</x:v>
      </x:c>
      <x:c r="P101" s="21" t="n">
        <x:v>2</x:v>
      </x:c>
      <x:c r="Q101" s="21" t="str">
        <x:v>https://doxa.billmounce.com/Flashcards%20%28BBG%29.pdf</x:v>
      </x:c>
      <x:c r="R101" s="16" t="str"/>
    </x:row>
    <x:row r="102" ht="28" customHeight="1">
      <x:c r="A102" s="21" t="n">
        <x:v>98</x:v>
      </x:c>
      <x:c r="B102" s="21" t="n">
        <x:f>ROUNDUP(A102/50,0)</x:f>
        <x:v>2</x:v>
      </x:c>
      <x:c r="C102" s="21" t="n">
        <x:f>MOD(A102-1,50)+1</x:f>
        <x:v>48</x:v>
      </x:c>
      <x:c r="D102" s="29" t="str">
        <x:v>οὐδείς, οὐδεμία, οὐδέν</x:v>
      </x:c>
      <x:c r="E102" s="29" t="str">
        <x:v>οὐδείς</x:v>
      </x:c>
      <x:c r="F102" s="27" t="str">
        <x:v>oudeis</x:v>
      </x:c>
      <x:c r="G102" s="20" t="str">
        <x:v>not even one (man, woman or thing), i.e. none, nobody, nothing</x:v>
      </x:c>
      <x:c r="H102" s="20" t="str"/>
      <x:c r="I102" s="21" t="n">
        <x:v>10</x:v>
      </x:c>
      <x:c r="J102" s="21" t="str">
        <x:v>BBG 課序</x:v>
      </x:c>
      <x:c r="K102" s="21" t="str">
        <x:v>G3762</x:v>
      </x:c>
      <x:c r="L102" s="21" t="str">
        <x:v>否</x:v>
      </x:c>
      <x:c r="M102" s="21" t="str"/>
      <x:c r="N102" s="21" t="str">
        <x:v>source_and_lexicon_matched</x:v>
      </x:c>
      <x:c r="O102" s="21" t="str">
        <x:v>rule_generated_from_official_table</x:v>
      </x:c>
      <x:c r="P102" s="21" t="n">
        <x:v>2</x:v>
      </x:c>
      <x:c r="Q102" s="21" t="str">
        <x:v>https://doxa.billmounce.com/Flashcards%20%28BBG%29.pdf</x:v>
      </x:c>
      <x:c r="R102" s="16" t="str"/>
    </x:row>
    <x:row r="103" ht="28" customHeight="1">
      <x:c r="A103" s="21" t="n">
        <x:v>99</x:v>
      </x:c>
      <x:c r="B103" s="21" t="n">
        <x:f>ROUNDUP(A103/50,0)</x:f>
        <x:v>2</x:v>
      </x:c>
      <x:c r="C103" s="21" t="n">
        <x:f>MOD(A103-1,50)+1</x:f>
        <x:v>49</x:v>
      </x:c>
      <x:c r="D103" s="29" t="str">
        <x:v>πᾶς, πᾶσα, πᾶν</x:v>
      </x:c>
      <x:c r="E103" s="29" t="str">
        <x:v>πᾶς</x:v>
      </x:c>
      <x:c r="F103" s="27" t="str">
        <x:v>pas</x:v>
      </x:c>
      <x:c r="G103" s="20" t="str">
        <x:v>all, any, every, the whole</x:v>
      </x:c>
      <x:c r="H103" s="20" t="str"/>
      <x:c r="I103" s="21" t="n">
        <x:v>10</x:v>
      </x:c>
      <x:c r="J103" s="21" t="str">
        <x:v>BBG 課序</x:v>
      </x:c>
      <x:c r="K103" s="21" t="str">
        <x:v>G3956</x:v>
      </x:c>
      <x:c r="L103" s="21" t="str">
        <x:v>否</x:v>
      </x:c>
      <x:c r="M103" s="21" t="str"/>
      <x:c r="N103" s="21" t="str">
        <x:v>source_and_lexicon_matched</x:v>
      </x:c>
      <x:c r="O103" s="21" t="str">
        <x:v>rule_generated_from_official_table</x:v>
      </x:c>
      <x:c r="P103" s="21" t="n">
        <x:v>2</x:v>
      </x:c>
      <x:c r="Q103" s="21" t="str">
        <x:v>https://doxa.billmounce.com/Flashcards%20%28BBG%29.pdf</x:v>
      </x:c>
      <x:c r="R103" s="16" t="str"/>
    </x:row>
    <x:row r="104" ht="28" customHeight="1">
      <x:c r="A104" s="21" t="n">
        <x:v>100</x:v>
      </x:c>
      <x:c r="B104" s="21" t="n">
        <x:f>ROUNDUP(A104/50,0)</x:f>
        <x:v>2</x:v>
      </x:c>
      <x:c r="C104" s="21" t="n">
        <x:f>MOD(A104-1,50)+1</x:f>
        <x:v>50</x:v>
      </x:c>
      <x:c r="D104" s="29" t="str">
        <x:v>περί</x:v>
      </x:c>
      <x:c r="E104" s="29" t="str">
        <x:v>περί</x:v>
      </x:c>
      <x:c r="F104" s="27" t="str">
        <x:v>peri</x:v>
      </x:c>
      <x:c r="G104" s="20" t="str">
        <x:v>properly, through (all over), i.e. around; figuratively with respect to; used in various applications, of place, cause or time (with the genitive case denoting the subject or occasion or superlative point; with the accusative case the locality, circuit, matter, circumstance or general period)</x:v>
      </x:c>
      <x:c r="H104" s="20" t="str"/>
      <x:c r="I104" s="21" t="n">
        <x:v>10</x:v>
      </x:c>
      <x:c r="J104" s="21" t="str">
        <x:v>BBG 課序</x:v>
      </x:c>
      <x:c r="K104" s="21" t="str">
        <x:v>G4012</x:v>
      </x:c>
      <x:c r="L104" s="21" t="str">
        <x:v>否</x:v>
      </x:c>
      <x:c r="M104" s="21" t="str"/>
      <x:c r="N104" s="21" t="str">
        <x:v>source_and_lexicon_matched</x:v>
      </x:c>
      <x:c r="O104" s="21" t="str">
        <x:v>rule_generated_from_official_table</x:v>
      </x:c>
      <x:c r="P104" s="21" t="n">
        <x:v>2</x:v>
      </x:c>
      <x:c r="Q104" s="21" t="str">
        <x:v>https://doxa.billmounce.com/Flashcards%20%28BBG%29.pdf</x:v>
      </x:c>
      <x:c r="R104" s="16" t="str"/>
    </x:row>
    <x:row r="105" ht="28" customHeight="1">
      <x:c r="A105" s="21" t="n">
        <x:v>101</x:v>
      </x:c>
      <x:c r="B105" s="21" t="n">
        <x:f>ROUNDUP(A105/50,0)</x:f>
        <x:v>3</x:v>
      </x:c>
      <x:c r="C105" s="21" t="n">
        <x:f>MOD(A105-1,50)+1</x:f>
        <x:v>1</x:v>
      </x:c>
      <x:c r="D105" s="29" t="str">
        <x:v>σάρξ, σαρκός, ἡ</x:v>
      </x:c>
      <x:c r="E105" s="29" t="str">
        <x:v>σάρξ</x:v>
      </x:c>
      <x:c r="F105" s="27" t="str">
        <x:v>sarx</x:v>
      </x:c>
      <x:c r="G105" s="20" t="str">
        <x:v>flesh (as stripped of the skin), i.e. (strictly) the meat of an animal (as food), or (by extension) the body (as opposed to the soul (or spirit), or as the symbol of what is external, or as the means of kindred), or (by implication) human nature (with its frailties (physically or morally) and passions), or (specially), a human being (as such)</x:v>
      </x:c>
      <x:c r="H105" s="20" t="str"/>
      <x:c r="I105" s="21" t="n">
        <x:v>10</x:v>
      </x:c>
      <x:c r="J105" s="21" t="str">
        <x:v>BBG 課序</x:v>
      </x:c>
      <x:c r="K105" s="21" t="str">
        <x:v>G4561</x:v>
      </x:c>
      <x:c r="L105" s="21" t="str">
        <x:v>否</x:v>
      </x:c>
      <x:c r="M105" s="21" t="str"/>
      <x:c r="N105" s="21" t="str">
        <x:v>source_and_lexicon_matched</x:v>
      </x:c>
      <x:c r="O105" s="21" t="str">
        <x:v>rule_generated_from_official_table</x:v>
      </x:c>
      <x:c r="P105" s="21" t="n">
        <x:v>2</x:v>
      </x:c>
      <x:c r="Q105" s="21" t="str">
        <x:v>https://doxa.billmounce.com/Flashcards%20%28BBG%29.pdf</x:v>
      </x:c>
      <x:c r="R105" s="16" t="str"/>
    </x:row>
    <x:row r="106" ht="28" customHeight="1">
      <x:c r="A106" s="21" t="n">
        <x:v>102</x:v>
      </x:c>
      <x:c r="B106" s="21" t="n">
        <x:f>ROUNDUP(A106/50,0)</x:f>
        <x:v>3</x:v>
      </x:c>
      <x:c r="C106" s="21" t="n">
        <x:f>MOD(A106-1,50)+1</x:f>
        <x:v>2</x:v>
      </x:c>
      <x:c r="D106" s="29" t="str">
        <x:v>σύν</x:v>
      </x:c>
      <x:c r="E106" s="29" t="str">
        <x:v>σύν</x:v>
      </x:c>
      <x:c r="F106" s="27" t="str">
        <x:v>sun</x:v>
      </x:c>
      <x:c r="G106" s="20" t="str">
        <x:v>with or together (but much closer than G3326 (μετά) or G3844 (παρά)), i.e. by association, companionship, process, resemblance, possession, instrumentality, addition, etc.</x:v>
      </x:c>
      <x:c r="H106" s="20" t="str"/>
      <x:c r="I106" s="21" t="n">
        <x:v>10</x:v>
      </x:c>
      <x:c r="J106" s="21" t="str">
        <x:v>BBG 課序</x:v>
      </x:c>
      <x:c r="K106" s="21" t="str">
        <x:v>G4862</x:v>
      </x:c>
      <x:c r="L106" s="21" t="str">
        <x:v>否</x:v>
      </x:c>
      <x:c r="M106" s="21" t="str"/>
      <x:c r="N106" s="21" t="str">
        <x:v>source_and_lexicon_matched</x:v>
      </x:c>
      <x:c r="O106" s="21" t="str">
        <x:v>rule_generated_from_official_table</x:v>
      </x:c>
      <x:c r="P106" s="21" t="n">
        <x:v>2</x:v>
      </x:c>
      <x:c r="Q106" s="21" t="str">
        <x:v>https://doxa.billmounce.com/Flashcards%20%28BBG%29.pdf</x:v>
      </x:c>
      <x:c r="R106" s="16" t="str"/>
    </x:row>
    <x:row r="107" ht="28" customHeight="1">
      <x:c r="A107" s="21" t="n">
        <x:v>103</x:v>
      </x:c>
      <x:c r="B107" s="21" t="n">
        <x:f>ROUNDUP(A107/50,0)</x:f>
        <x:v>3</x:v>
      </x:c>
      <x:c r="C107" s="21" t="n">
        <x:f>MOD(A107-1,50)+1</x:f>
        <x:v>3</x:v>
      </x:c>
      <x:c r="D107" s="29" t="str">
        <x:v>σῶμα, -ατος, τό</x:v>
      </x:c>
      <x:c r="E107" s="29" t="str">
        <x:v>σῶμα</x:v>
      </x:c>
      <x:c r="F107" s="27" t="str">
        <x:v>sōma</x:v>
      </x:c>
      <x:c r="G107" s="20" t="str">
        <x:v>the body (as a sound whole), used in a very wide application, literally or figuratively</x:v>
      </x:c>
      <x:c r="H107" s="20" t="str"/>
      <x:c r="I107" s="21" t="n">
        <x:v>10</x:v>
      </x:c>
      <x:c r="J107" s="21" t="str">
        <x:v>BBG 課序</x:v>
      </x:c>
      <x:c r="K107" s="21" t="str">
        <x:v>G4983</x:v>
      </x:c>
      <x:c r="L107" s="21" t="str">
        <x:v>否</x:v>
      </x:c>
      <x:c r="M107" s="21" t="str"/>
      <x:c r="N107" s="21" t="str">
        <x:v>source_and_lexicon_matched</x:v>
      </x:c>
      <x:c r="O107" s="21" t="str">
        <x:v>rule_generated_from_official_table</x:v>
      </x:c>
      <x:c r="P107" s="21" t="n">
        <x:v>2</x:v>
      </x:c>
      <x:c r="Q107" s="21" t="str">
        <x:v>https://doxa.billmounce.com/Flashcards%20%28BBG%29.pdf</x:v>
      </x:c>
      <x:c r="R107" s="16" t="str"/>
    </x:row>
    <x:row r="108" ht="28" customHeight="1">
      <x:c r="A108" s="21" t="n">
        <x:v>104</x:v>
      </x:c>
      <x:c r="B108" s="21" t="n">
        <x:f>ROUNDUP(A108/50,0)</x:f>
        <x:v>3</x:v>
      </x:c>
      <x:c r="C108" s="21" t="n">
        <x:f>MOD(A108-1,50)+1</x:f>
        <x:v>4</x:v>
      </x:c>
      <x:c r="D108" s="29" t="str">
        <x:v>τέκνον, -ου, τό</x:v>
      </x:c>
      <x:c r="E108" s="29" t="str">
        <x:v>τέκνον</x:v>
      </x:c>
      <x:c r="F108" s="27" t="str">
        <x:v>teknon</x:v>
      </x:c>
      <x:c r="G108" s="20" t="str">
        <x:v>a child (as produced)</x:v>
      </x:c>
      <x:c r="H108" s="20" t="str"/>
      <x:c r="I108" s="21" t="n">
        <x:v>10</x:v>
      </x:c>
      <x:c r="J108" s="21" t="str">
        <x:v>BBG 課序</x:v>
      </x:c>
      <x:c r="K108" s="21" t="str">
        <x:v>G5043</x:v>
      </x:c>
      <x:c r="L108" s="21" t="str">
        <x:v>否</x:v>
      </x:c>
      <x:c r="M108" s="21" t="str"/>
      <x:c r="N108" s="21" t="str">
        <x:v>source_and_lexicon_matched</x:v>
      </x:c>
      <x:c r="O108" s="21" t="str">
        <x:v>rule_generated_from_official_table</x:v>
      </x:c>
      <x:c r="P108" s="21" t="n">
        <x:v>2</x:v>
      </x:c>
      <x:c r="Q108" s="21" t="str">
        <x:v>https://doxa.billmounce.com/Flashcards%20%28BBG%29.pdf</x:v>
      </x:c>
      <x:c r="R108" s="16" t="str"/>
    </x:row>
    <x:row r="109" ht="28" customHeight="1">
      <x:c r="A109" s="21" t="n">
        <x:v>105</x:v>
      </x:c>
      <x:c r="B109" s="21" t="n">
        <x:f>ROUNDUP(A109/50,0)</x:f>
        <x:v>3</x:v>
      </x:c>
      <x:c r="C109" s="21" t="n">
        <x:f>MOD(A109-1,50)+1</x:f>
        <x:v>5</x:v>
      </x:c>
      <x:c r="D109" s="29" t="str">
        <x:v>τίς, τί</x:v>
      </x:c>
      <x:c r="E109" s="29" t="str">
        <x:v>τίς</x:v>
      </x:c>
      <x:c r="F109" s="27" t="str">
        <x:v>tis</x:v>
      </x:c>
      <x:c r="G109" s="20" t="str">
        <x:v>an interrogative pronoun, who, which or what (in direct or indirect questions)</x:v>
      </x:c>
      <x:c r="H109" s="20" t="str"/>
      <x:c r="I109" s="21" t="n">
        <x:v>10</x:v>
      </x:c>
      <x:c r="J109" s="21" t="str">
        <x:v>BBG 課序</x:v>
      </x:c>
      <x:c r="K109" s="21" t="str">
        <x:v>G5101</x:v>
      </x:c>
      <x:c r="L109" s="21" t="str">
        <x:v>否</x:v>
      </x:c>
      <x:c r="M109" s="21" t="str"/>
      <x:c r="N109" s="21" t="str">
        <x:v>source_and_lexicon_matched</x:v>
      </x:c>
      <x:c r="O109" s="21" t="str">
        <x:v>rule_generated_from_official_table</x:v>
      </x:c>
      <x:c r="P109" s="21" t="n">
        <x:v>2</x:v>
      </x:c>
      <x:c r="Q109" s="21" t="str">
        <x:v>https://doxa.billmounce.com/Flashcards%20%28BBG%29.pdf</x:v>
      </x:c>
      <x:c r="R109" s="16" t="str"/>
    </x:row>
    <x:row r="110" ht="28" customHeight="1">
      <x:c r="A110" s="21" t="n">
        <x:v>106</x:v>
      </x:c>
      <x:c r="B110" s="21" t="n">
        <x:f>ROUNDUP(A110/50,0)</x:f>
        <x:v>3</x:v>
      </x:c>
      <x:c r="C110" s="21" t="n">
        <x:f>MOD(A110-1,50)+1</x:f>
        <x:v>6</x:v>
      </x:c>
      <x:c r="D110" s="29" t="str">
        <x:v>τις, τι</x:v>
      </x:c>
      <x:c r="E110" s="29" t="str">
        <x:v>τις</x:v>
      </x:c>
      <x:c r="F110" s="27" t="str">
        <x:v>tis</x:v>
      </x:c>
      <x:c r="G110" s="20" t="str">
        <x:v>some or any person or object</x:v>
      </x:c>
      <x:c r="H110" s="20" t="str"/>
      <x:c r="I110" s="21" t="n">
        <x:v>10</x:v>
      </x:c>
      <x:c r="J110" s="21" t="str">
        <x:v>BBG 課序</x:v>
      </x:c>
      <x:c r="K110" s="21" t="str">
        <x:v>G5100</x:v>
      </x:c>
      <x:c r="L110" s="21" t="str">
        <x:v>否</x:v>
      </x:c>
      <x:c r="M110" s="21" t="str"/>
      <x:c r="N110" s="21" t="str">
        <x:v>source_and_lexicon_matched</x:v>
      </x:c>
      <x:c r="O110" s="21" t="str">
        <x:v>rule_generated_from_official_table</x:v>
      </x:c>
      <x:c r="P110" s="21" t="n">
        <x:v>2</x:v>
      </x:c>
      <x:c r="Q110" s="21" t="str">
        <x:v>https://doxa.billmounce.com/Flashcards%20%28BBG%29.pdf</x:v>
      </x:c>
      <x:c r="R110" s="16" t="str"/>
    </x:row>
    <x:row r="111" ht="28" customHeight="1">
      <x:c r="A111" s="21" t="n">
        <x:v>107</x:v>
      </x:c>
      <x:c r="B111" s="21" t="n">
        <x:f>ROUNDUP(A111/50,0)</x:f>
        <x:v>3</x:v>
      </x:c>
      <x:c r="C111" s="21" t="n">
        <x:f>MOD(A111-1,50)+1</x:f>
        <x:v>7</x:v>
      </x:c>
      <x:c r="D111" s="29" t="str">
        <x:v>ἀδελφός, -οῦ, ὁ</x:v>
      </x:c>
      <x:c r="E111" s="29" t="str">
        <x:v>ἀδελφός</x:v>
      </x:c>
      <x:c r="F111" s="27" t="str">
        <x:v>adelphos</x:v>
      </x:c>
      <x:c r="G111" s="20" t="str">
        <x:v>a brother (literally or figuratively) near or remote (much like G1 (Α))</x:v>
      </x:c>
      <x:c r="H111" s="20" t="str"/>
      <x:c r="I111" s="21" t="n">
        <x:v>11</x:v>
      </x:c>
      <x:c r="J111" s="21" t="str">
        <x:v>BBG 課序</x:v>
      </x:c>
      <x:c r="K111" s="21" t="str">
        <x:v>G80</x:v>
      </x:c>
      <x:c r="L111" s="21" t="str">
        <x:v>否</x:v>
      </x:c>
      <x:c r="M111" s="21" t="str"/>
      <x:c r="N111" s="21" t="str">
        <x:v>source_and_lexicon_matched</x:v>
      </x:c>
      <x:c r="O111" s="21" t="str">
        <x:v>rule_generated_from_official_table</x:v>
      </x:c>
      <x:c r="P111" s="21" t="n">
        <x:v>2</x:v>
      </x:c>
      <x:c r="Q111" s="21" t="str">
        <x:v>https://doxa.billmounce.com/Flashcards%20%28BBG%29.pdf</x:v>
      </x:c>
      <x:c r="R111" s="16" t="str"/>
    </x:row>
    <x:row r="112" ht="28" customHeight="1">
      <x:c r="A112" s="21" t="n">
        <x:v>108</x:v>
      </x:c>
      <x:c r="B112" s="21" t="n">
        <x:f>ROUNDUP(A112/50,0)</x:f>
        <x:v>3</x:v>
      </x:c>
      <x:c r="C112" s="21" t="n">
        <x:f>MOD(A112-1,50)+1</x:f>
        <x:v>8</x:v>
      </x:c>
      <x:c r="D112" s="29" t="str">
        <x:v>ἄν</x:v>
      </x:c>
      <x:c r="E112" s="29" t="str">
        <x:v>ἄν</x:v>
      </x:c>
      <x:c r="F112" s="27" t="str">
        <x:v>an</x:v>
      </x:c>
      <x:c r="G112" s="20" t="str"/>
      <x:c r="H112" s="20" t="str"/>
      <x:c r="I112" s="21" t="n">
        <x:v>11</x:v>
      </x:c>
      <x:c r="J112" s="21" t="str">
        <x:v>BBG 課序</x:v>
      </x:c>
      <x:c r="K112" s="21" t="str">
        <x:v>G302</x:v>
      </x:c>
      <x:c r="L112" s="21" t="str">
        <x:v>否</x:v>
      </x:c>
      <x:c r="M112" s="21" t="str"/>
      <x:c r="N112" s="21" t="str">
        <x:v>source_and_lexicon_matched</x:v>
      </x:c>
      <x:c r="O112" s="21" t="str">
        <x:v>rule_generated_from_official_table</x:v>
      </x:c>
      <x:c r="P112" s="21" t="n">
        <x:v>2</x:v>
      </x:c>
      <x:c r="Q112" s="21" t="str">
        <x:v>https://doxa.billmounce.com/Flashcards%20%28BBG%29.pdf</x:v>
      </x:c>
      <x:c r="R112" s="16" t="str"/>
    </x:row>
    <x:row r="113" ht="28" customHeight="1">
      <x:c r="A113" s="21" t="n">
        <x:v>109</x:v>
      </x:c>
      <x:c r="B113" s="21" t="n">
        <x:f>ROUNDUP(A113/50,0)</x:f>
        <x:v>3</x:v>
      </x:c>
      <x:c r="C113" s="21" t="n">
        <x:f>MOD(A113-1,50)+1</x:f>
        <x:v>9</x:v>
      </x:c>
      <x:c r="D113" s="29" t="str">
        <x:v>ἀνήρ, ἀνδρός, ὁ</x:v>
      </x:c>
      <x:c r="E113" s="29" t="str">
        <x:v>ἀνήρ</x:v>
      </x:c>
      <x:c r="F113" s="27" t="str">
        <x:v>anēr</x:v>
      </x:c>
      <x:c r="G113" s="20" t="str">
        <x:v>a man (properly as an individual male)</x:v>
      </x:c>
      <x:c r="H113" s="20" t="str"/>
      <x:c r="I113" s="21" t="n">
        <x:v>11</x:v>
      </x:c>
      <x:c r="J113" s="21" t="str">
        <x:v>BBG 課序</x:v>
      </x:c>
      <x:c r="K113" s="21" t="str">
        <x:v>G435</x:v>
      </x:c>
      <x:c r="L113" s="21" t="str">
        <x:v>否</x:v>
      </x:c>
      <x:c r="M113" s="21" t="str"/>
      <x:c r="N113" s="21" t="str">
        <x:v>source_and_lexicon_matched</x:v>
      </x:c>
      <x:c r="O113" s="21" t="str">
        <x:v>rule_generated_from_official_table</x:v>
      </x:c>
      <x:c r="P113" s="21" t="n">
        <x:v>2</x:v>
      </x:c>
      <x:c r="Q113" s="21" t="str">
        <x:v>https://doxa.billmounce.com/Flashcards%20%28BBG%29.pdf</x:v>
      </x:c>
      <x:c r="R113" s="16" t="str"/>
    </x:row>
    <x:row r="114" ht="28" customHeight="1">
      <x:c r="A114" s="21" t="n">
        <x:v>110</x:v>
      </x:c>
      <x:c r="B114" s="21" t="n">
        <x:f>ROUNDUP(A114/50,0)</x:f>
        <x:v>3</x:v>
      </x:c>
      <x:c r="C114" s="21" t="n">
        <x:f>MOD(A114-1,50)+1</x:f>
        <x:v>10</x:v>
      </x:c>
      <x:c r="D114" s="29" t="str">
        <x:v>ἐκκλησία, -ας, ἡ</x:v>
      </x:c>
      <x:c r="E114" s="29" t="str">
        <x:v>ἐκκλησία</x:v>
      </x:c>
      <x:c r="F114" s="27" t="str">
        <x:v>ekklēsia</x:v>
      </x:c>
      <x:c r="G114" s="20" t="str">
        <x:v>a calling out, i.e. (concretely) a popular meeting, especially a religious congregation (Jewish synagogue, or Christian community of members on earth or saints in heaven or both)</x:v>
      </x:c>
      <x:c r="H114" s="20" t="str"/>
      <x:c r="I114" s="21" t="n">
        <x:v>11</x:v>
      </x:c>
      <x:c r="J114" s="21" t="str">
        <x:v>BBG 課序</x:v>
      </x:c>
      <x:c r="K114" s="21" t="str">
        <x:v>G1577</x:v>
      </x:c>
      <x:c r="L114" s="21" t="str">
        <x:v>否</x:v>
      </x:c>
      <x:c r="M114" s="21" t="str"/>
      <x:c r="N114" s="21" t="str">
        <x:v>source_and_lexicon_matched</x:v>
      </x:c>
      <x:c r="O114" s="21" t="str">
        <x:v>rule_generated_from_official_table</x:v>
      </x:c>
      <x:c r="P114" s="21" t="n">
        <x:v>2</x:v>
      </x:c>
      <x:c r="Q114" s="21" t="str">
        <x:v>https://doxa.billmounce.com/Flashcards%20%28BBG%29.pdf</x:v>
      </x:c>
      <x:c r="R114" s="16" t="str"/>
    </x:row>
    <x:row r="115" ht="28" customHeight="1">
      <x:c r="A115" s="21" t="n">
        <x:v>111</x:v>
      </x:c>
      <x:c r="B115" s="21" t="n">
        <x:f>ROUNDUP(A115/50,0)</x:f>
        <x:v>3</x:v>
      </x:c>
      <x:c r="C115" s="21" t="n">
        <x:f>MOD(A115-1,50)+1</x:f>
        <x:v>11</x:v>
      </x:c>
      <x:c r="D115" s="29" t="str">
        <x:v>ἐλπίς, -ίδος, ἡ</x:v>
      </x:c>
      <x:c r="E115" s="29" t="str">
        <x:v>ἐλπίς</x:v>
      </x:c>
      <x:c r="F115" s="27" t="str">
        <x:v>elpis</x:v>
      </x:c>
      <x:c r="G115" s="20" t="str">
        <x:v>expectation (abstractly or concretely) or confidence</x:v>
      </x:c>
      <x:c r="H115" s="20" t="str"/>
      <x:c r="I115" s="21" t="n">
        <x:v>11</x:v>
      </x:c>
      <x:c r="J115" s="21" t="str">
        <x:v>BBG 課序</x:v>
      </x:c>
      <x:c r="K115" s="21" t="str">
        <x:v>G1680</x:v>
      </x:c>
      <x:c r="L115" s="21" t="str">
        <x:v>否</x:v>
      </x:c>
      <x:c r="M115" s="21" t="str"/>
      <x:c r="N115" s="21" t="str">
        <x:v>source_and_lexicon_matched</x:v>
      </x:c>
      <x:c r="O115" s="21" t="str">
        <x:v>rule_generated_from_official_table</x:v>
      </x:c>
      <x:c r="P115" s="21" t="n">
        <x:v>2</x:v>
      </x:c>
      <x:c r="Q115" s="21" t="str">
        <x:v>https://doxa.billmounce.com/Flashcards%20%28BBG%29.pdf</x:v>
      </x:c>
      <x:c r="R115" s="16" t="str"/>
    </x:row>
    <x:row r="116" ht="28" customHeight="1">
      <x:c r="A116" s="21" t="n">
        <x:v>112</x:v>
      </x:c>
      <x:c r="B116" s="21" t="n">
        <x:f>ROUNDUP(A116/50,0)</x:f>
        <x:v>3</x:v>
      </x:c>
      <x:c r="C116" s="21" t="n">
        <x:f>MOD(A116-1,50)+1</x:f>
        <x:v>12</x:v>
      </x:c>
      <x:c r="D116" s="29" t="str">
        <x:v>ἔξω</x:v>
      </x:c>
      <x:c r="E116" s="29" t="str">
        <x:v>ἔξω</x:v>
      </x:c>
      <x:c r="F116" s="27" t="str">
        <x:v>exō</x:v>
      </x:c>
      <x:c r="G116" s="20" t="str">
        <x:v>out(-side, of doors), literally or figuratively</x:v>
      </x:c>
      <x:c r="H116" s="20" t="str"/>
      <x:c r="I116" s="21" t="n">
        <x:v>11</x:v>
      </x:c>
      <x:c r="J116" s="21" t="str">
        <x:v>BBG 課序</x:v>
      </x:c>
      <x:c r="K116" s="21" t="str">
        <x:v>G1854</x:v>
      </x:c>
      <x:c r="L116" s="21" t="str">
        <x:v>否</x:v>
      </x:c>
      <x:c r="M116" s="21" t="str"/>
      <x:c r="N116" s="21" t="str">
        <x:v>source_and_lexicon_matched</x:v>
      </x:c>
      <x:c r="O116" s="21" t="str">
        <x:v>rule_generated_from_official_table</x:v>
      </x:c>
      <x:c r="P116" s="21" t="n">
        <x:v>2</x:v>
      </x:c>
      <x:c r="Q116" s="21" t="str">
        <x:v>https://doxa.billmounce.com/Flashcards%20%28BBG%29.pdf</x:v>
      </x:c>
      <x:c r="R116" s="16" t="str"/>
    </x:row>
    <x:row r="117" ht="28" customHeight="1">
      <x:c r="A117" s="21" t="n">
        <x:v>113</x:v>
      </x:c>
      <x:c r="B117" s="21" t="n">
        <x:f>ROUNDUP(A117/50,0)</x:f>
        <x:v>3</x:v>
      </x:c>
      <x:c r="C117" s="21" t="n">
        <x:f>MOD(A117-1,50)+1</x:f>
        <x:v>13</x:v>
      </x:c>
      <x:c r="D117" s="29" t="str">
        <x:v>ἐπί</x:v>
      </x:c>
      <x:c r="E117" s="29" t="str">
        <x:v>ἐπί</x:v>
      </x:c>
      <x:c r="F117" s="27" t="str">
        <x:v>epi</x:v>
      </x:c>
      <x:c r="G117" s="20" t="str">
        <x:v>properly, meaning superimposition (of time, place, order, etc.), as a relation of distribution (with the genitive case), i.e. over, upon, etc.; of rest (with the dative case) at, on, etc.; of direction (with the accusative case) towards, upon, etc.</x:v>
      </x:c>
      <x:c r="H117" s="20" t="str"/>
      <x:c r="I117" s="21" t="n">
        <x:v>11</x:v>
      </x:c>
      <x:c r="J117" s="21" t="str">
        <x:v>BBG 課序</x:v>
      </x:c>
      <x:c r="K117" s="21" t="str">
        <x:v>G1909</x:v>
      </x:c>
      <x:c r="L117" s="21" t="str">
        <x:v>否</x:v>
      </x:c>
      <x:c r="M117" s="21" t="str"/>
      <x:c r="N117" s="21" t="str">
        <x:v>source_and_lexicon_matched</x:v>
      </x:c>
      <x:c r="O117" s="21" t="str">
        <x:v>rule_generated_from_official_table</x:v>
      </x:c>
      <x:c r="P117" s="21" t="n">
        <x:v>2</x:v>
      </x:c>
      <x:c r="Q117" s="21" t="str">
        <x:v>https://doxa.billmounce.com/Flashcards%20%28BBG%29.pdf</x:v>
      </x:c>
      <x:c r="R117" s="16" t="str"/>
    </x:row>
    <x:row r="118" ht="28" customHeight="1">
      <x:c r="A118" s="21" t="n">
        <x:v>114</x:v>
      </x:c>
      <x:c r="B118" s="21" t="n">
        <x:f>ROUNDUP(A118/50,0)</x:f>
        <x:v>3</x:v>
      </x:c>
      <x:c r="C118" s="21" t="n">
        <x:f>MOD(A118-1,50)+1</x:f>
        <x:v>14</x:v>
      </x:c>
      <x:c r="D118" s="29" t="str">
        <x:v>ἡμεῖς</x:v>
      </x:c>
      <x:c r="E118" s="29" t="str">
        <x:v>ἡμεῖς</x:v>
      </x:c>
      <x:c r="F118" s="27" t="str">
        <x:v>hēmeis</x:v>
      </x:c>
      <x:c r="G118" s="20" t="str">
        <x:v>we (only used when emphatic)</x:v>
      </x:c>
      <x:c r="H118" s="20" t="str"/>
      <x:c r="I118" s="21" t="n">
        <x:v>11</x:v>
      </x:c>
      <x:c r="J118" s="21" t="str">
        <x:v>BBG 課序</x:v>
      </x:c>
      <x:c r="K118" s="21" t="str">
        <x:v>G2249</x:v>
      </x:c>
      <x:c r="L118" s="21" t="str">
        <x:v>否</x:v>
      </x:c>
      <x:c r="M118" s="21" t="str"/>
      <x:c r="N118" s="21" t="str">
        <x:v>source_and_lexicon_matched</x:v>
      </x:c>
      <x:c r="O118" s="21" t="str">
        <x:v>rule_generated_from_official_table</x:v>
      </x:c>
      <x:c r="P118" s="21" t="n">
        <x:v>2</x:v>
      </x:c>
      <x:c r="Q118" s="21" t="str">
        <x:v>https://doxa.billmounce.com/Flashcards%20%28BBG%29.pdf</x:v>
      </x:c>
      <x:c r="R118" s="16" t="str"/>
    </x:row>
    <x:row r="119" ht="28" customHeight="1">
      <x:c r="A119" s="21" t="n">
        <x:v>115</x:v>
      </x:c>
      <x:c r="B119" s="21" t="n">
        <x:f>ROUNDUP(A119/50,0)</x:f>
        <x:v>3</x:v>
      </x:c>
      <x:c r="C119" s="21" t="n">
        <x:f>MOD(A119-1,50)+1</x:f>
        <x:v>15</x:v>
      </x:c>
      <x:c r="D119" s="29" t="str">
        <x:v>θέλημα, -ατος, τό</x:v>
      </x:c>
      <x:c r="E119" s="29" t="str">
        <x:v>θέλημα</x:v>
      </x:c>
      <x:c r="F119" s="27" t="str">
        <x:v>thelēma</x:v>
      </x:c>
      <x:c r="G119" s="20" t="str">
        <x:v>a determination (properly, the thing), i.e. (actively) choice (specially, purpose, decree; abstractly, volition) or (passively) inclination</x:v>
      </x:c>
      <x:c r="H119" s="20" t="str"/>
      <x:c r="I119" s="21" t="n">
        <x:v>11</x:v>
      </x:c>
      <x:c r="J119" s="21" t="str">
        <x:v>BBG 課序</x:v>
      </x:c>
      <x:c r="K119" s="21" t="str">
        <x:v>G2307</x:v>
      </x:c>
      <x:c r="L119" s="21" t="str">
        <x:v>否</x:v>
      </x:c>
      <x:c r="M119" s="21" t="str"/>
      <x:c r="N119" s="21" t="str">
        <x:v>source_and_lexicon_matched</x:v>
      </x:c>
      <x:c r="O119" s="21" t="str">
        <x:v>rule_generated_from_official_table</x:v>
      </x:c>
      <x:c r="P119" s="21" t="n">
        <x:v>2</x:v>
      </x:c>
      <x:c r="Q119" s="21" t="str">
        <x:v>https://doxa.billmounce.com/Flashcards%20%28BBG%29.pdf</x:v>
      </x:c>
      <x:c r="R119" s="16" t="str"/>
    </x:row>
    <x:row r="120" ht="28" customHeight="1">
      <x:c r="A120" s="21" t="n">
        <x:v>116</x:v>
      </x:c>
      <x:c r="B120" s="21" t="n">
        <x:f>ROUNDUP(A120/50,0)</x:f>
        <x:v>3</x:v>
      </x:c>
      <x:c r="C120" s="21" t="n">
        <x:f>MOD(A120-1,50)+1</x:f>
        <x:v>16</x:v>
      </x:c>
      <x:c r="D120" s="29" t="str">
        <x:v>ἴδε</x:v>
      </x:c>
      <x:c r="E120" s="29" t="str">
        <x:v>ἴδε</x:v>
      </x:c>
      <x:c r="F120" s="27" t="str">
        <x:v>ide</x:v>
      </x:c>
      <x:c r="G120" s="20" t="str">
        <x:v>used as an interjection to denote surprise; lo!</x:v>
      </x:c>
      <x:c r="H120" s="20" t="str"/>
      <x:c r="I120" s="21" t="n">
        <x:v>11</x:v>
      </x:c>
      <x:c r="J120" s="21" t="str">
        <x:v>BBG 課序</x:v>
      </x:c>
      <x:c r="K120" s="21" t="str">
        <x:v>G2396</x:v>
      </x:c>
      <x:c r="L120" s="21" t="str">
        <x:v>否</x:v>
      </x:c>
      <x:c r="M120" s="21" t="str"/>
      <x:c r="N120" s="21" t="str">
        <x:v>source_and_lexicon_matched</x:v>
      </x:c>
      <x:c r="O120" s="21" t="str">
        <x:v>rule_generated_from_official_table</x:v>
      </x:c>
      <x:c r="P120" s="21" t="n">
        <x:v>2</x:v>
      </x:c>
      <x:c r="Q120" s="21" t="str">
        <x:v>https://doxa.billmounce.com/Flashcards%20%28BBG%29.pdf</x:v>
      </x:c>
      <x:c r="R120" s="16" t="str"/>
    </x:row>
    <x:row r="121" ht="28" customHeight="1">
      <x:c r="A121" s="21" t="n">
        <x:v>117</x:v>
      </x:c>
      <x:c r="B121" s="21" t="n">
        <x:f>ROUNDUP(A121/50,0)</x:f>
        <x:v>3</x:v>
      </x:c>
      <x:c r="C121" s="21" t="n">
        <x:f>MOD(A121-1,50)+1</x:f>
        <x:v>17</x:v>
      </x:c>
      <x:c r="D121" s="29" t="str">
        <x:v>ἰδού</x:v>
      </x:c>
      <x:c r="E121" s="29" t="str">
        <x:v>ἰδού</x:v>
      </x:c>
      <x:c r="F121" s="27" t="str">
        <x:v>idou</x:v>
      </x:c>
      <x:c r="G121" s="20" t="str">
        <x:v>used as imperative lo!;</x:v>
      </x:c>
      <x:c r="H121" s="20" t="str"/>
      <x:c r="I121" s="21" t="n">
        <x:v>11</x:v>
      </x:c>
      <x:c r="J121" s="21" t="str">
        <x:v>BBG 課序</x:v>
      </x:c>
      <x:c r="K121" s="21" t="str">
        <x:v>G2400</x:v>
      </x:c>
      <x:c r="L121" s="21" t="str">
        <x:v>否</x:v>
      </x:c>
      <x:c r="M121" s="21" t="str"/>
      <x:c r="N121" s="21" t="str">
        <x:v>source_and_lexicon_matched</x:v>
      </x:c>
      <x:c r="O121" s="21" t="str">
        <x:v>rule_generated_from_official_table</x:v>
      </x:c>
      <x:c r="P121" s="21" t="n">
        <x:v>2</x:v>
      </x:c>
      <x:c r="Q121" s="21" t="str">
        <x:v>https://doxa.billmounce.com/Flashcards%20%28BBG%29.pdf</x:v>
      </x:c>
      <x:c r="R121" s="16" t="str"/>
    </x:row>
    <x:row r="122" ht="28" customHeight="1">
      <x:c r="A122" s="21" t="n">
        <x:v>118</x:v>
      </x:c>
      <x:c r="B122" s="21" t="n">
        <x:f>ROUNDUP(A122/50,0)</x:f>
        <x:v>3</x:v>
      </x:c>
      <x:c r="C122" s="21" t="n">
        <x:f>MOD(A122-1,50)+1</x:f>
        <x:v>18</x:v>
      </x:c>
      <x:c r="D122" s="29" t="str">
        <x:v>καλός, -ή, -όν</x:v>
      </x:c>
      <x:c r="E122" s="29" t="str">
        <x:v>καλός</x:v>
      </x:c>
      <x:c r="F122" s="27" t="str">
        <x:v>kalos</x:v>
      </x:c>
      <x:c r="G122" s="20" t="str"/>
      <x:c r="H122" s="20" t="str"/>
      <x:c r="I122" s="21" t="n">
        <x:v>11</x:v>
      </x:c>
      <x:c r="J122" s="21" t="str">
        <x:v>BBG 課序</x:v>
      </x:c>
      <x:c r="K122" s="21" t="str">
        <x:v>G2570</x:v>
      </x:c>
      <x:c r="L122" s="21" t="str">
        <x:v>否</x:v>
      </x:c>
      <x:c r="M122" s="21" t="str"/>
      <x:c r="N122" s="21" t="str">
        <x:v>source_and_lexicon_matched</x:v>
      </x:c>
      <x:c r="O122" s="21" t="str">
        <x:v>rule_generated_from_official_table</x:v>
      </x:c>
      <x:c r="P122" s="21" t="n">
        <x:v>2</x:v>
      </x:c>
      <x:c r="Q122" s="21" t="str">
        <x:v>https://doxa.billmounce.com/Flashcards%20%28BBG%29.pdf</x:v>
      </x:c>
      <x:c r="R122" s="16" t="str"/>
    </x:row>
    <x:row r="123" ht="28" customHeight="1">
      <x:c r="A123" s="21" t="n">
        <x:v>119</x:v>
      </x:c>
      <x:c r="B123" s="21" t="n">
        <x:f>ROUNDUP(A123/50,0)</x:f>
        <x:v>3</x:v>
      </x:c>
      <x:c r="C123" s="21" t="n">
        <x:f>MOD(A123-1,50)+1</x:f>
        <x:v>19</x:v>
      </x:c>
      <x:c r="D123" s="29" t="str">
        <x:v>μήτηρ, μητρός, ἡ</x:v>
      </x:c>
      <x:c r="E123" s="29" t="str">
        <x:v>μήτηρ</x:v>
      </x:c>
      <x:c r="F123" s="27" t="str">
        <x:v>mētēr</x:v>
      </x:c>
      <x:c r="G123" s="20" t="str">
        <x:v>a "mother" (literally or figuratively, immediate or remote)</x:v>
      </x:c>
      <x:c r="H123" s="20" t="str"/>
      <x:c r="I123" s="21" t="n">
        <x:v>11</x:v>
      </x:c>
      <x:c r="J123" s="21" t="str">
        <x:v>BBG 課序</x:v>
      </x:c>
      <x:c r="K123" s="21" t="str">
        <x:v>G3384</x:v>
      </x:c>
      <x:c r="L123" s="21" t="str">
        <x:v>否</x:v>
      </x:c>
      <x:c r="M123" s="21" t="str"/>
      <x:c r="N123" s="21" t="str">
        <x:v>source_and_lexicon_matched</x:v>
      </x:c>
      <x:c r="O123" s="21" t="str">
        <x:v>rule_generated_from_official_table</x:v>
      </x:c>
      <x:c r="P123" s="21" t="n">
        <x:v>2</x:v>
      </x:c>
      <x:c r="Q123" s="21" t="str">
        <x:v>https://doxa.billmounce.com/Flashcards%20%28BBG%29.pdf</x:v>
      </x:c>
      <x:c r="R123" s="16" t="str"/>
    </x:row>
    <x:row r="124" ht="28" customHeight="1">
      <x:c r="A124" s="21" t="n">
        <x:v>120</x:v>
      </x:c>
      <x:c r="B124" s="21" t="n">
        <x:f>ROUNDUP(A124/50,0)</x:f>
        <x:v>3</x:v>
      </x:c>
      <x:c r="C124" s="21" t="n">
        <x:f>MOD(A124-1,50)+1</x:f>
        <x:v>20</x:v>
      </x:c>
      <x:c r="D124" s="29" t="str">
        <x:v>οὐδέ</x:v>
      </x:c>
      <x:c r="E124" s="29" t="str">
        <x:v>οὐδέ</x:v>
      </x:c>
      <x:c r="F124" s="27" t="str">
        <x:v>oude</x:v>
      </x:c>
      <x:c r="G124" s="20" t="str">
        <x:v>not however, i.e. neither, nor, not even</x:v>
      </x:c>
      <x:c r="H124" s="20" t="str"/>
      <x:c r="I124" s="21" t="n">
        <x:v>11</x:v>
      </x:c>
      <x:c r="J124" s="21" t="str">
        <x:v>BBG 課序</x:v>
      </x:c>
      <x:c r="K124" s="21" t="str">
        <x:v>G3761</x:v>
      </x:c>
      <x:c r="L124" s="21" t="str">
        <x:v>否</x:v>
      </x:c>
      <x:c r="M124" s="21" t="str"/>
      <x:c r="N124" s="21" t="str">
        <x:v>source_and_lexicon_matched</x:v>
      </x:c>
      <x:c r="O124" s="21" t="str">
        <x:v>rule_generated_from_official_table</x:v>
      </x:c>
      <x:c r="P124" s="21" t="n">
        <x:v>2</x:v>
      </x:c>
      <x:c r="Q124" s="21" t="str">
        <x:v>https://doxa.billmounce.com/Flashcards%20%28BBG%29.pdf</x:v>
      </x:c>
      <x:c r="R124" s="16" t="str"/>
    </x:row>
    <x:row r="125" ht="28" customHeight="1">
      <x:c r="A125" s="21" t="n">
        <x:v>121</x:v>
      </x:c>
      <x:c r="B125" s="21" t="n">
        <x:f>ROUNDUP(A125/50,0)</x:f>
        <x:v>3</x:v>
      </x:c>
      <x:c r="C125" s="21" t="n">
        <x:f>MOD(A125-1,50)+1</x:f>
        <x:v>21</x:v>
      </x:c>
      <x:c r="D125" s="29" t="str">
        <x:v>πατήρ, πατρός, ὁ</x:v>
      </x:c>
      <x:c r="E125" s="29" t="str">
        <x:v>πατήρ</x:v>
      </x:c>
      <x:c r="F125" s="27" t="str">
        <x:v>patēr</x:v>
      </x:c>
      <x:c r="G125" s="20" t="str">
        <x:v>a "father" (literally or figuratively, near or more remote)</x:v>
      </x:c>
      <x:c r="H125" s="20" t="str"/>
      <x:c r="I125" s="21" t="n">
        <x:v>11</x:v>
      </x:c>
      <x:c r="J125" s="21" t="str">
        <x:v>BBG 課序</x:v>
      </x:c>
      <x:c r="K125" s="21" t="str">
        <x:v>G3962</x:v>
      </x:c>
      <x:c r="L125" s="21" t="str">
        <x:v>否</x:v>
      </x:c>
      <x:c r="M125" s="21" t="str"/>
      <x:c r="N125" s="21" t="str">
        <x:v>source_and_lexicon_matched</x:v>
      </x:c>
      <x:c r="O125" s="21" t="str">
        <x:v>rule_generated_from_official_table</x:v>
      </x:c>
      <x:c r="P125" s="21" t="n">
        <x:v>3</x:v>
      </x:c>
      <x:c r="Q125" s="21" t="str">
        <x:v>https://doxa.billmounce.com/Flashcards%20%28BBG%29.pdf</x:v>
      </x:c>
      <x:c r="R125" s="16" t="str"/>
    </x:row>
    <x:row r="126" ht="28" customHeight="1">
      <x:c r="A126" s="21" t="n">
        <x:v>122</x:v>
      </x:c>
      <x:c r="B126" s="21" t="n">
        <x:f>ROUNDUP(A126/50,0)</x:f>
        <x:v>3</x:v>
      </x:c>
      <x:c r="C126" s="21" t="n">
        <x:f>MOD(A126-1,50)+1</x:f>
        <x:v>22</x:v>
      </x:c>
      <x:c r="D126" s="29" t="str">
        <x:v>πίστις, πίστεως, ἡ</x:v>
      </x:c>
      <x:c r="E126" s="29" t="str">
        <x:v>πίστις</x:v>
      </x:c>
      <x:c r="F126" s="27" t="str">
        <x:v>pistis</x:v>
      </x:c>
      <x:c r="G126" s="20" t="str">
        <x:v>persuasion, i.e. credence; moral conviction (of religious truth, or the truthfulness of God or a religious teacher), especially reliance upon Christ for salvation; abstractly, constancy in such profession; by extension, the system of religious (Gospel) truth itself</x:v>
      </x:c>
      <x:c r="H126" s="20" t="str"/>
      <x:c r="I126" s="21" t="n">
        <x:v>11</x:v>
      </x:c>
      <x:c r="J126" s="21" t="str">
        <x:v>BBG 課序</x:v>
      </x:c>
      <x:c r="K126" s="21" t="str">
        <x:v>G4102</x:v>
      </x:c>
      <x:c r="L126" s="21" t="str">
        <x:v>否</x:v>
      </x:c>
      <x:c r="M126" s="21" t="str"/>
      <x:c r="N126" s="21" t="str">
        <x:v>source_and_lexicon_matched</x:v>
      </x:c>
      <x:c r="O126" s="21" t="str">
        <x:v>rule_generated_from_official_table</x:v>
      </x:c>
      <x:c r="P126" s="21" t="n">
        <x:v>3</x:v>
      </x:c>
      <x:c r="Q126" s="21" t="str">
        <x:v>https://doxa.billmounce.com/Flashcards%20%28BBG%29.pdf</x:v>
      </x:c>
      <x:c r="R126" s="16" t="str"/>
    </x:row>
    <x:row r="127" ht="28" customHeight="1">
      <x:c r="A127" s="21" t="n">
        <x:v>123</x:v>
      </x:c>
      <x:c r="B127" s="21" t="n">
        <x:f>ROUNDUP(A127/50,0)</x:f>
        <x:v>3</x:v>
      </x:c>
      <x:c r="C127" s="21" t="n">
        <x:f>MOD(A127-1,50)+1</x:f>
        <x:v>23</x:v>
      </x:c>
      <x:c r="D127" s="29" t="str">
        <x:v>ὕδωρ, ὕδατος, τό</x:v>
      </x:c>
      <x:c r="E127" s="29" t="str">
        <x:v>ὕδωρ</x:v>
      </x:c>
      <x:c r="F127" s="27" t="str">
        <x:v>hudōr</x:v>
      </x:c>
      <x:c r="G127" s="20" t="str">
        <x:v>water (as if rainy) literally or figuratively</x:v>
      </x:c>
      <x:c r="H127" s="20" t="str"/>
      <x:c r="I127" s="21" t="n">
        <x:v>11</x:v>
      </x:c>
      <x:c r="J127" s="21" t="str">
        <x:v>BBG 課序</x:v>
      </x:c>
      <x:c r="K127" s="21" t="str">
        <x:v>G5204</x:v>
      </x:c>
      <x:c r="L127" s="21" t="str">
        <x:v>否</x:v>
      </x:c>
      <x:c r="M127" s="21" t="str"/>
      <x:c r="N127" s="21" t="str">
        <x:v>source_and_lexicon_matched</x:v>
      </x:c>
      <x:c r="O127" s="21" t="str">
        <x:v>rule_generated_from_official_table</x:v>
      </x:c>
      <x:c r="P127" s="21" t="n">
        <x:v>3</x:v>
      </x:c>
      <x:c r="Q127" s="21" t="str">
        <x:v>https://doxa.billmounce.com/Flashcards%20%28BBG%29.pdf</x:v>
      </x:c>
      <x:c r="R127" s="16" t="str"/>
    </x:row>
    <x:row r="128" ht="28" customHeight="1">
      <x:c r="A128" s="21" t="n">
        <x:v>124</x:v>
      </x:c>
      <x:c r="B128" s="21" t="n">
        <x:f>ROUNDUP(A128/50,0)</x:f>
        <x:v>3</x:v>
      </x:c>
      <x:c r="C128" s="21" t="n">
        <x:f>MOD(A128-1,50)+1</x:f>
        <x:v>24</x:v>
      </x:c>
      <x:c r="D128" s="29" t="str">
        <x:v>ὑμεῖς</x:v>
      </x:c>
      <x:c r="E128" s="29" t="str">
        <x:v>ὑμεῖς</x:v>
      </x:c>
      <x:c r="F128" s="27" t="str">
        <x:v>humeis</x:v>
      </x:c>
      <x:c r="G128" s="20" t="str">
        <x:v>you (as subjective of verb)</x:v>
      </x:c>
      <x:c r="H128" s="20" t="str"/>
      <x:c r="I128" s="21" t="n">
        <x:v>11</x:v>
      </x:c>
      <x:c r="J128" s="21" t="str">
        <x:v>BBG 課序</x:v>
      </x:c>
      <x:c r="K128" s="21" t="str">
        <x:v>G5210</x:v>
      </x:c>
      <x:c r="L128" s="21" t="str">
        <x:v>否</x:v>
      </x:c>
      <x:c r="M128" s="21" t="str"/>
      <x:c r="N128" s="21" t="str">
        <x:v>source_and_lexicon_matched</x:v>
      </x:c>
      <x:c r="O128" s="21" t="str">
        <x:v>rule_generated_from_official_table</x:v>
      </x:c>
      <x:c r="P128" s="21" t="n">
        <x:v>3</x:v>
      </x:c>
      <x:c r="Q128" s="21" t="str">
        <x:v>https://doxa.billmounce.com/Flashcards%20%28BBG%29.pdf</x:v>
      </x:c>
      <x:c r="R128" s="16" t="str"/>
    </x:row>
    <x:row r="129" ht="28" customHeight="1">
      <x:c r="A129" s="21" t="n">
        <x:v>125</x:v>
      </x:c>
      <x:c r="B129" s="21" t="n">
        <x:f>ROUNDUP(A129/50,0)</x:f>
        <x:v>3</x:v>
      </x:c>
      <x:c r="C129" s="21" t="n">
        <x:f>MOD(A129-1,50)+1</x:f>
        <x:v>25</x:v>
      </x:c>
      <x:c r="D129" s="29" t="str">
        <x:v>φῶς, φωτός, τό</x:v>
      </x:c>
      <x:c r="E129" s="29" t="str">
        <x:v>φῶς</x:v>
      </x:c>
      <x:c r="F129" s="27" t="str">
        <x:v>phōs</x:v>
      </x:c>
      <x:c r="G129" s="20" t="str">
        <x:v>compare G5316 (φαίνω), G5346 (φημί)); luminousness (in the widest application, natural or artificial, abstract or concrete, literal or figurative)</x:v>
      </x:c>
      <x:c r="H129" s="20" t="str"/>
      <x:c r="I129" s="21" t="n">
        <x:v>11</x:v>
      </x:c>
      <x:c r="J129" s="21" t="str">
        <x:v>BBG 課序</x:v>
      </x:c>
      <x:c r="K129" s="21" t="str">
        <x:v>G5457</x:v>
      </x:c>
      <x:c r="L129" s="21" t="str">
        <x:v>否</x:v>
      </x:c>
      <x:c r="M129" s="21" t="str"/>
      <x:c r="N129" s="21" t="str">
        <x:v>source_and_lexicon_matched</x:v>
      </x:c>
      <x:c r="O129" s="21" t="str">
        <x:v>rule_generated_from_official_table</x:v>
      </x:c>
      <x:c r="P129" s="21" t="n">
        <x:v>3</x:v>
      </x:c>
      <x:c r="Q129" s="21" t="str">
        <x:v>https://doxa.billmounce.com/Flashcards%20%28BBG%29.pdf</x:v>
      </x:c>
      <x:c r="R129" s="16" t="str"/>
    </x:row>
    <x:row r="130" ht="28" customHeight="1">
      <x:c r="A130" s="21" t="n">
        <x:v>126</x:v>
      </x:c>
      <x:c r="B130" s="21" t="n">
        <x:f>ROUNDUP(A130/50,0)</x:f>
        <x:v>3</x:v>
      </x:c>
      <x:c r="C130" s="21" t="n">
        <x:f>MOD(A130-1,50)+1</x:f>
        <x:v>26</x:v>
      </x:c>
      <x:c r="D130" s="29" t="str">
        <x:v>χάρις, -ιτος, ἡ</x:v>
      </x:c>
      <x:c r="E130" s="29" t="str">
        <x:v>χάρις</x:v>
      </x:c>
      <x:c r="F130" s="27" t="str">
        <x:v>charis</x:v>
      </x:c>
      <x:c r="G130" s="20" t="str">
        <x:v>graciousness (as gratifying), of manner or act (abstract or concrete; literal, figurative or spiritual; especially the divine influence upon the heart, and its reflection in the life; including gratitude)</x:v>
      </x:c>
      <x:c r="H130" s="20" t="str"/>
      <x:c r="I130" s="21" t="n">
        <x:v>11</x:v>
      </x:c>
      <x:c r="J130" s="21" t="str">
        <x:v>BBG 課序</x:v>
      </x:c>
      <x:c r="K130" s="21" t="str">
        <x:v>G5485</x:v>
      </x:c>
      <x:c r="L130" s="21" t="str">
        <x:v>否</x:v>
      </x:c>
      <x:c r="M130" s="21" t="str"/>
      <x:c r="N130" s="21" t="str">
        <x:v>source_and_lexicon_matched</x:v>
      </x:c>
      <x:c r="O130" s="21" t="str">
        <x:v>rule_generated_from_official_table</x:v>
      </x:c>
      <x:c r="P130" s="21" t="n">
        <x:v>3</x:v>
      </x:c>
      <x:c r="Q130" s="21" t="str">
        <x:v>https://doxa.billmounce.com/Flashcards%20%28BBG%29.pdf</x:v>
      </x:c>
      <x:c r="R130" s="16" t="str"/>
    </x:row>
    <x:row r="131" ht="28" customHeight="1">
      <x:c r="A131" s="21" t="n">
        <x:v>127</x:v>
      </x:c>
      <x:c r="B131" s="21" t="n">
        <x:f>ROUNDUP(A131/50,0)</x:f>
        <x:v>3</x:v>
      </x:c>
      <x:c r="C131" s="21" t="n">
        <x:f>MOD(A131-1,50)+1</x:f>
        <x:v>27</x:v>
      </x:c>
      <x:c r="D131" s="29" t="str">
        <x:v>ὧδε</x:v>
      </x:c>
      <x:c r="E131" s="29" t="str">
        <x:v>ὧδε</x:v>
      </x:c>
      <x:c r="F131" s="27" t="str">
        <x:v>hōde</x:v>
      </x:c>
      <x:c r="G131" s="20" t="str">
        <x:v>in this same spot, i.e. here or hither</x:v>
      </x:c>
      <x:c r="H131" s="20" t="str"/>
      <x:c r="I131" s="21" t="n">
        <x:v>11</x:v>
      </x:c>
      <x:c r="J131" s="21" t="str">
        <x:v>BBG 課序</x:v>
      </x:c>
      <x:c r="K131" s="21" t="str">
        <x:v>G5602</x:v>
      </x:c>
      <x:c r="L131" s="21" t="str">
        <x:v>否</x:v>
      </x:c>
      <x:c r="M131" s="21" t="str"/>
      <x:c r="N131" s="21" t="str">
        <x:v>source_and_lexicon_matched</x:v>
      </x:c>
      <x:c r="O131" s="21" t="str">
        <x:v>rule_generated_from_official_table</x:v>
      </x:c>
      <x:c r="P131" s="21" t="n">
        <x:v>3</x:v>
      </x:c>
      <x:c r="Q131" s="21" t="str">
        <x:v>https://doxa.billmounce.com/Flashcards%20%28BBG%29.pdf</x:v>
      </x:c>
      <x:c r="R131" s="16" t="str"/>
    </x:row>
    <x:row r="132" ht="28" customHeight="1">
      <x:c r="A132" s="21" t="n">
        <x:v>128</x:v>
      </x:c>
      <x:c r="B132" s="21" t="n">
        <x:f>ROUNDUP(A132/50,0)</x:f>
        <x:v>3</x:v>
      </x:c>
      <x:c r="C132" s="21" t="n">
        <x:f>MOD(A132-1,50)+1</x:f>
        <x:v>28</x:v>
      </x:c>
      <x:c r="D132" s="29" t="str">
        <x:v>αἰών, -ῶνος, ὁ</x:v>
      </x:c>
      <x:c r="E132" s="29" t="str">
        <x:v>αἰών</x:v>
      </x:c>
      <x:c r="F132" s="27" t="str">
        <x:v>aiōn</x:v>
      </x:c>
      <x:c r="G132" s="20" t="str">
        <x:v>properly, an age; by extension, perpetuity (also past); by implication, the world; specially (Jewish) a Messianic period (present or future)</x:v>
      </x:c>
      <x:c r="H132" s="20" t="str"/>
      <x:c r="I132" s="21" t="n">
        <x:v>12</x:v>
      </x:c>
      <x:c r="J132" s="21" t="str">
        <x:v>BBG 課序</x:v>
      </x:c>
      <x:c r="K132" s="21" t="str">
        <x:v>G165</x:v>
      </x:c>
      <x:c r="L132" s="21" t="str">
        <x:v>否</x:v>
      </x:c>
      <x:c r="M132" s="21" t="str"/>
      <x:c r="N132" s="21" t="str">
        <x:v>source_and_lexicon_matched</x:v>
      </x:c>
      <x:c r="O132" s="21" t="str">
        <x:v>rule_generated_from_official_table</x:v>
      </x:c>
      <x:c r="P132" s="21" t="n">
        <x:v>3</x:v>
      </x:c>
      <x:c r="Q132" s="21" t="str">
        <x:v>https://doxa.billmounce.com/Flashcards%20%28BBG%29.pdf</x:v>
      </x:c>
      <x:c r="R132" s="16" t="str"/>
    </x:row>
    <x:row r="133" ht="28" customHeight="1">
      <x:c r="A133" s="21" t="n">
        <x:v>129</x:v>
      </x:c>
      <x:c r="B133" s="21" t="n">
        <x:f>ROUNDUP(A133/50,0)</x:f>
        <x:v>3</x:v>
      </x:c>
      <x:c r="C133" s="21" t="n">
        <x:f>MOD(A133-1,50)+1</x:f>
        <x:v>29</x:v>
      </x:c>
      <x:c r="D133" s="29" t="str">
        <x:v>διδάσκαλος, -ου, ὁ</x:v>
      </x:c>
      <x:c r="E133" s="29" t="str">
        <x:v>διδάσκαλος</x:v>
      </x:c>
      <x:c r="F133" s="27" t="str">
        <x:v>didaskalos</x:v>
      </x:c>
      <x:c r="G133" s="20" t="str">
        <x:v>an instructor (genitive case or specially)</x:v>
      </x:c>
      <x:c r="H133" s="20" t="str"/>
      <x:c r="I133" s="21" t="n">
        <x:v>12</x:v>
      </x:c>
      <x:c r="J133" s="21" t="str">
        <x:v>BBG 課序</x:v>
      </x:c>
      <x:c r="K133" s="21" t="str">
        <x:v>G1320</x:v>
      </x:c>
      <x:c r="L133" s="21" t="str">
        <x:v>否</x:v>
      </x:c>
      <x:c r="M133" s="21" t="str"/>
      <x:c r="N133" s="21" t="str">
        <x:v>source_and_lexicon_matched</x:v>
      </x:c>
      <x:c r="O133" s="21" t="str">
        <x:v>rule_generated_from_official_table</x:v>
      </x:c>
      <x:c r="P133" s="21" t="n">
        <x:v>3</x:v>
      </x:c>
      <x:c r="Q133" s="21" t="str">
        <x:v>https://doxa.billmounce.com/Flashcards%20%28BBG%29.pdf</x:v>
      </x:c>
      <x:c r="R133" s="16" t="str"/>
    </x:row>
    <x:row r="134" ht="28" customHeight="1">
      <x:c r="A134" s="21" t="n">
        <x:v>130</x:v>
      </x:c>
      <x:c r="B134" s="21" t="n">
        <x:f>ROUNDUP(A134/50,0)</x:f>
        <x:v>3</x:v>
      </x:c>
      <x:c r="C134" s="21" t="n">
        <x:f>MOD(A134-1,50)+1</x:f>
        <x:v>30</x:v>
      </x:c>
      <x:c r="D134" s="29" t="str">
        <x:v>εὐθύς</x:v>
      </x:c>
      <x:c r="E134" s="29" t="str">
        <x:v>εὐθύς</x:v>
      </x:c>
      <x:c r="F134" s="27" t="str">
        <x:v>euthus</x:v>
      </x:c>
      <x:c r="G134" s="20" t="str">
        <x:v>straight, i.e. (literally) level, or (figuratively) true; adverbially (of time) at once</x:v>
      </x:c>
      <x:c r="H134" s="20" t="str"/>
      <x:c r="I134" s="21" t="n">
        <x:v>12</x:v>
      </x:c>
      <x:c r="J134" s="21" t="str">
        <x:v>BBG 課序</x:v>
      </x:c>
      <x:c r="K134" s="21" t="str">
        <x:v>G2117</x:v>
      </x:c>
      <x:c r="L134" s="21" t="str">
        <x:v>否</x:v>
      </x:c>
      <x:c r="M134" s="21" t="str"/>
      <x:c r="N134" s="21" t="str">
        <x:v>source_and_lexicon_matched</x:v>
      </x:c>
      <x:c r="O134" s="21" t="str">
        <x:v>rule_generated_from_official_table</x:v>
      </x:c>
      <x:c r="P134" s="21" t="n">
        <x:v>3</x:v>
      </x:c>
      <x:c r="Q134" s="21" t="str">
        <x:v>https://doxa.billmounce.com/Flashcards%20%28BBG%29.pdf</x:v>
      </x:c>
      <x:c r="R134" s="16" t="str"/>
    </x:row>
    <x:row r="135" ht="28" customHeight="1">
      <x:c r="A135" s="21" t="n">
        <x:v>131</x:v>
      </x:c>
      <x:c r="B135" s="21" t="n">
        <x:f>ROUNDUP(A135/50,0)</x:f>
        <x:v>3</x:v>
      </x:c>
      <x:c r="C135" s="21" t="n">
        <x:f>MOD(A135-1,50)+1</x:f>
        <x:v>31</x:v>
      </x:c>
      <x:c r="D135" s="29" t="str">
        <x:v>ἕως</x:v>
      </x:c>
      <x:c r="E135" s="29" t="str">
        <x:v>ἕως</x:v>
      </x:c>
      <x:c r="F135" s="27" t="str">
        <x:v>heōs</x:v>
      </x:c>
      <x:c r="G135" s="20" t="str">
        <x:v>a conjunction, preposition and adverb of continuance, until (of time and place)</x:v>
      </x:c>
      <x:c r="H135" s="20" t="str"/>
      <x:c r="I135" s="21" t="n">
        <x:v>12</x:v>
      </x:c>
      <x:c r="J135" s="21" t="str">
        <x:v>BBG 課序</x:v>
      </x:c>
      <x:c r="K135" s="21" t="str">
        <x:v>G2193</x:v>
      </x:c>
      <x:c r="L135" s="21" t="str">
        <x:v>否</x:v>
      </x:c>
      <x:c r="M135" s="21" t="str"/>
      <x:c r="N135" s="21" t="str">
        <x:v>source_and_lexicon_matched</x:v>
      </x:c>
      <x:c r="O135" s="21" t="str">
        <x:v>rule_generated_from_official_table</x:v>
      </x:c>
      <x:c r="P135" s="21" t="n">
        <x:v>3</x:v>
      </x:c>
      <x:c r="Q135" s="21" t="str">
        <x:v>https://doxa.billmounce.com/Flashcards%20%28BBG%29.pdf</x:v>
      </x:c>
      <x:c r="R135" s="16" t="str"/>
    </x:row>
    <x:row r="136" ht="28" customHeight="1">
      <x:c r="A136" s="21" t="n">
        <x:v>132</x:v>
      </x:c>
      <x:c r="B136" s="21" t="n">
        <x:f>ROUNDUP(A136/50,0)</x:f>
        <x:v>3</x:v>
      </x:c>
      <x:c r="C136" s="21" t="n">
        <x:f>MOD(A136-1,50)+1</x:f>
        <x:v>32</x:v>
      </x:c>
      <x:c r="D136" s="29" t="str">
        <x:v>μαθητής, -οῦ, ὁ</x:v>
      </x:c>
      <x:c r="E136" s="29" t="str">
        <x:v>μαθητής</x:v>
      </x:c>
      <x:c r="F136" s="27" t="str">
        <x:v>mathētēs</x:v>
      </x:c>
      <x:c r="G136" s="20" t="str">
        <x:v>a learner, i.e. pupil</x:v>
      </x:c>
      <x:c r="H136" s="20" t="str"/>
      <x:c r="I136" s="21" t="n">
        <x:v>12</x:v>
      </x:c>
      <x:c r="J136" s="21" t="str">
        <x:v>BBG 課序</x:v>
      </x:c>
      <x:c r="K136" s="21" t="str">
        <x:v>G3101</x:v>
      </x:c>
      <x:c r="L136" s="21" t="str">
        <x:v>否</x:v>
      </x:c>
      <x:c r="M136" s="21" t="str"/>
      <x:c r="N136" s="21" t="str">
        <x:v>source_and_lexicon_matched</x:v>
      </x:c>
      <x:c r="O136" s="21" t="str">
        <x:v>rule_generated_from_official_table</x:v>
      </x:c>
      <x:c r="P136" s="21" t="n">
        <x:v>3</x:v>
      </x:c>
      <x:c r="Q136" s="21" t="str">
        <x:v>https://doxa.billmounce.com/Flashcards%20%28BBG%29.pdf</x:v>
      </x:c>
      <x:c r="R136" s="16" t="str"/>
    </x:row>
    <x:row r="137" ht="28" customHeight="1">
      <x:c r="A137" s="21" t="n">
        <x:v>133</x:v>
      </x:c>
      <x:c r="B137" s="21" t="n">
        <x:f>ROUNDUP(A137/50,0)</x:f>
        <x:v>3</x:v>
      </x:c>
      <x:c r="C137" s="21" t="n">
        <x:f>MOD(A137-1,50)+1</x:f>
        <x:v>33</x:v>
      </x:c>
      <x:c r="D137" s="29" t="str">
        <x:v>μέν</x:v>
      </x:c>
      <x:c r="E137" s="29" t="str">
        <x:v>μέν</x:v>
      </x:c>
      <x:c r="F137" s="27" t="str">
        <x:v>men</x:v>
      </x:c>
      <x:c r="G137" s="20" t="str">
        <x:v>properly, indicative of affirmation or concession (in fact); usually followed by a contrasted clause with G1161 (δέ) (this one, the former, etc.)</x:v>
      </x:c>
      <x:c r="H137" s="20" t="str"/>
      <x:c r="I137" s="21" t="n">
        <x:v>12</x:v>
      </x:c>
      <x:c r="J137" s="21" t="str">
        <x:v>BBG 課序</x:v>
      </x:c>
      <x:c r="K137" s="21" t="str">
        <x:v>G3303</x:v>
      </x:c>
      <x:c r="L137" s="21" t="str">
        <x:v>否</x:v>
      </x:c>
      <x:c r="M137" s="21" t="str"/>
      <x:c r="N137" s="21" t="str">
        <x:v>source_and_lexicon_matched</x:v>
      </x:c>
      <x:c r="O137" s="21" t="str">
        <x:v>rule_generated_from_official_table</x:v>
      </x:c>
      <x:c r="P137" s="21" t="n">
        <x:v>3</x:v>
      </x:c>
      <x:c r="Q137" s="21" t="str">
        <x:v>https://doxa.billmounce.com/Flashcards%20%28BBG%29.pdf</x:v>
      </x:c>
      <x:c r="R137" s="16" t="str"/>
    </x:row>
    <x:row r="138" ht="28" customHeight="1">
      <x:c r="A138" s="21" t="n">
        <x:v>134</x:v>
      </x:c>
      <x:c r="B138" s="21" t="n">
        <x:f>ROUNDUP(A138/50,0)</x:f>
        <x:v>3</x:v>
      </x:c>
      <x:c r="C138" s="21" t="n">
        <x:f>MOD(A138-1,50)+1</x:f>
        <x:v>34</x:v>
      </x:c>
      <x:c r="D138" s="29" t="str">
        <x:v>μηδείς, μηδεμία, μηδέν</x:v>
      </x:c>
      <x:c r="E138" s="29" t="str">
        <x:v>μηδείς</x:v>
      </x:c>
      <x:c r="F138" s="27" t="str">
        <x:v>mēdeis</x:v>
      </x:c>
      <x:c r="G138" s="20" t="str">
        <x:v>not even one (man, woman, thing)</x:v>
      </x:c>
      <x:c r="H138" s="20" t="str"/>
      <x:c r="I138" s="21" t="n">
        <x:v>12</x:v>
      </x:c>
      <x:c r="J138" s="21" t="str">
        <x:v>BBG 課序</x:v>
      </x:c>
      <x:c r="K138" s="21" t="str">
        <x:v>G3367</x:v>
      </x:c>
      <x:c r="L138" s="21" t="str">
        <x:v>否</x:v>
      </x:c>
      <x:c r="M138" s="21" t="str"/>
      <x:c r="N138" s="21" t="str">
        <x:v>source_and_lexicon_matched</x:v>
      </x:c>
      <x:c r="O138" s="21" t="str">
        <x:v>rule_generated_from_official_table</x:v>
      </x:c>
      <x:c r="P138" s="21" t="n">
        <x:v>3</x:v>
      </x:c>
      <x:c r="Q138" s="21" t="str">
        <x:v>https://doxa.billmounce.com/Flashcards%20%28BBG%29.pdf</x:v>
      </x:c>
      <x:c r="R138" s="16" t="str"/>
    </x:row>
    <x:row r="139" ht="28" customHeight="1">
      <x:c r="A139" s="21" t="n">
        <x:v>135</x:v>
      </x:c>
      <x:c r="B139" s="21" t="n">
        <x:f>ROUNDUP(A139/50,0)</x:f>
        <x:v>3</x:v>
      </x:c>
      <x:c r="C139" s="21" t="n">
        <x:f>MOD(A139-1,50)+1</x:f>
        <x:v>35</x:v>
      </x:c>
      <x:c r="D139" s="29" t="str">
        <x:v>μόνος, -η, -ον</x:v>
      </x:c>
      <x:c r="E139" s="29" t="str">
        <x:v>μόνος</x:v>
      </x:c>
      <x:c r="F139" s="27" t="str">
        <x:v>monos</x:v>
      </x:c>
      <x:c r="G139" s="20" t="str">
        <x:v>remaining, i.e. sole or single; by implication, mere</x:v>
      </x:c>
      <x:c r="H139" s="20" t="str"/>
      <x:c r="I139" s="21" t="n">
        <x:v>12</x:v>
      </x:c>
      <x:c r="J139" s="21" t="str">
        <x:v>BBG 課序</x:v>
      </x:c>
      <x:c r="K139" s="21" t="str">
        <x:v>G3441</x:v>
      </x:c>
      <x:c r="L139" s="21" t="str">
        <x:v>否</x:v>
      </x:c>
      <x:c r="M139" s="21" t="str"/>
      <x:c r="N139" s="21" t="str">
        <x:v>source_and_lexicon_matched</x:v>
      </x:c>
      <x:c r="O139" s="21" t="str">
        <x:v>rule_generated_from_official_table</x:v>
      </x:c>
      <x:c r="P139" s="21" t="n">
        <x:v>3</x:v>
      </x:c>
      <x:c r="Q139" s="21" t="str">
        <x:v>https://doxa.billmounce.com/Flashcards%20%28BBG%29.pdf</x:v>
      </x:c>
      <x:c r="R139" s="16" t="str"/>
    </x:row>
    <x:row r="140" ht="28" customHeight="1">
      <x:c r="A140" s="21" t="n">
        <x:v>136</x:v>
      </x:c>
      <x:c r="B140" s="21" t="n">
        <x:f>ROUNDUP(A140/50,0)</x:f>
        <x:v>3</x:v>
      </x:c>
      <x:c r="C140" s="21" t="n">
        <x:f>MOD(A140-1,50)+1</x:f>
        <x:v>36</x:v>
      </x:c>
      <x:c r="D140" s="29" t="str">
        <x:v>ὅπως</x:v>
      </x:c>
      <x:c r="E140" s="29" t="str">
        <x:v>ὅπως</x:v>
      </x:c>
      <x:c r="F140" s="27" t="str">
        <x:v>hopōs</x:v>
      </x:c>
      <x:c r="G140" s="20" t="str">
        <x:v>what(-ever) how, i.e. in the manner that (as adverb or conjunction of coincidence, intentional or actual)</x:v>
      </x:c>
      <x:c r="H140" s="20" t="str"/>
      <x:c r="I140" s="21" t="n">
        <x:v>12</x:v>
      </x:c>
      <x:c r="J140" s="21" t="str">
        <x:v>BBG 課序</x:v>
      </x:c>
      <x:c r="K140" s="21" t="str">
        <x:v>G3704</x:v>
      </x:c>
      <x:c r="L140" s="21" t="str">
        <x:v>否</x:v>
      </x:c>
      <x:c r="M140" s="21" t="str"/>
      <x:c r="N140" s="21" t="str">
        <x:v>source_and_lexicon_matched</x:v>
      </x:c>
      <x:c r="O140" s="21" t="str">
        <x:v>rule_generated_from_official_table</x:v>
      </x:c>
      <x:c r="P140" s="21" t="n">
        <x:v>3</x:v>
      </x:c>
      <x:c r="Q140" s="21" t="str">
        <x:v>https://doxa.billmounce.com/Flashcards%20%28BBG%29.pdf</x:v>
      </x:c>
      <x:c r="R140" s="16" t="str"/>
    </x:row>
    <x:row r="141" ht="28" customHeight="1">
      <x:c r="A141" s="21" t="n">
        <x:v>137</x:v>
      </x:c>
      <x:c r="B141" s="21" t="n">
        <x:f>ROUNDUP(A141/50,0)</x:f>
        <x:v>3</x:v>
      </x:c>
      <x:c r="C141" s="21" t="n">
        <x:f>MOD(A141-1,50)+1</x:f>
        <x:v>37</x:v>
      </x:c>
      <x:c r="D141" s="29" t="str">
        <x:v>ὅσος, -η, -ον</x:v>
      </x:c>
      <x:c r="E141" s="29" t="str">
        <x:v>ὅσος</x:v>
      </x:c>
      <x:c r="F141" s="27" t="str">
        <x:v>hosos</x:v>
      </x:c>
      <x:c r="G141" s="20" t="str">
        <x:v>as (much, great, long, etc.) as</x:v>
      </x:c>
      <x:c r="H141" s="20" t="str"/>
      <x:c r="I141" s="21" t="n">
        <x:v>12</x:v>
      </x:c>
      <x:c r="J141" s="21" t="str">
        <x:v>BBG 課序</x:v>
      </x:c>
      <x:c r="K141" s="21" t="str">
        <x:v>G3745</x:v>
      </x:c>
      <x:c r="L141" s="21" t="str">
        <x:v>否</x:v>
      </x:c>
      <x:c r="M141" s="21" t="str"/>
      <x:c r="N141" s="21" t="str">
        <x:v>source_and_lexicon_matched</x:v>
      </x:c>
      <x:c r="O141" s="21" t="str">
        <x:v>rule_generated_from_official_table</x:v>
      </x:c>
      <x:c r="P141" s="21" t="n">
        <x:v>3</x:v>
      </x:c>
      <x:c r="Q141" s="21" t="str">
        <x:v>https://doxa.billmounce.com/Flashcards%20%28BBG%29.pdf</x:v>
      </x:c>
      <x:c r="R141" s="16" t="str"/>
    </x:row>
    <x:row r="142" ht="28" customHeight="1">
      <x:c r="A142" s="21" t="n">
        <x:v>138</x:v>
      </x:c>
      <x:c r="B142" s="21" t="n">
        <x:f>ROUNDUP(A142/50,0)</x:f>
        <x:v>3</x:v>
      </x:c>
      <x:c r="C142" s="21" t="n">
        <x:f>MOD(A142-1,50)+1</x:f>
        <x:v>38</x:v>
      </x:c>
      <x:c r="D142" s="29" t="str">
        <x:v>οὖν</x:v>
      </x:c>
      <x:c r="E142" s="29" t="str">
        <x:v>οὖν</x:v>
      </x:c>
      <x:c r="F142" s="27" t="str">
        <x:v>oun</x:v>
      </x:c>
      <x:c r="G142" s="20" t="str">
        <x:v>(adverbially) certainly, or (conjunctionally) accordingly</x:v>
      </x:c>
      <x:c r="H142" s="20" t="str"/>
      <x:c r="I142" s="21" t="n">
        <x:v>12</x:v>
      </x:c>
      <x:c r="J142" s="21" t="str">
        <x:v>BBG 課序</x:v>
      </x:c>
      <x:c r="K142" s="21" t="str">
        <x:v>G3767</x:v>
      </x:c>
      <x:c r="L142" s="21" t="str">
        <x:v>否</x:v>
      </x:c>
      <x:c r="M142" s="21" t="str"/>
      <x:c r="N142" s="21" t="str">
        <x:v>source_and_lexicon_matched</x:v>
      </x:c>
      <x:c r="O142" s="21" t="str">
        <x:v>rule_generated_from_official_table</x:v>
      </x:c>
      <x:c r="P142" s="21" t="n">
        <x:v>3</x:v>
      </x:c>
      <x:c r="Q142" s="21" t="str">
        <x:v>https://doxa.billmounce.com/Flashcards%20%28BBG%29.pdf</x:v>
      </x:c>
      <x:c r="R142" s="16" t="str"/>
    </x:row>
    <x:row r="143" ht="28" customHeight="1">
      <x:c r="A143" s="21" t="n">
        <x:v>139</x:v>
      </x:c>
      <x:c r="B143" s="21" t="n">
        <x:f>ROUNDUP(A143/50,0)</x:f>
        <x:v>3</x:v>
      </x:c>
      <x:c r="C143" s="21" t="n">
        <x:f>MOD(A143-1,50)+1</x:f>
        <x:v>39</x:v>
      </x:c>
      <x:c r="D143" s="29" t="str">
        <x:v>ὀφθαλμός, -οῦ, ὁ</x:v>
      </x:c>
      <x:c r="E143" s="29" t="str">
        <x:v>ὀφθαλμός</x:v>
      </x:c>
      <x:c r="F143" s="27" t="str">
        <x:v>ophthalmos</x:v>
      </x:c>
      <x:c r="G143" s="20" t="str">
        <x:v>the eye (literally or figuratively); by implication, vision; figuratively, envy (from the jealous side-glance)</x:v>
      </x:c>
      <x:c r="H143" s="20" t="str"/>
      <x:c r="I143" s="21" t="n">
        <x:v>12</x:v>
      </x:c>
      <x:c r="J143" s="21" t="str">
        <x:v>BBG 課序</x:v>
      </x:c>
      <x:c r="K143" s="21" t="str">
        <x:v>G3788</x:v>
      </x:c>
      <x:c r="L143" s="21" t="str">
        <x:v>否</x:v>
      </x:c>
      <x:c r="M143" s="21" t="str"/>
      <x:c r="N143" s="21" t="str">
        <x:v>source_and_lexicon_matched</x:v>
      </x:c>
      <x:c r="O143" s="21" t="str">
        <x:v>rule_generated_from_official_table</x:v>
      </x:c>
      <x:c r="P143" s="21" t="n">
        <x:v>3</x:v>
      </x:c>
      <x:c r="Q143" s="21" t="str">
        <x:v>https://doxa.billmounce.com/Flashcards%20%28BBG%29.pdf</x:v>
      </x:c>
      <x:c r="R143" s="16" t="str"/>
    </x:row>
    <x:row r="144" ht="28" customHeight="1">
      <x:c r="A144" s="21" t="n">
        <x:v>140</x:v>
      </x:c>
      <x:c r="B144" s="21" t="n">
        <x:f>ROUNDUP(A144/50,0)</x:f>
        <x:v>3</x:v>
      </x:c>
      <x:c r="C144" s="21" t="n">
        <x:f>MOD(A144-1,50)+1</x:f>
        <x:v>40</x:v>
      </x:c>
      <x:c r="D144" s="29" t="str">
        <x:v>πάλιν</x:v>
      </x:c>
      <x:c r="E144" s="29" t="str">
        <x:v>πάλιν</x:v>
      </x:c>
      <x:c r="F144" s="27" t="str">
        <x:v>palin</x:v>
      </x:c>
      <x:c r="G144" s="20" t="str">
        <x:v>(adverbially) anew, i.e. (of place) back, (of time) once more, or (conjunctionally) furthermore or on the other hand</x:v>
      </x:c>
      <x:c r="H144" s="20" t="str"/>
      <x:c r="I144" s="21" t="n">
        <x:v>12</x:v>
      </x:c>
      <x:c r="J144" s="21" t="str">
        <x:v>BBG 課序</x:v>
      </x:c>
      <x:c r="K144" s="21" t="str">
        <x:v>G3825</x:v>
      </x:c>
      <x:c r="L144" s="21" t="str">
        <x:v>否</x:v>
      </x:c>
      <x:c r="M144" s="21" t="str"/>
      <x:c r="N144" s="21" t="str">
        <x:v>source_and_lexicon_matched</x:v>
      </x:c>
      <x:c r="O144" s="21" t="str">
        <x:v>rule_generated_from_official_table</x:v>
      </x:c>
      <x:c r="P144" s="21" t="n">
        <x:v>3</x:v>
      </x:c>
      <x:c r="Q144" s="21" t="str">
        <x:v>https://doxa.billmounce.com/Flashcards%20%28BBG%29.pdf</x:v>
      </x:c>
      <x:c r="R144" s="16" t="str"/>
    </x:row>
    <x:row r="145" ht="28" customHeight="1">
      <x:c r="A145" s="21" t="n">
        <x:v>141</x:v>
      </x:c>
      <x:c r="B145" s="21" t="n">
        <x:f>ROUNDUP(A145/50,0)</x:f>
        <x:v>3</x:v>
      </x:c>
      <x:c r="C145" s="21" t="n">
        <x:f>MOD(A145-1,50)+1</x:f>
        <x:v>41</x:v>
      </x:c>
      <x:c r="D145" s="29" t="str">
        <x:v>πούς, ποδός, ὁ</x:v>
      </x:c>
      <x:c r="E145" s="29" t="str">
        <x:v>πούς</x:v>
      </x:c>
      <x:c r="F145" s="27" t="str">
        <x:v>pous</x:v>
      </x:c>
      <x:c r="G145" s="20" t="str">
        <x:v>a "foot" (figuratively or literally)</x:v>
      </x:c>
      <x:c r="H145" s="20" t="str"/>
      <x:c r="I145" s="21" t="n">
        <x:v>12</x:v>
      </x:c>
      <x:c r="J145" s="21" t="str">
        <x:v>BBG 課序</x:v>
      </x:c>
      <x:c r="K145" s="21" t="str">
        <x:v>G4228</x:v>
      </x:c>
      <x:c r="L145" s="21" t="str">
        <x:v>否</x:v>
      </x:c>
      <x:c r="M145" s="21" t="str"/>
      <x:c r="N145" s="21" t="str">
        <x:v>source_and_lexicon_matched</x:v>
      </x:c>
      <x:c r="O145" s="21" t="str">
        <x:v>rule_generated_from_official_table</x:v>
      </x:c>
      <x:c r="P145" s="21" t="n">
        <x:v>3</x:v>
      </x:c>
      <x:c r="Q145" s="21" t="str">
        <x:v>https://doxa.billmounce.com/Flashcards%20%28BBG%29.pdf</x:v>
      </x:c>
      <x:c r="R145" s="16" t="str"/>
    </x:row>
    <x:row r="146" ht="28" customHeight="1">
      <x:c r="A146" s="21" t="n">
        <x:v>142</x:v>
      </x:c>
      <x:c r="B146" s="21" t="n">
        <x:f>ROUNDUP(A146/50,0)</x:f>
        <x:v>3</x:v>
      </x:c>
      <x:c r="C146" s="21" t="n">
        <x:f>MOD(A146-1,50)+1</x:f>
        <x:v>42</x:v>
      </x:c>
      <x:c r="D146" s="29" t="str">
        <x:v>ὑπέρ</x:v>
      </x:c>
      <x:c r="E146" s="29" t="str">
        <x:v>ὑπέρ</x:v>
      </x:c>
      <x:c r="F146" s="27" t="str">
        <x:v>huper</x:v>
      </x:c>
      <x:c r="G146" s="20" t="str">
        <x:v>"over", i.e. (with the genitive case) of place, above, beyond, across, or causal, for the sake of, instead, regarding; with the accusative case superior to, more than</x:v>
      </x:c>
      <x:c r="H146" s="20" t="str"/>
      <x:c r="I146" s="21" t="n">
        <x:v>12</x:v>
      </x:c>
      <x:c r="J146" s="21" t="str">
        <x:v>BBG 課序</x:v>
      </x:c>
      <x:c r="K146" s="21" t="str">
        <x:v>G5228</x:v>
      </x:c>
      <x:c r="L146" s="21" t="str">
        <x:v>否</x:v>
      </x:c>
      <x:c r="M146" s="21" t="str"/>
      <x:c r="N146" s="21" t="str">
        <x:v>source_and_lexicon_matched</x:v>
      </x:c>
      <x:c r="O146" s="21" t="str">
        <x:v>rule_generated_from_official_table</x:v>
      </x:c>
      <x:c r="P146" s="21" t="n">
        <x:v>3</x:v>
      </x:c>
      <x:c r="Q146" s="21" t="str">
        <x:v>https://doxa.billmounce.com/Flashcards%20%28BBG%29.pdf</x:v>
      </x:c>
      <x:c r="R146" s="16" t="str"/>
    </x:row>
    <x:row r="147" ht="28" customHeight="1">
      <x:c r="A147" s="21" t="n">
        <x:v>143</x:v>
      </x:c>
      <x:c r="B147" s="21" t="n">
        <x:f>ROUNDUP(A147/50,0)</x:f>
        <x:v>3</x:v>
      </x:c>
      <x:c r="C147" s="21" t="n">
        <x:f>MOD(A147-1,50)+1</x:f>
        <x:v>43</x:v>
      </x:c>
      <x:c r="D147" s="29" t="str">
        <x:v>γυνή, γυναικός, ἡ</x:v>
      </x:c>
      <x:c r="E147" s="29" t="str">
        <x:v>γυνή</x:v>
      </x:c>
      <x:c r="F147" s="27" t="str">
        <x:v>gunē</x:v>
      </x:c>
      <x:c r="G147" s="20" t="str">
        <x:v>a woman; specially, a wife</x:v>
      </x:c>
      <x:c r="H147" s="20" t="str"/>
      <x:c r="I147" s="21" t="n">
        <x:v>13</x:v>
      </x:c>
      <x:c r="J147" s="21" t="str">
        <x:v>BBG 課序</x:v>
      </x:c>
      <x:c r="K147" s="21" t="str">
        <x:v>G1135</x:v>
      </x:c>
      <x:c r="L147" s="21" t="str">
        <x:v>否</x:v>
      </x:c>
      <x:c r="M147" s="21" t="str"/>
      <x:c r="N147" s="21" t="str">
        <x:v>source_and_lexicon_matched</x:v>
      </x:c>
      <x:c r="O147" s="21" t="str">
        <x:v>rule_generated_from_official_table</x:v>
      </x:c>
      <x:c r="P147" s="21" t="n">
        <x:v>3</x:v>
      </x:c>
      <x:c r="Q147" s="21" t="str">
        <x:v>https://doxa.billmounce.com/Flashcards%20%28BBG%29.pdf</x:v>
      </x:c>
      <x:c r="R147" s="16" t="str"/>
    </x:row>
    <x:row r="148" ht="28" customHeight="1">
      <x:c r="A148" s="21" t="n">
        <x:v>144</x:v>
      </x:c>
      <x:c r="B148" s="21" t="n">
        <x:f>ROUNDUP(A148/50,0)</x:f>
        <x:v>3</x:v>
      </x:c>
      <x:c r="C148" s="21" t="n">
        <x:f>MOD(A148-1,50)+1</x:f>
        <x:v>44</x:v>
      </x:c>
      <x:c r="D148" s="29" t="str">
        <x:v>δικαιοσύνη, -ης, ἡ</x:v>
      </x:c>
      <x:c r="E148" s="29" t="str">
        <x:v>δικαιοσύνη</x:v>
      </x:c>
      <x:c r="F148" s="27" t="str">
        <x:v>dikaiosunē</x:v>
      </x:c>
      <x:c r="G148" s="20" t="str">
        <x:v>equity (of character or act); specially (Christian) justification</x:v>
      </x:c>
      <x:c r="H148" s="20" t="str"/>
      <x:c r="I148" s="21" t="n">
        <x:v>13</x:v>
      </x:c>
      <x:c r="J148" s="21" t="str">
        <x:v>BBG 課序</x:v>
      </x:c>
      <x:c r="K148" s="21" t="str">
        <x:v>G1343</x:v>
      </x:c>
      <x:c r="L148" s="21" t="str">
        <x:v>否</x:v>
      </x:c>
      <x:c r="M148" s="21" t="str"/>
      <x:c r="N148" s="21" t="str">
        <x:v>source_and_lexicon_matched</x:v>
      </x:c>
      <x:c r="O148" s="21" t="str">
        <x:v>rule_generated_from_official_table</x:v>
      </x:c>
      <x:c r="P148" s="21" t="n">
        <x:v>3</x:v>
      </x:c>
      <x:c r="Q148" s="21" t="str">
        <x:v>https://doxa.billmounce.com/Flashcards%20%28BBG%29.pdf</x:v>
      </x:c>
      <x:c r="R148" s="16" t="str"/>
    </x:row>
    <x:row r="149" ht="28" customHeight="1">
      <x:c r="A149" s="21" t="n">
        <x:v>145</x:v>
      </x:c>
      <x:c r="B149" s="21" t="n">
        <x:f>ROUNDUP(A149/50,0)</x:f>
        <x:v>3</x:v>
      </x:c>
      <x:c r="C149" s="21" t="n">
        <x:f>MOD(A149-1,50)+1</x:f>
        <x:v>45</x:v>
      </x:c>
      <x:c r="D149" s="29" t="str">
        <x:v>δώδεκα</x:v>
      </x:c>
      <x:c r="E149" s="29" t="str">
        <x:v>δώδεκα</x:v>
      </x:c>
      <x:c r="F149" s="27" t="str">
        <x:v>dōdeka</x:v>
      </x:c>
      <x:c r="G149" s="20" t="str">
        <x:v>two and ten, i.e. a dozen</x:v>
      </x:c>
      <x:c r="H149" s="20" t="str"/>
      <x:c r="I149" s="21" t="n">
        <x:v>13</x:v>
      </x:c>
      <x:c r="J149" s="21" t="str">
        <x:v>BBG 課序</x:v>
      </x:c>
      <x:c r="K149" s="21" t="str">
        <x:v>G1427</x:v>
      </x:c>
      <x:c r="L149" s="21" t="str">
        <x:v>否</x:v>
      </x:c>
      <x:c r="M149" s="21" t="str"/>
      <x:c r="N149" s="21" t="str">
        <x:v>source_and_lexicon_matched</x:v>
      </x:c>
      <x:c r="O149" s="21" t="str">
        <x:v>rule_generated_from_official_table</x:v>
      </x:c>
      <x:c r="P149" s="21" t="n">
        <x:v>3</x:v>
      </x:c>
      <x:c r="Q149" s="21" t="str">
        <x:v>https://doxa.billmounce.com/Flashcards%20%28BBG%29.pdf</x:v>
      </x:c>
      <x:c r="R149" s="16" t="str"/>
    </x:row>
    <x:row r="150" ht="28" customHeight="1">
      <x:c r="A150" s="21" t="n">
        <x:v>146</x:v>
      </x:c>
      <x:c r="B150" s="21" t="n">
        <x:f>ROUNDUP(A150/50,0)</x:f>
        <x:v>3</x:v>
      </x:c>
      <x:c r="C150" s="21" t="n">
        <x:f>MOD(A150-1,50)+1</x:f>
        <x:v>46</x:v>
      </x:c>
      <x:c r="D150" s="29" t="str">
        <x:v>ἑαυτοῦ, -ῆς, -οῦ</x:v>
      </x:c>
      <x:c r="E150" s="29" t="str">
        <x:v>ἑαυτοῦ</x:v>
      </x:c>
      <x:c r="F150" s="27" t="str">
        <x:v>heautou</x:v>
      </x:c>
      <x:c r="G150" s="20" t="str">
        <x:v>him- (her-, it-, them-, also (in conjunction with the personal pronoun of the other persons) my-, thy-, our-, your-) self (selves), etc.</x:v>
      </x:c>
      <x:c r="H150" s="20" t="str"/>
      <x:c r="I150" s="21" t="n">
        <x:v>13</x:v>
      </x:c>
      <x:c r="J150" s="21" t="str">
        <x:v>BBG 課序</x:v>
      </x:c>
      <x:c r="K150" s="21" t="str">
        <x:v>G1438</x:v>
      </x:c>
      <x:c r="L150" s="21" t="str">
        <x:v>否</x:v>
      </x:c>
      <x:c r="M150" s="21" t="str"/>
      <x:c r="N150" s="21" t="str">
        <x:v>source_and_lexicon_matched</x:v>
      </x:c>
      <x:c r="O150" s="21" t="str">
        <x:v>rule_generated_from_official_table</x:v>
      </x:c>
      <x:c r="P150" s="21" t="n">
        <x:v>3</x:v>
      </x:c>
      <x:c r="Q150" s="21" t="str">
        <x:v>https://doxa.billmounce.com/Flashcards%20%28BBG%29.pdf</x:v>
      </x:c>
      <x:c r="R150" s="16" t="str"/>
    </x:row>
    <x:row r="151" ht="28" customHeight="1">
      <x:c r="A151" s="21" t="n">
        <x:v>147</x:v>
      </x:c>
      <x:c r="B151" s="21" t="n">
        <x:f>ROUNDUP(A151/50,0)</x:f>
        <x:v>3</x:v>
      </x:c>
      <x:c r="C151" s="21" t="n">
        <x:f>MOD(A151-1,50)+1</x:f>
        <x:v>47</x:v>
      </x:c>
      <x:c r="D151" s="29" t="str">
        <x:v>ἐκεῖνος, -η, -ο</x:v>
      </x:c>
      <x:c r="E151" s="29" t="str">
        <x:v>ἐκεῖνος</x:v>
      </x:c>
      <x:c r="F151" s="27" t="str">
        <x:v>ekeinos</x:v>
      </x:c>
      <x:c r="G151" s="20" t="str">
        <x:v>that one (or (neuter) thing); often intensified by the article prefixed</x:v>
      </x:c>
      <x:c r="H151" s="20" t="str"/>
      <x:c r="I151" s="21" t="n">
        <x:v>13</x:v>
      </x:c>
      <x:c r="J151" s="21" t="str">
        <x:v>BBG 課序</x:v>
      </x:c>
      <x:c r="K151" s="21" t="str">
        <x:v>G1565</x:v>
      </x:c>
      <x:c r="L151" s="21" t="str">
        <x:v>否</x:v>
      </x:c>
      <x:c r="M151" s="21" t="str"/>
      <x:c r="N151" s="21" t="str">
        <x:v>source_and_lexicon_matched</x:v>
      </x:c>
      <x:c r="O151" s="21" t="str">
        <x:v>rule_generated_from_official_table</x:v>
      </x:c>
      <x:c r="P151" s="21" t="n">
        <x:v>3</x:v>
      </x:c>
      <x:c r="Q151" s="21" t="str">
        <x:v>https://doxa.billmounce.com/Flashcards%20%28BBG%29.pdf</x:v>
      </x:c>
      <x:c r="R151" s="16" t="str"/>
    </x:row>
    <x:row r="152" ht="28" customHeight="1">
      <x:c r="A152" s="21" t="n">
        <x:v>148</x:v>
      </x:c>
      <x:c r="B152" s="21" t="n">
        <x:f>ROUNDUP(A152/50,0)</x:f>
        <x:v>3</x:v>
      </x:c>
      <x:c r="C152" s="21" t="n">
        <x:f>MOD(A152-1,50)+1</x:f>
        <x:v>48</x:v>
      </x:c>
      <x:c r="D152" s="29" t="str">
        <x:v>ἤ</x:v>
      </x:c>
      <x:c r="E152" s="29" t="str">
        <x:v>ἤ</x:v>
      </x:c>
      <x:c r="F152" s="27" t="str">
        <x:v>ē</x:v>
      </x:c>
      <x:c r="G152" s="20" t="str">
        <x:v>disjunctive, or; comparative, than</x:v>
      </x:c>
      <x:c r="H152" s="20" t="str"/>
      <x:c r="I152" s="21" t="n">
        <x:v>13</x:v>
      </x:c>
      <x:c r="J152" s="21" t="str">
        <x:v>BBG 課序</x:v>
      </x:c>
      <x:c r="K152" s="21" t="str">
        <x:v>G2228</x:v>
      </x:c>
      <x:c r="L152" s="21" t="str">
        <x:v>否</x:v>
      </x:c>
      <x:c r="M152" s="21" t="str"/>
      <x:c r="N152" s="21" t="str">
        <x:v>source_and_lexicon_matched</x:v>
      </x:c>
      <x:c r="O152" s="21" t="str">
        <x:v>rule_generated_from_official_table</x:v>
      </x:c>
      <x:c r="P152" s="21" t="n">
        <x:v>3</x:v>
      </x:c>
      <x:c r="Q152" s="21" t="str">
        <x:v>https://doxa.billmounce.com/Flashcards%20%28BBG%29.pdf</x:v>
      </x:c>
      <x:c r="R152" s="16" t="str"/>
    </x:row>
    <x:row r="153" ht="28" customHeight="1">
      <x:c r="A153" s="21" t="n">
        <x:v>149</x:v>
      </x:c>
      <x:c r="B153" s="21" t="n">
        <x:f>ROUNDUP(A153/50,0)</x:f>
        <x:v>3</x:v>
      </x:c>
      <x:c r="C153" s="21" t="n">
        <x:f>MOD(A153-1,50)+1</x:f>
        <x:v>49</x:v>
      </x:c>
      <x:c r="D153" s="29" t="str">
        <x:v>κἀγώ</x:v>
      </x:c>
      <x:c r="E153" s="29" t="str">
        <x:v>κἀγώ</x:v>
      </x:c>
      <x:c r="F153" s="27" t="str">
        <x:v>kagō</x:v>
      </x:c>
      <x:c r="G153" s="20" t="str">
        <x:v>so also the dative case , and accusative case and (or also, even, etc.) I, (to) me</x:v>
      </x:c>
      <x:c r="H153" s="20" t="str"/>
      <x:c r="I153" s="21" t="n">
        <x:v>13</x:v>
      </x:c>
      <x:c r="J153" s="21" t="str">
        <x:v>BBG 課序</x:v>
      </x:c>
      <x:c r="K153" s="21" t="str">
        <x:v>G2504</x:v>
      </x:c>
      <x:c r="L153" s="21" t="str">
        <x:v>否</x:v>
      </x:c>
      <x:c r="M153" s="21" t="str"/>
      <x:c r="N153" s="21" t="str">
        <x:v>source_and_lexicon_matched</x:v>
      </x:c>
      <x:c r="O153" s="21" t="str">
        <x:v>rule_generated_from_official_table</x:v>
      </x:c>
      <x:c r="P153" s="21" t="n">
        <x:v>3</x:v>
      </x:c>
      <x:c r="Q153" s="21" t="str">
        <x:v>https://doxa.billmounce.com/Flashcards%20%28BBG%29.pdf</x:v>
      </x:c>
      <x:c r="R153" s="16" t="str"/>
    </x:row>
    <x:row r="154" ht="28" customHeight="1">
      <x:c r="A154" s="21" t="n">
        <x:v>150</x:v>
      </x:c>
      <x:c r="B154" s="21" t="n">
        <x:f>ROUNDUP(A154/50,0)</x:f>
        <x:v>3</x:v>
      </x:c>
      <x:c r="C154" s="21" t="n">
        <x:f>MOD(A154-1,50)+1</x:f>
        <x:v>50</x:v>
      </x:c>
      <x:c r="D154" s="29" t="str">
        <x:v>μακάριος, -ία, -ιον</x:v>
      </x:c>
      <x:c r="E154" s="29" t="str">
        <x:v>μακάριος</x:v>
      </x:c>
      <x:c r="F154" s="27" t="str">
        <x:v>makarios</x:v>
      </x:c>
      <x:c r="G154" s="20" t="str">
        <x:v>supremely blest; by extension, fortunate, well off</x:v>
      </x:c>
      <x:c r="H154" s="20" t="str"/>
      <x:c r="I154" s="21" t="n">
        <x:v>13</x:v>
      </x:c>
      <x:c r="J154" s="21" t="str">
        <x:v>BBG 課序</x:v>
      </x:c>
      <x:c r="K154" s="21" t="str">
        <x:v>G3107</x:v>
      </x:c>
      <x:c r="L154" s="21" t="str">
        <x:v>否</x:v>
      </x:c>
      <x:c r="M154" s="21" t="str"/>
      <x:c r="N154" s="21" t="str">
        <x:v>source_and_lexicon_matched</x:v>
      </x:c>
      <x:c r="O154" s="21" t="str">
        <x:v>rule_generated_from_official_table</x:v>
      </x:c>
      <x:c r="P154" s="21" t="n">
        <x:v>3</x:v>
      </x:c>
      <x:c r="Q154" s="21" t="str">
        <x:v>https://doxa.billmounce.com/Flashcards%20%28BBG%29.pdf</x:v>
      </x:c>
      <x:c r="R154" s="16" t="str"/>
    </x:row>
    <x:row r="155" ht="28" customHeight="1">
      <x:c r="A155" s="21" t="n">
        <x:v>151</x:v>
      </x:c>
      <x:c r="B155" s="21" t="n">
        <x:f>ROUNDUP(A155/50,0)</x:f>
        <x:v>4</x:v>
      </x:c>
      <x:c r="C155" s="21" t="n">
        <x:f>MOD(A155-1,50)+1</x:f>
        <x:v>1</x:v>
      </x:c>
      <x:c r="D155" s="29" t="str">
        <x:v>μέγας, μεγάλη, μέγα</x:v>
      </x:c>
      <x:c r="E155" s="29" t="str">
        <x:v>μέγας</x:v>
      </x:c>
      <x:c r="F155" s="27" t="str">
        <x:v>megas</x:v>
      </x:c>
      <x:c r="G155" s="20" t="str">
        <x:v>big (literally or figuratively, in a very wide application)</x:v>
      </x:c>
      <x:c r="H155" s="20" t="str"/>
      <x:c r="I155" s="21" t="n">
        <x:v>13</x:v>
      </x:c>
      <x:c r="J155" s="21" t="str">
        <x:v>BBG 課序</x:v>
      </x:c>
      <x:c r="K155" s="21" t="str">
        <x:v>G3173</x:v>
      </x:c>
      <x:c r="L155" s="21" t="str">
        <x:v>否</x:v>
      </x:c>
      <x:c r="M155" s="21" t="str"/>
      <x:c r="N155" s="21" t="str">
        <x:v>source_and_lexicon_matched</x:v>
      </x:c>
      <x:c r="O155" s="21" t="str">
        <x:v>rule_generated_from_official_table</x:v>
      </x:c>
      <x:c r="P155" s="21" t="n">
        <x:v>3</x:v>
      </x:c>
      <x:c r="Q155" s="21" t="str">
        <x:v>https://doxa.billmounce.com/Flashcards%20%28BBG%29.pdf</x:v>
      </x:c>
      <x:c r="R155" s="16" t="str"/>
    </x:row>
    <x:row r="156" ht="28" customHeight="1">
      <x:c r="A156" s="21" t="n">
        <x:v>152</x:v>
      </x:c>
      <x:c r="B156" s="21" t="n">
        <x:f>ROUNDUP(A156/50,0)</x:f>
        <x:v>4</x:v>
      </x:c>
      <x:c r="C156" s="21" t="n">
        <x:f>MOD(A156-1,50)+1</x:f>
        <x:v>2</x:v>
      </x:c>
      <x:c r="D156" s="29" t="str">
        <x:v>πόλις, -εως, ἡ</x:v>
      </x:c>
      <x:c r="E156" s="29" t="str">
        <x:v>πόλις</x:v>
      </x:c>
      <x:c r="F156" s="27" t="str">
        <x:v>polis</x:v>
      </x:c>
      <x:c r="G156" s="20" t="str">
        <x:v>a town (properly, with walls, of greater or less size)</x:v>
      </x:c>
      <x:c r="H156" s="20" t="str"/>
      <x:c r="I156" s="21" t="n">
        <x:v>13</x:v>
      </x:c>
      <x:c r="J156" s="21" t="str">
        <x:v>BBG 課序</x:v>
      </x:c>
      <x:c r="K156" s="21" t="str">
        <x:v>G4172</x:v>
      </x:c>
      <x:c r="L156" s="21" t="str">
        <x:v>否</x:v>
      </x:c>
      <x:c r="M156" s="21" t="str"/>
      <x:c r="N156" s="21" t="str">
        <x:v>source_and_lexicon_matched</x:v>
      </x:c>
      <x:c r="O156" s="21" t="str">
        <x:v>rule_generated_from_official_table</x:v>
      </x:c>
      <x:c r="P156" s="21" t="n">
        <x:v>3</x:v>
      </x:c>
      <x:c r="Q156" s="21" t="str">
        <x:v>https://doxa.billmounce.com/Flashcards%20%28BBG%29.pdf</x:v>
      </x:c>
      <x:c r="R156" s="16" t="str"/>
    </x:row>
    <x:row r="157" ht="28" customHeight="1">
      <x:c r="A157" s="21" t="n">
        <x:v>153</x:v>
      </x:c>
      <x:c r="B157" s="21" t="n">
        <x:f>ROUNDUP(A157/50,0)</x:f>
        <x:v>4</x:v>
      </x:c>
      <x:c r="C157" s="21" t="n">
        <x:f>MOD(A157-1,50)+1</x:f>
        <x:v>3</x:v>
      </x:c>
      <x:c r="D157" s="29" t="str">
        <x:v>πολύς, πολλή, πολύ</x:v>
      </x:c>
      <x:c r="E157" s="29" t="str">
        <x:v>πολύς</x:v>
      </x:c>
      <x:c r="F157" s="27" t="str">
        <x:v>polus</x:v>
      </x:c>
      <x:c r="G157" s="20" t="str">
        <x:v>(singular) much (in any respect) or (plural) many; neuter (singular) as adverbial, largely; neuter (plural) as adverb or noun often, mostly, largely</x:v>
      </x:c>
      <x:c r="H157" s="20" t="str"/>
      <x:c r="I157" s="21" t="n">
        <x:v>13</x:v>
      </x:c>
      <x:c r="J157" s="21" t="str">
        <x:v>BBG 課序</x:v>
      </x:c>
      <x:c r="K157" s="21" t="str">
        <x:v>G4183</x:v>
      </x:c>
      <x:c r="L157" s="21" t="str">
        <x:v>否</x:v>
      </x:c>
      <x:c r="M157" s="21" t="str"/>
      <x:c r="N157" s="21" t="str">
        <x:v>source_and_lexicon_matched</x:v>
      </x:c>
      <x:c r="O157" s="21" t="str">
        <x:v>rule_generated_from_official_table</x:v>
      </x:c>
      <x:c r="P157" s="21" t="n">
        <x:v>3</x:v>
      </x:c>
      <x:c r="Q157" s="21" t="str">
        <x:v>https://doxa.billmounce.com/Flashcards%20%28BBG%29.pdf</x:v>
      </x:c>
      <x:c r="R157" s="16" t="str"/>
    </x:row>
    <x:row r="158" ht="28" customHeight="1">
      <x:c r="A158" s="21" t="n">
        <x:v>154</x:v>
      </x:c>
      <x:c r="B158" s="21" t="n">
        <x:f>ROUNDUP(A158/50,0)</x:f>
        <x:v>4</x:v>
      </x:c>
      <x:c r="C158" s="21" t="n">
        <x:f>MOD(A158-1,50)+1</x:f>
        <x:v>4</x:v>
      </x:c>
      <x:c r="D158" s="29" t="str">
        <x:v>πῶς</x:v>
      </x:c>
      <x:c r="E158" s="29" t="str">
        <x:v>πῶς</x:v>
      </x:c>
      <x:c r="F158" s="27" t="str">
        <x:v>pōs</x:v>
      </x:c>
      <x:c r="G158" s="20" t="str">
        <x:v>an interrogative particle of manner; in what way? (sometimes the question is indirect, how?); also as exclamation, how much!</x:v>
      </x:c>
      <x:c r="H158" s="20" t="str"/>
      <x:c r="I158" s="21" t="n">
        <x:v>13</x:v>
      </x:c>
      <x:c r="J158" s="21" t="str">
        <x:v>BBG 課序</x:v>
      </x:c>
      <x:c r="K158" s="21" t="str">
        <x:v>G4459</x:v>
      </x:c>
      <x:c r="L158" s="21" t="str">
        <x:v>否</x:v>
      </x:c>
      <x:c r="M158" s="21" t="str"/>
      <x:c r="N158" s="21" t="str">
        <x:v>source_and_lexicon_matched</x:v>
      </x:c>
      <x:c r="O158" s="21" t="str">
        <x:v>rule_generated_from_official_table</x:v>
      </x:c>
      <x:c r="P158" s="21" t="n">
        <x:v>3</x:v>
      </x:c>
      <x:c r="Q158" s="21" t="str">
        <x:v>https://doxa.billmounce.com/Flashcards%20%28BBG%29.pdf</x:v>
      </x:c>
      <x:c r="R158" s="16" t="str"/>
    </x:row>
    <x:row r="159" ht="28" customHeight="1">
      <x:c r="A159" s="21" t="n">
        <x:v>155</x:v>
      </x:c>
      <x:c r="B159" s="21" t="n">
        <x:f>ROUNDUP(A159/50,0)</x:f>
        <x:v>4</x:v>
      </x:c>
      <x:c r="C159" s="21" t="n">
        <x:f>MOD(A159-1,50)+1</x:f>
        <x:v>5</x:v>
      </x:c>
      <x:c r="D159" s="29" t="str">
        <x:v>σημεῖον, -ου, τό</x:v>
      </x:c>
      <x:c r="E159" s="29" t="str">
        <x:v>σημεῖον</x:v>
      </x:c>
      <x:c r="F159" s="27" t="str">
        <x:v>sēmeion</x:v>
      </x:c>
      <x:c r="G159" s="20" t="str">
        <x:v>an indication, especially ceremonially or supernaturally</x:v>
      </x:c>
      <x:c r="H159" s="20" t="str"/>
      <x:c r="I159" s="21" t="n">
        <x:v>13</x:v>
      </x:c>
      <x:c r="J159" s="21" t="str">
        <x:v>BBG 課序</x:v>
      </x:c>
      <x:c r="K159" s="21" t="str">
        <x:v>G4592</x:v>
      </x:c>
      <x:c r="L159" s="21" t="str">
        <x:v>否</x:v>
      </x:c>
      <x:c r="M159" s="21" t="str"/>
      <x:c r="N159" s="21" t="str">
        <x:v>source_and_lexicon_matched</x:v>
      </x:c>
      <x:c r="O159" s="21" t="str">
        <x:v>rule_generated_from_official_table</x:v>
      </x:c>
      <x:c r="P159" s="21" t="n">
        <x:v>3</x:v>
      </x:c>
      <x:c r="Q159" s="21" t="str">
        <x:v>https://doxa.billmounce.com/Flashcards%20%28BBG%29.pdf</x:v>
      </x:c>
      <x:c r="R159" s="16" t="str"/>
    </x:row>
    <x:row r="160" ht="28" customHeight="1">
      <x:c r="A160" s="21" t="n">
        <x:v>156</x:v>
      </x:c>
      <x:c r="B160" s="21" t="n">
        <x:f>ROUNDUP(A160/50,0)</x:f>
        <x:v>4</x:v>
      </x:c>
      <x:c r="C160" s="21" t="n">
        <x:f>MOD(A160-1,50)+1</x:f>
        <x:v>6</x:v>
      </x:c>
      <x:c r="D160" s="29" t="str">
        <x:v>ἀλήθεια, -ας, ἡ</x:v>
      </x:c>
      <x:c r="E160" s="29" t="str">
        <x:v>ἀλήθεια</x:v>
      </x:c>
      <x:c r="F160" s="27" t="str">
        <x:v>alētheia</x:v>
      </x:c>
      <x:c r="G160" s="20" t="str">
        <x:v>truth</x:v>
      </x:c>
      <x:c r="H160" s="20" t="str"/>
      <x:c r="I160" s="21" t="n">
        <x:v>14</x:v>
      </x:c>
      <x:c r="J160" s="21" t="str">
        <x:v>BBG 課序</x:v>
      </x:c>
      <x:c r="K160" s="21" t="str">
        <x:v>G225</x:v>
      </x:c>
      <x:c r="L160" s="21" t="str">
        <x:v>否</x:v>
      </x:c>
      <x:c r="M160" s="21" t="str"/>
      <x:c r="N160" s="21" t="str">
        <x:v>source_and_lexicon_matched</x:v>
      </x:c>
      <x:c r="O160" s="21" t="str">
        <x:v>rule_generated_from_official_table</x:v>
      </x:c>
      <x:c r="P160" s="21" t="n">
        <x:v>3</x:v>
      </x:c>
      <x:c r="Q160" s="21" t="str">
        <x:v>https://doxa.billmounce.com/Flashcards%20%28BBG%29.pdf</x:v>
      </x:c>
      <x:c r="R160" s="16" t="str"/>
    </x:row>
    <x:row r="161" ht="28" customHeight="1">
      <x:c r="A161" s="21" t="n">
        <x:v>157</x:v>
      </x:c>
      <x:c r="B161" s="21" t="n">
        <x:f>ROUNDUP(A161/50,0)</x:f>
        <x:v>4</x:v>
      </x:c>
      <x:c r="C161" s="21" t="n">
        <x:f>MOD(A161-1,50)+1</x:f>
        <x:v>7</x:v>
      </x:c>
      <x:c r="D161" s="29" t="str">
        <x:v>εἰρήνη, -ης, ἡ</x:v>
      </x:c>
      <x:c r="E161" s="29" t="str">
        <x:v>εἰρήνη</x:v>
      </x:c>
      <x:c r="F161" s="27" t="str">
        <x:v>eirēnē</x:v>
      </x:c>
      <x:c r="G161" s="20" t="str">
        <x:v>peace (literally or figuratively); by implication, prosperity</x:v>
      </x:c>
      <x:c r="H161" s="20" t="str"/>
      <x:c r="I161" s="21" t="n">
        <x:v>14</x:v>
      </x:c>
      <x:c r="J161" s="21" t="str">
        <x:v>BBG 課序</x:v>
      </x:c>
      <x:c r="K161" s="21" t="str">
        <x:v>G1515</x:v>
      </x:c>
      <x:c r="L161" s="21" t="str">
        <x:v>否</x:v>
      </x:c>
      <x:c r="M161" s="21" t="str"/>
      <x:c r="N161" s="21" t="str">
        <x:v>source_and_lexicon_matched</x:v>
      </x:c>
      <x:c r="O161" s="21" t="str">
        <x:v>rule_generated_from_official_table</x:v>
      </x:c>
      <x:c r="P161" s="21" t="n">
        <x:v>3</x:v>
      </x:c>
      <x:c r="Q161" s="21" t="str">
        <x:v>https://doxa.billmounce.com/Flashcards%20%28BBG%29.pdf</x:v>
      </x:c>
      <x:c r="R161" s="16" t="str"/>
    </x:row>
    <x:row r="162" ht="28" customHeight="1">
      <x:c r="A162" s="21" t="n">
        <x:v>158</x:v>
      </x:c>
      <x:c r="B162" s="21" t="n">
        <x:f>ROUNDUP(A162/50,0)</x:f>
        <x:v>4</x:v>
      </x:c>
      <x:c r="C162" s="21" t="n">
        <x:f>MOD(A162-1,50)+1</x:f>
        <x:v>8</x:v>
      </x:c>
      <x:c r="D162" s="29" t="str">
        <x:v>ἐνώπιον</x:v>
      </x:c>
      <x:c r="E162" s="29" t="str">
        <x:v>ἐνώπιον</x:v>
      </x:c>
      <x:c r="F162" s="27" t="str">
        <x:v>enōpion</x:v>
      </x:c>
      <x:c r="G162" s="20" t="str">
        <x:v>in the face of (literally or figuratively)</x:v>
      </x:c>
      <x:c r="H162" s="20" t="str"/>
      <x:c r="I162" s="21" t="n">
        <x:v>14</x:v>
      </x:c>
      <x:c r="J162" s="21" t="str">
        <x:v>BBG 課序</x:v>
      </x:c>
      <x:c r="K162" s="21" t="str">
        <x:v>G1799</x:v>
      </x:c>
      <x:c r="L162" s="21" t="str">
        <x:v>否</x:v>
      </x:c>
      <x:c r="M162" s="21" t="str"/>
      <x:c r="N162" s="21" t="str">
        <x:v>source_and_lexicon_matched</x:v>
      </x:c>
      <x:c r="O162" s="21" t="str">
        <x:v>rule_generated_from_official_table</x:v>
      </x:c>
      <x:c r="P162" s="21" t="n">
        <x:v>3</x:v>
      </x:c>
      <x:c r="Q162" s="21" t="str">
        <x:v>https://doxa.billmounce.com/Flashcards%20%28BBG%29.pdf</x:v>
      </x:c>
      <x:c r="R162" s="16" t="str"/>
    </x:row>
    <x:row r="163" ht="28" customHeight="1">
      <x:c r="A163" s="21" t="n">
        <x:v>159</x:v>
      </x:c>
      <x:c r="B163" s="21" t="n">
        <x:f>ROUNDUP(A163/50,0)</x:f>
        <x:v>4</x:v>
      </x:c>
      <x:c r="C163" s="21" t="n">
        <x:f>MOD(A163-1,50)+1</x:f>
        <x:v>9</x:v>
      </x:c>
      <x:c r="D163" s="29" t="str">
        <x:v>ἐπαγγελία, -ας, ἡ</x:v>
      </x:c>
      <x:c r="E163" s="29" t="str">
        <x:v>ἐπαγγελία</x:v>
      </x:c>
      <x:c r="F163" s="27" t="str">
        <x:v>epangelia</x:v>
      </x:c>
      <x:c r="G163" s="20" t="str">
        <x:v>an announcement (for information, assent or pledge; especially a divine assurance of good)</x:v>
      </x:c>
      <x:c r="H163" s="20" t="str"/>
      <x:c r="I163" s="21" t="n">
        <x:v>14</x:v>
      </x:c>
      <x:c r="J163" s="21" t="str">
        <x:v>BBG 課序</x:v>
      </x:c>
      <x:c r="K163" s="21" t="str">
        <x:v>G1860</x:v>
      </x:c>
      <x:c r="L163" s="21" t="str">
        <x:v>否</x:v>
      </x:c>
      <x:c r="M163" s="21" t="str"/>
      <x:c r="N163" s="21" t="str">
        <x:v>source_and_lexicon_matched</x:v>
      </x:c>
      <x:c r="O163" s="21" t="str">
        <x:v>rule_generated_from_official_table</x:v>
      </x:c>
      <x:c r="P163" s="21" t="n">
        <x:v>3</x:v>
      </x:c>
      <x:c r="Q163" s="21" t="str">
        <x:v>https://doxa.billmounce.com/Flashcards%20%28BBG%29.pdf</x:v>
      </x:c>
      <x:c r="R163" s="16" t="str"/>
    </x:row>
    <x:row r="164" ht="28" customHeight="1">
      <x:c r="A164" s="21" t="n">
        <x:v>160</x:v>
      </x:c>
      <x:c r="B164" s="21" t="n">
        <x:f>ROUNDUP(A164/50,0)</x:f>
        <x:v>4</x:v>
      </x:c>
      <x:c r="C164" s="21" t="n">
        <x:f>MOD(A164-1,50)+1</x:f>
        <x:v>10</x:v>
      </x:c>
      <x:c r="D164" s="29" t="str">
        <x:v>ἑπτά</x:v>
      </x:c>
      <x:c r="E164" s="29" t="str">
        <x:v>ἑπτά</x:v>
      </x:c>
      <x:c r="F164" s="27" t="str">
        <x:v>hepta</x:v>
      </x:c>
      <x:c r="G164" s="20" t="str">
        <x:v>seven</x:v>
      </x:c>
      <x:c r="H164" s="20" t="str"/>
      <x:c r="I164" s="21" t="n">
        <x:v>14</x:v>
      </x:c>
      <x:c r="J164" s="21" t="str">
        <x:v>BBG 課序</x:v>
      </x:c>
      <x:c r="K164" s="21" t="str">
        <x:v>G2033</x:v>
      </x:c>
      <x:c r="L164" s="21" t="str">
        <x:v>否</x:v>
      </x:c>
      <x:c r="M164" s="21" t="str"/>
      <x:c r="N164" s="21" t="str">
        <x:v>source_and_lexicon_matched</x:v>
      </x:c>
      <x:c r="O164" s="21" t="str">
        <x:v>rule_generated_from_official_table</x:v>
      </x:c>
      <x:c r="P164" s="21" t="n">
        <x:v>3</x:v>
      </x:c>
      <x:c r="Q164" s="21" t="str">
        <x:v>https://doxa.billmounce.com/Flashcards%20%28BBG%29.pdf</x:v>
      </x:c>
      <x:c r="R164" s="16" t="str"/>
    </x:row>
    <x:row r="165" ht="28" customHeight="1">
      <x:c r="A165" s="21" t="n">
        <x:v>161</x:v>
      </x:c>
      <x:c r="B165" s="21" t="n">
        <x:f>ROUNDUP(A165/50,0)</x:f>
        <x:v>4</x:v>
      </x:c>
      <x:c r="C165" s="21" t="n">
        <x:f>MOD(A165-1,50)+1</x:f>
        <x:v>11</x:v>
      </x:c>
      <x:c r="D165" s="29" t="str">
        <x:v>θρόνος, -ου, ὁ</x:v>
      </x:c>
      <x:c r="E165" s="29" t="str">
        <x:v>θρόνος</x:v>
      </x:c>
      <x:c r="F165" s="27" t="str">
        <x:v>thronos</x:v>
      </x:c>
      <x:c r="G165" s="20" t="str">
        <x:v>a stately seat ("throne"); by implication, power or (concretely) a potentate</x:v>
      </x:c>
      <x:c r="H165" s="20" t="str"/>
      <x:c r="I165" s="21" t="n">
        <x:v>14</x:v>
      </x:c>
      <x:c r="J165" s="21" t="str">
        <x:v>BBG 課序</x:v>
      </x:c>
      <x:c r="K165" s="21" t="str">
        <x:v>G2362</x:v>
      </x:c>
      <x:c r="L165" s="21" t="str">
        <x:v>否</x:v>
      </x:c>
      <x:c r="M165" s="21" t="str"/>
      <x:c r="N165" s="21" t="str">
        <x:v>source_and_lexicon_matched</x:v>
      </x:c>
      <x:c r="O165" s="21" t="str">
        <x:v>rule_generated_from_official_table</x:v>
      </x:c>
      <x:c r="P165" s="21" t="n">
        <x:v>3</x:v>
      </x:c>
      <x:c r="Q165" s="21" t="str">
        <x:v>https://doxa.billmounce.com/Flashcards%20%28BBG%29.pdf</x:v>
      </x:c>
      <x:c r="R165" s="16" t="str"/>
    </x:row>
    <x:row r="166" ht="28" customHeight="1">
      <x:c r="A166" s="21" t="n">
        <x:v>162</x:v>
      </x:c>
      <x:c r="B166" s="21" t="n">
        <x:f>ROUNDUP(A166/50,0)</x:f>
        <x:v>4</x:v>
      </x:c>
      <x:c r="C166" s="21" t="n">
        <x:f>MOD(A166-1,50)+1</x:f>
        <x:v>12</x:v>
      </x:c>
      <x:c r="D166" s="29" t="str">
        <x:v>Ἰερουσαλήμ, ἡ</x:v>
      </x:c>
      <x:c r="E166" s="29" t="str">
        <x:v>Ἰερουσαλήμ</x:v>
      </x:c>
      <x:c r="F166" s="27" t="str">
        <x:v>Ierousalēm</x:v>
      </x:c>
      <x:c r="G166" s="20" t="str">
        <x:v>Hierusalem (i.e. Jerushalem), the capitol of Palestine</x:v>
      </x:c>
      <x:c r="H166" s="20" t="str"/>
      <x:c r="I166" s="21" t="n">
        <x:v>14</x:v>
      </x:c>
      <x:c r="J166" s="21" t="str">
        <x:v>BBG 課序</x:v>
      </x:c>
      <x:c r="K166" s="21" t="str">
        <x:v>G2419</x:v>
      </x:c>
      <x:c r="L166" s="21" t="str">
        <x:v>是</x:v>
      </x:c>
      <x:c r="M166" s="21" t="str">
        <x:v>地名</x:v>
      </x:c>
      <x:c r="N166" s="21" t="str">
        <x:v>source_and_lexicon_matched</x:v>
      </x:c>
      <x:c r="O166" s="21" t="str">
        <x:v>rule_generated_from_official_table</x:v>
      </x:c>
      <x:c r="P166" s="21" t="n">
        <x:v>3</x:v>
      </x:c>
      <x:c r="Q166" s="21" t="str">
        <x:v>https://doxa.billmounce.com/Flashcards%20%28BBG%29.pdf</x:v>
      </x:c>
      <x:c r="R166" s="16" t="str"/>
    </x:row>
    <x:row r="167" ht="28" customHeight="1">
      <x:c r="A167" s="21" t="n">
        <x:v>163</x:v>
      </x:c>
      <x:c r="B167" s="21" t="n">
        <x:f>ROUNDUP(A167/50,0)</x:f>
        <x:v>4</x:v>
      </x:c>
      <x:c r="C167" s="21" t="n">
        <x:f>MOD(A167-1,50)+1</x:f>
        <x:v>13</x:v>
      </x:c>
      <x:c r="D167" s="29" t="str">
        <x:v>κατά</x:v>
      </x:c>
      <x:c r="E167" s="29" t="str">
        <x:v>κατά</x:v>
      </x:c>
      <x:c r="F167" s="27" t="str">
        <x:v>kata</x:v>
      </x:c>
      <x:c r="G167" s="20" t="str">
        <x:v>(prepositionally) down (in place or time), in varied relations (according to the case (genitive, dative or accusative) with which it is joined)</x:v>
      </x:c>
      <x:c r="H167" s="20" t="str"/>
      <x:c r="I167" s="21" t="n">
        <x:v>14</x:v>
      </x:c>
      <x:c r="J167" s="21" t="str">
        <x:v>BBG 課序</x:v>
      </x:c>
      <x:c r="K167" s="21" t="str">
        <x:v>G2596</x:v>
      </x:c>
      <x:c r="L167" s="21" t="str">
        <x:v>否</x:v>
      </x:c>
      <x:c r="M167" s="21" t="str"/>
      <x:c r="N167" s="21" t="str">
        <x:v>source_and_lexicon_matched</x:v>
      </x:c>
      <x:c r="O167" s="21" t="str">
        <x:v>rule_generated_from_official_table</x:v>
      </x:c>
      <x:c r="P167" s="21" t="n">
        <x:v>3</x:v>
      </x:c>
      <x:c r="Q167" s="21" t="str">
        <x:v>https://doxa.billmounce.com/Flashcards%20%28BBG%29.pdf</x:v>
      </x:c>
      <x:c r="R167" s="16" t="str"/>
    </x:row>
    <x:row r="168" ht="28" customHeight="1">
      <x:c r="A168" s="21" t="n">
        <x:v>164</x:v>
      </x:c>
      <x:c r="B168" s="21" t="n">
        <x:f>ROUNDUP(A168/50,0)</x:f>
        <x:v>4</x:v>
      </x:c>
      <x:c r="C168" s="21" t="n">
        <x:f>MOD(A168-1,50)+1</x:f>
        <x:v>14</x:v>
      </x:c>
      <x:c r="D168" s="29" t="str">
        <x:v>κεφαλή, -ῆς, ἡ</x:v>
      </x:c>
      <x:c r="E168" s="29" t="str">
        <x:v>κεφαλή</x:v>
      </x:c>
      <x:c r="F168" s="27" t="str">
        <x:v>kephalē</x:v>
      </x:c>
      <x:c r="G168" s="20" t="str">
        <x:v>the head (as the part most readily taken hold of), literally or figuratively</x:v>
      </x:c>
      <x:c r="H168" s="20" t="str"/>
      <x:c r="I168" s="21" t="n">
        <x:v>14</x:v>
      </x:c>
      <x:c r="J168" s="21" t="str">
        <x:v>BBG 課序</x:v>
      </x:c>
      <x:c r="K168" s="21" t="str">
        <x:v>G2776</x:v>
      </x:c>
      <x:c r="L168" s="21" t="str">
        <x:v>否</x:v>
      </x:c>
      <x:c r="M168" s="21" t="str"/>
      <x:c r="N168" s="21" t="str">
        <x:v>source_and_lexicon_matched</x:v>
      </x:c>
      <x:c r="O168" s="21" t="str">
        <x:v>rule_generated_from_official_table</x:v>
      </x:c>
      <x:c r="P168" s="21" t="n">
        <x:v>3</x:v>
      </x:c>
      <x:c r="Q168" s="21" t="str">
        <x:v>https://doxa.billmounce.com/Flashcards%20%28BBG%29.pdf</x:v>
      </x:c>
      <x:c r="R168" s="16" t="str"/>
    </x:row>
    <x:row r="169" ht="28" customHeight="1">
      <x:c r="A169" s="21" t="n">
        <x:v>165</x:v>
      </x:c>
      <x:c r="B169" s="21" t="n">
        <x:f>ROUNDUP(A169/50,0)</x:f>
        <x:v>4</x:v>
      </x:c>
      <x:c r="C169" s="21" t="n">
        <x:f>MOD(A169-1,50)+1</x:f>
        <x:v>15</x:v>
      </x:c>
      <x:c r="D169" s="29" t="str">
        <x:v>ὁδός, -οῦ, ἡ</x:v>
      </x:c>
      <x:c r="E169" s="29" t="str">
        <x:v>ὁδός</x:v>
      </x:c>
      <x:c r="F169" s="27" t="str">
        <x:v>hodos</x:v>
      </x:c>
      <x:c r="G169" s="20" t="str">
        <x:v>a road; by implication, a progress (the route, act or distance); figuratively, a mode or means</x:v>
      </x:c>
      <x:c r="H169" s="20" t="str"/>
      <x:c r="I169" s="21" t="n">
        <x:v>14</x:v>
      </x:c>
      <x:c r="J169" s="21" t="str">
        <x:v>BBG 課序</x:v>
      </x:c>
      <x:c r="K169" s="21" t="str">
        <x:v>G3598</x:v>
      </x:c>
      <x:c r="L169" s="21" t="str">
        <x:v>否</x:v>
      </x:c>
      <x:c r="M169" s="21" t="str"/>
      <x:c r="N169" s="21" t="str">
        <x:v>source_and_lexicon_matched</x:v>
      </x:c>
      <x:c r="O169" s="21" t="str">
        <x:v>rule_generated_from_official_table</x:v>
      </x:c>
      <x:c r="P169" s="21" t="n">
        <x:v>3</x:v>
      </x:c>
      <x:c r="Q169" s="21" t="str">
        <x:v>https://doxa.billmounce.com/Flashcards%20%28BBG%29.pdf</x:v>
      </x:c>
      <x:c r="R169" s="16" t="str"/>
    </x:row>
    <x:row r="170" ht="28" customHeight="1">
      <x:c r="A170" s="21" t="n">
        <x:v>166</x:v>
      </x:c>
      <x:c r="B170" s="21" t="n">
        <x:f>ROUNDUP(A170/50,0)</x:f>
        <x:v>4</x:v>
      </x:c>
      <x:c r="C170" s="21" t="n">
        <x:f>MOD(A170-1,50)+1</x:f>
        <x:v>16</x:v>
      </x:c>
      <x:c r="D170" s="29" t="str">
        <x:v>ὅς, ἥ, ὅ</x:v>
      </x:c>
      <x:c r="E170" s="29" t="str">
        <x:v>ὅς</x:v>
      </x:c>
      <x:c r="F170" s="27" t="str">
        <x:v>hos</x:v>
      </x:c>
      <x:c r="G170" s="20" t="str">
        <x:v>the relatively (sometimes demonstrative) pronoun, who, which, what, that</x:v>
      </x:c>
      <x:c r="H170" s="20" t="str"/>
      <x:c r="I170" s="21" t="n">
        <x:v>14</x:v>
      </x:c>
      <x:c r="J170" s="21" t="str">
        <x:v>BBG 課序</x:v>
      </x:c>
      <x:c r="K170" s="21" t="str">
        <x:v>G3739</x:v>
      </x:c>
      <x:c r="L170" s="21" t="str">
        <x:v>否</x:v>
      </x:c>
      <x:c r="M170" s="21" t="str"/>
      <x:c r="N170" s="21" t="str">
        <x:v>source_and_lexicon_matched</x:v>
      </x:c>
      <x:c r="O170" s="21" t="str">
        <x:v>rule_generated_from_official_table</x:v>
      </x:c>
      <x:c r="P170" s="21" t="n">
        <x:v>3</x:v>
      </x:c>
      <x:c r="Q170" s="21" t="str">
        <x:v>https://doxa.billmounce.com/Flashcards%20%28BBG%29.pdf</x:v>
      </x:c>
      <x:c r="R170" s="16" t="str"/>
    </x:row>
    <x:row r="171" ht="28" customHeight="1">
      <x:c r="A171" s="21" t="n">
        <x:v>167</x:v>
      </x:c>
      <x:c r="B171" s="21" t="n">
        <x:f>ROUNDUP(A171/50,0)</x:f>
        <x:v>4</x:v>
      </x:c>
      <x:c r="C171" s="21" t="n">
        <x:f>MOD(A171-1,50)+1</x:f>
        <x:v>17</x:v>
      </x:c>
      <x:c r="D171" s="29" t="str">
        <x:v>ὅτε</x:v>
      </x:c>
      <x:c r="E171" s="29" t="str">
        <x:v>ὅτε</x:v>
      </x:c>
      <x:c r="F171" s="27" t="str">
        <x:v>hote</x:v>
      </x:c>
      <x:c r="G171" s="20" t="str">
        <x:v>at which (thing) too, i.e. when</x:v>
      </x:c>
      <x:c r="H171" s="20" t="str"/>
      <x:c r="I171" s="21" t="n">
        <x:v>14</x:v>
      </x:c>
      <x:c r="J171" s="21" t="str">
        <x:v>BBG 課序</x:v>
      </x:c>
      <x:c r="K171" s="21" t="str">
        <x:v>G3753</x:v>
      </x:c>
      <x:c r="L171" s="21" t="str">
        <x:v>否</x:v>
      </x:c>
      <x:c r="M171" s="21" t="str"/>
      <x:c r="N171" s="21" t="str">
        <x:v>source_and_lexicon_matched</x:v>
      </x:c>
      <x:c r="O171" s="21" t="str">
        <x:v>rule_generated_from_official_table</x:v>
      </x:c>
      <x:c r="P171" s="21" t="n">
        <x:v>3</x:v>
      </x:c>
      <x:c r="Q171" s="21" t="str">
        <x:v>https://doxa.billmounce.com/Flashcards%20%28BBG%29.pdf</x:v>
      </x:c>
      <x:c r="R171" s="16" t="str"/>
    </x:row>
    <x:row r="172" ht="28" customHeight="1">
      <x:c r="A172" s="21" t="n">
        <x:v>168</x:v>
      </x:c>
      <x:c r="B172" s="21" t="n">
        <x:f>ROUNDUP(A172/50,0)</x:f>
        <x:v>4</x:v>
      </x:c>
      <x:c r="C172" s="21" t="n">
        <x:f>MOD(A172-1,50)+1</x:f>
        <x:v>18</x:v>
      </x:c>
      <x:c r="D172" s="29" t="str">
        <x:v>οὕτως</x:v>
      </x:c>
      <x:c r="E172" s="29" t="str">
        <x:v>οὕτως</x:v>
      </x:c>
      <x:c r="F172" s="27" t="str">
        <x:v>houtōs</x:v>
      </x:c>
      <x:c r="G172" s="20" t="str"/>
      <x:c r="H172" s="20" t="str"/>
      <x:c r="I172" s="21" t="n">
        <x:v>14</x:v>
      </x:c>
      <x:c r="J172" s="21" t="str">
        <x:v>BBG 課序</x:v>
      </x:c>
      <x:c r="K172" s="21" t="str"/>
      <x:c r="L172" s="21" t="str">
        <x:v>否</x:v>
      </x:c>
      <x:c r="M172" s="21" t="str"/>
      <x:c r="N172" s="21" t="str">
        <x:v>source_verified_lexicon_pending</x:v>
      </x:c>
      <x:c r="O172" s="21" t="str">
        <x:v>rule_generated_from_official_table</x:v>
      </x:c>
      <x:c r="P172" s="21" t="n">
        <x:v>3</x:v>
      </x:c>
      <x:c r="Q172" s="21" t="str">
        <x:v>https://doxa.billmounce.com/Flashcards%20%28BBG%29.pdf</x:v>
      </x:c>
      <x:c r="R172" s="16" t="str"/>
    </x:row>
    <x:row r="173" ht="28" customHeight="1">
      <x:c r="A173" s="21" t="n">
        <x:v>169</x:v>
      </x:c>
      <x:c r="B173" s="21" t="n">
        <x:f>ROUNDUP(A173/50,0)</x:f>
        <x:v>4</x:v>
      </x:c>
      <x:c r="C173" s="21" t="n">
        <x:f>MOD(A173-1,50)+1</x:f>
        <x:v>19</x:v>
      </x:c>
      <x:c r="D173" s="29" t="str">
        <x:v>πλοῖον, -ου, τό</x:v>
      </x:c>
      <x:c r="E173" s="29" t="str">
        <x:v>πλοῖον</x:v>
      </x:c>
      <x:c r="F173" s="27" t="str">
        <x:v>ploion</x:v>
      </x:c>
      <x:c r="G173" s="20" t="str">
        <x:v>a sailer, i.e. vessel</x:v>
      </x:c>
      <x:c r="H173" s="20" t="str"/>
      <x:c r="I173" s="21" t="n">
        <x:v>14</x:v>
      </x:c>
      <x:c r="J173" s="21" t="str">
        <x:v>BBG 課序</x:v>
      </x:c>
      <x:c r="K173" s="21" t="str">
        <x:v>G4143</x:v>
      </x:c>
      <x:c r="L173" s="21" t="str">
        <x:v>否</x:v>
      </x:c>
      <x:c r="M173" s="21" t="str"/>
      <x:c r="N173" s="21" t="str">
        <x:v>source_and_lexicon_matched</x:v>
      </x:c>
      <x:c r="O173" s="21" t="str">
        <x:v>rule_generated_from_official_table</x:v>
      </x:c>
      <x:c r="P173" s="21" t="n">
        <x:v>3</x:v>
      </x:c>
      <x:c r="Q173" s="21" t="str">
        <x:v>https://doxa.billmounce.com/Flashcards%20%28BBG%29.pdf</x:v>
      </x:c>
      <x:c r="R173" s="16" t="str"/>
    </x:row>
    <x:row r="174" ht="28" customHeight="1">
      <x:c r="A174" s="21" t="n">
        <x:v>170</x:v>
      </x:c>
      <x:c r="B174" s="21" t="n">
        <x:f>ROUNDUP(A174/50,0)</x:f>
        <x:v>4</x:v>
      </x:c>
      <x:c r="C174" s="21" t="n">
        <x:f>MOD(A174-1,50)+1</x:f>
        <x:v>20</x:v>
      </x:c>
      <x:c r="D174" s="29" t="str">
        <x:v>ῥῆμα, -ατος, τό</x:v>
      </x:c>
      <x:c r="E174" s="29" t="str">
        <x:v>ῥῆμα</x:v>
      </x:c>
      <x:c r="F174" s="27" t="str">
        <x:v>rhēma</x:v>
      </x:c>
      <x:c r="G174" s="20" t="str">
        <x:v>an utterance (individually, collectively or specially),; by implication, a matter or topic (especially of narration, command or dispute); with a negative naught whatever</x:v>
      </x:c>
      <x:c r="H174" s="20" t="str"/>
      <x:c r="I174" s="21" t="n">
        <x:v>14</x:v>
      </x:c>
      <x:c r="J174" s="21" t="str">
        <x:v>BBG 課序</x:v>
      </x:c>
      <x:c r="K174" s="21" t="str">
        <x:v>G4487</x:v>
      </x:c>
      <x:c r="L174" s="21" t="str">
        <x:v>否</x:v>
      </x:c>
      <x:c r="M174" s="21" t="str"/>
      <x:c r="N174" s="21" t="str">
        <x:v>source_and_lexicon_matched</x:v>
      </x:c>
      <x:c r="O174" s="21" t="str">
        <x:v>rule_generated_from_official_table</x:v>
      </x:c>
      <x:c r="P174" s="21" t="n">
        <x:v>3</x:v>
      </x:c>
      <x:c r="Q174" s="21" t="str">
        <x:v>https://doxa.billmounce.com/Flashcards%20%28BBG%29.pdf</x:v>
      </x:c>
      <x:c r="R174" s="16" t="str"/>
    </x:row>
    <x:row r="175" ht="28" customHeight="1">
      <x:c r="A175" s="21" t="n">
        <x:v>171</x:v>
      </x:c>
      <x:c r="B175" s="21" t="n">
        <x:f>ROUNDUP(A175/50,0)</x:f>
        <x:v>4</x:v>
      </x:c>
      <x:c r="C175" s="21" t="n">
        <x:f>MOD(A175-1,50)+1</x:f>
        <x:v>21</x:v>
      </x:c>
      <x:c r="D175" s="29" t="str">
        <x:v>τέ</x:v>
      </x:c>
      <x:c r="E175" s="29" t="str">
        <x:v>τέ</x:v>
      </x:c>
      <x:c r="F175" s="27" t="str">
        <x:v>te</x:v>
      </x:c>
      <x:c r="G175" s="20" t="str">
        <x:v>both or also (properly, as correlation of G2532 (καί))</x:v>
      </x:c>
      <x:c r="H175" s="20" t="str"/>
      <x:c r="I175" s="21" t="n">
        <x:v>14</x:v>
      </x:c>
      <x:c r="J175" s="21" t="str">
        <x:v>BBG 課序</x:v>
      </x:c>
      <x:c r="K175" s="21" t="str">
        <x:v>G5037</x:v>
      </x:c>
      <x:c r="L175" s="21" t="str">
        <x:v>否</x:v>
      </x:c>
      <x:c r="M175" s="21" t="str"/>
      <x:c r="N175" s="21" t="str">
        <x:v>source_and_lexicon_matched</x:v>
      </x:c>
      <x:c r="O175" s="21" t="str">
        <x:v>rule_generated_from_official_table</x:v>
      </x:c>
      <x:c r="P175" s="21" t="n">
        <x:v>3</x:v>
      </x:c>
      <x:c r="Q175" s="21" t="str">
        <x:v>https://doxa.billmounce.com/Flashcards%20%28BBG%29.pdf</x:v>
      </x:c>
      <x:c r="R175" s="16" t="str"/>
    </x:row>
    <x:row r="176" ht="28" customHeight="1">
      <x:c r="A176" s="21" t="n">
        <x:v>172</x:v>
      </x:c>
      <x:c r="B176" s="21" t="n">
        <x:f>ROUNDUP(A176/50,0)</x:f>
        <x:v>4</x:v>
      </x:c>
      <x:c r="C176" s="21" t="n">
        <x:f>MOD(A176-1,50)+1</x:f>
        <x:v>22</x:v>
      </x:c>
      <x:c r="D176" s="29" t="str">
        <x:v>χείρ, χειρός, ἡ</x:v>
      </x:c>
      <x:c r="E176" s="29" t="str">
        <x:v>χείρ</x:v>
      </x:c>
      <x:c r="F176" s="27" t="str">
        <x:v>cheir</x:v>
      </x:c>
      <x:c r="G176" s="20" t="str">
        <x:v>the hand (literally or figuratively (power); especially (by Hebraism) a means or instrument)</x:v>
      </x:c>
      <x:c r="H176" s="20" t="str"/>
      <x:c r="I176" s="21" t="n">
        <x:v>14</x:v>
      </x:c>
      <x:c r="J176" s="21" t="str">
        <x:v>BBG 課序</x:v>
      </x:c>
      <x:c r="K176" s="21" t="str">
        <x:v>G5495</x:v>
      </x:c>
      <x:c r="L176" s="21" t="str">
        <x:v>否</x:v>
      </x:c>
      <x:c r="M176" s="21" t="str"/>
      <x:c r="N176" s="21" t="str">
        <x:v>source_and_lexicon_matched</x:v>
      </x:c>
      <x:c r="O176" s="21" t="str">
        <x:v>rule_generated_from_official_table</x:v>
      </x:c>
      <x:c r="P176" s="21" t="n">
        <x:v>3</x:v>
      </x:c>
      <x:c r="Q176" s="21" t="str">
        <x:v>https://doxa.billmounce.com/Flashcards%20%28BBG%29.pdf</x:v>
      </x:c>
      <x:c r="R176" s="16" t="str"/>
    </x:row>
    <x:row r="177" ht="28" customHeight="1">
      <x:c r="A177" s="21" t="n">
        <x:v>173</x:v>
      </x:c>
      <x:c r="B177" s="21" t="n">
        <x:f>ROUNDUP(A177/50,0)</x:f>
        <x:v>4</x:v>
      </x:c>
      <x:c r="C177" s="21" t="n">
        <x:f>MOD(A177-1,50)+1</x:f>
        <x:v>23</x:v>
      </x:c>
      <x:c r="D177" s="29" t="str">
        <x:v>ψυχή, -ῆς, ἡ</x:v>
      </x:c>
      <x:c r="E177" s="29" t="str">
        <x:v>ψυχή</x:v>
      </x:c>
      <x:c r="F177" s="27" t="str">
        <x:v>psuchē</x:v>
      </x:c>
      <x:c r="G177" s="20" t="str">
        <x:v>breath, i.e. (by implication) spirit, abstractly or concretely (the animal sentient principle only; thus distinguished on the one hand from G4151 (πνεῦμα), which is the rational and immortal soul; and on the other from G2222 (ζωή), which is mere vitality, even of plants: these terms thus exactly correspond respectively to the Hebrew H05315, H07307 and H02416)</x:v>
      </x:c>
      <x:c r="H177" s="20" t="str"/>
      <x:c r="I177" s="21" t="n">
        <x:v>14</x:v>
      </x:c>
      <x:c r="J177" s="21" t="str">
        <x:v>BBG 課序</x:v>
      </x:c>
      <x:c r="K177" s="21" t="str">
        <x:v>G5590</x:v>
      </x:c>
      <x:c r="L177" s="21" t="str">
        <x:v>否</x:v>
      </x:c>
      <x:c r="M177" s="21" t="str"/>
      <x:c r="N177" s="21" t="str">
        <x:v>source_and_lexicon_matched</x:v>
      </x:c>
      <x:c r="O177" s="21" t="str">
        <x:v>rule_generated_from_official_table</x:v>
      </x:c>
      <x:c r="P177" s="21" t="n">
        <x:v>3</x:v>
      </x:c>
      <x:c r="Q177" s="21" t="str">
        <x:v>https://doxa.billmounce.com/Flashcards%20%28BBG%29.pdf</x:v>
      </x:c>
      <x:c r="R177" s="16" t="str"/>
    </x:row>
    <x:row r="178" ht="28" customHeight="1">
      <x:c r="A178" s="21" t="n">
        <x:v>174</x:v>
      </x:c>
      <x:c r="B178" s="21" t="n">
        <x:f>ROUNDUP(A178/50,0)</x:f>
        <x:v>4</x:v>
      </x:c>
      <x:c r="C178" s="21" t="n">
        <x:f>MOD(A178-1,50)+1</x:f>
        <x:v>24</x:v>
      </x:c>
      <x:c r="D178" s="29" t="str">
        <x:v>ἀκούω</x:v>
      </x:c>
      <x:c r="E178" s="29" t="str">
        <x:v>ἀκούω</x:v>
      </x:c>
      <x:c r="F178" s="27" t="str">
        <x:v>akouō</x:v>
      </x:c>
      <x:c r="G178" s="20" t="str">
        <x:v>to hear (in various senses)</x:v>
      </x:c>
      <x:c r="H178" s="20" t="str"/>
      <x:c r="I178" s="21" t="n">
        <x:v>16</x:v>
      </x:c>
      <x:c r="J178" s="21" t="str">
        <x:v>BBG 課序</x:v>
      </x:c>
      <x:c r="K178" s="21" t="str">
        <x:v>G191</x:v>
      </x:c>
      <x:c r="L178" s="21" t="str">
        <x:v>否</x:v>
      </x:c>
      <x:c r="M178" s="21" t="str"/>
      <x:c r="N178" s="21" t="str">
        <x:v>source_and_lexicon_matched</x:v>
      </x:c>
      <x:c r="O178" s="21" t="str">
        <x:v>rule_generated_from_official_table</x:v>
      </x:c>
      <x:c r="P178" s="21" t="n">
        <x:v>3</x:v>
      </x:c>
      <x:c r="Q178" s="21" t="str">
        <x:v>https://doxa.billmounce.com/Flashcards%20%28BBG%29.pdf</x:v>
      </x:c>
      <x:c r="R178" s="16" t="str"/>
    </x:row>
    <x:row r="179" ht="28" customHeight="1">
      <x:c r="A179" s="21" t="n">
        <x:v>175</x:v>
      </x:c>
      <x:c r="B179" s="21" t="n">
        <x:f>ROUNDUP(A179/50,0)</x:f>
        <x:v>4</x:v>
      </x:c>
      <x:c r="C179" s="21" t="n">
        <x:f>MOD(A179-1,50)+1</x:f>
        <x:v>25</x:v>
      </x:c>
      <x:c r="D179" s="29" t="str">
        <x:v>βλέπω</x:v>
      </x:c>
      <x:c r="E179" s="29" t="str">
        <x:v>βλέπω</x:v>
      </x:c>
      <x:c r="F179" s="27" t="str">
        <x:v>blepō</x:v>
      </x:c>
      <x:c r="G179" s="20" t="str">
        <x:v>to look at (literally or figuratively)</x:v>
      </x:c>
      <x:c r="H179" s="20" t="str"/>
      <x:c r="I179" s="21" t="n">
        <x:v>16</x:v>
      </x:c>
      <x:c r="J179" s="21" t="str">
        <x:v>BBG 課序</x:v>
      </x:c>
      <x:c r="K179" s="21" t="str">
        <x:v>G991</x:v>
      </x:c>
      <x:c r="L179" s="21" t="str">
        <x:v>否</x:v>
      </x:c>
      <x:c r="M179" s="21" t="str"/>
      <x:c r="N179" s="21" t="str">
        <x:v>source_and_lexicon_matched</x:v>
      </x:c>
      <x:c r="O179" s="21" t="str">
        <x:v>rule_generated_from_official_table</x:v>
      </x:c>
      <x:c r="P179" s="21" t="n">
        <x:v>3</x:v>
      </x:c>
      <x:c r="Q179" s="21" t="str">
        <x:v>https://doxa.billmounce.com/Flashcards%20%28BBG%29.pdf</x:v>
      </x:c>
      <x:c r="R179" s="16" t="str"/>
    </x:row>
    <x:row r="180" ht="28" customHeight="1">
      <x:c r="A180" s="21" t="n">
        <x:v>176</x:v>
      </x:c>
      <x:c r="B180" s="21" t="n">
        <x:f>ROUNDUP(A180/50,0)</x:f>
        <x:v>4</x:v>
      </x:c>
      <x:c r="C180" s="21" t="n">
        <x:f>MOD(A180-1,50)+1</x:f>
        <x:v>26</x:v>
      </x:c>
      <x:c r="D180" s="29" t="str">
        <x:v>ἔχω</x:v>
      </x:c>
      <x:c r="E180" s="29" t="str">
        <x:v>ἔχω</x:v>
      </x:c>
      <x:c r="F180" s="27" t="str">
        <x:v>echō</x:v>
      </x:c>
      <x:c r="G180" s="20" t="str">
        <x:v>to hold (used in very various applications, literally or figuratively, direct or remote; such as possession; ability, contiuity, relation, or condition)</x:v>
      </x:c>
      <x:c r="H180" s="20" t="str"/>
      <x:c r="I180" s="21" t="n">
        <x:v>16</x:v>
      </x:c>
      <x:c r="J180" s="21" t="str">
        <x:v>BBG 課序</x:v>
      </x:c>
      <x:c r="K180" s="21" t="str">
        <x:v>G2192</x:v>
      </x:c>
      <x:c r="L180" s="21" t="str">
        <x:v>否</x:v>
      </x:c>
      <x:c r="M180" s="21" t="str"/>
      <x:c r="N180" s="21" t="str">
        <x:v>source_and_lexicon_matched</x:v>
      </x:c>
      <x:c r="O180" s="21" t="str">
        <x:v>rule_generated_from_official_table</x:v>
      </x:c>
      <x:c r="P180" s="21" t="n">
        <x:v>3</x:v>
      </x:c>
      <x:c r="Q180" s="21" t="str">
        <x:v>https://doxa.billmounce.com/Flashcards%20%28BBG%29.pdf</x:v>
      </x:c>
      <x:c r="R180" s="16" t="str"/>
    </x:row>
    <x:row r="181" ht="28" customHeight="1">
      <x:c r="A181" s="21" t="n">
        <x:v>177</x:v>
      </x:c>
      <x:c r="B181" s="21" t="n">
        <x:f>ROUNDUP(A181/50,0)</x:f>
        <x:v>4</x:v>
      </x:c>
      <x:c r="C181" s="21" t="n">
        <x:f>MOD(A181-1,50)+1</x:f>
        <x:v>27</x:v>
      </x:c>
      <x:c r="D181" s="29" t="str">
        <x:v>λύω</x:v>
      </x:c>
      <x:c r="E181" s="29" t="str">
        <x:v>λύω</x:v>
      </x:c>
      <x:c r="F181" s="27" t="str">
        <x:v>luō</x:v>
      </x:c>
      <x:c r="G181" s="20" t="str">
        <x:v>to "loosen" (literally or figuratively)</x:v>
      </x:c>
      <x:c r="H181" s="20" t="str"/>
      <x:c r="I181" s="21" t="n">
        <x:v>16</x:v>
      </x:c>
      <x:c r="J181" s="21" t="str">
        <x:v>BBG 課序</x:v>
      </x:c>
      <x:c r="K181" s="21" t="str">
        <x:v>G3089</x:v>
      </x:c>
      <x:c r="L181" s="21" t="str">
        <x:v>否</x:v>
      </x:c>
      <x:c r="M181" s="21" t="str"/>
      <x:c r="N181" s="21" t="str">
        <x:v>source_and_lexicon_matched</x:v>
      </x:c>
      <x:c r="O181" s="21" t="str">
        <x:v>rule_generated_from_official_table</x:v>
      </x:c>
      <x:c r="P181" s="21" t="n">
        <x:v>3</x:v>
      </x:c>
      <x:c r="Q181" s="21" t="str">
        <x:v>https://doxa.billmounce.com/Flashcards%20%28BBG%29.pdf</x:v>
      </x:c>
      <x:c r="R181" s="16" t="str"/>
    </x:row>
    <x:row r="182" ht="28" customHeight="1">
      <x:c r="A182" s="21" t="n">
        <x:v>178</x:v>
      </x:c>
      <x:c r="B182" s="21" t="n">
        <x:f>ROUNDUP(A182/50,0)</x:f>
        <x:v>4</x:v>
      </x:c>
      <x:c r="C182" s="21" t="n">
        <x:f>MOD(A182-1,50)+1</x:f>
        <x:v>28</x:v>
      </x:c>
      <x:c r="D182" s="29" t="str">
        <x:v>νόμος, -ου, ὁ</x:v>
      </x:c>
      <x:c r="E182" s="29" t="str">
        <x:v>νόμος</x:v>
      </x:c>
      <x:c r="F182" s="27" t="str">
        <x:v>nomos</x:v>
      </x:c>
      <x:c r="G182" s="20" t="str">
        <x:v>law (through the idea of prescriptive usage), genitive case (regulation), specially, (of Moses (including the volume); also of the Gospel), or figuratively (a principle)</x:v>
      </x:c>
      <x:c r="H182" s="20" t="str"/>
      <x:c r="I182" s="21" t="n">
        <x:v>16</x:v>
      </x:c>
      <x:c r="J182" s="21" t="str">
        <x:v>BBG 課序</x:v>
      </x:c>
      <x:c r="K182" s="21" t="str">
        <x:v>G3551</x:v>
      </x:c>
      <x:c r="L182" s="21" t="str">
        <x:v>否</x:v>
      </x:c>
      <x:c r="M182" s="21" t="str"/>
      <x:c r="N182" s="21" t="str">
        <x:v>source_and_lexicon_matched</x:v>
      </x:c>
      <x:c r="O182" s="21" t="str">
        <x:v>rule_generated_from_official_table</x:v>
      </x:c>
      <x:c r="P182" s="21" t="n">
        <x:v>3</x:v>
      </x:c>
      <x:c r="Q182" s="21" t="str">
        <x:v>https://doxa.billmounce.com/Flashcards%20%28BBG%29.pdf</x:v>
      </x:c>
      <x:c r="R182" s="16" t="str"/>
    </x:row>
    <x:row r="183" ht="28" customHeight="1">
      <x:c r="A183" s="21" t="n">
        <x:v>179</x:v>
      </x:c>
      <x:c r="B183" s="21" t="n">
        <x:f>ROUNDUP(A183/50,0)</x:f>
        <x:v>4</x:v>
      </x:c>
      <x:c r="C183" s="21" t="n">
        <x:f>MOD(A183-1,50)+1</x:f>
        <x:v>29</x:v>
      </x:c>
      <x:c r="D183" s="29" t="str">
        <x:v>ὅπου</x:v>
      </x:c>
      <x:c r="E183" s="29" t="str">
        <x:v>ὅπου</x:v>
      </x:c>
      <x:c r="F183" s="27" t="str">
        <x:v>hopou</x:v>
      </x:c>
      <x:c r="G183" s="20" t="str">
        <x:v>what(-ever) where, i.e. at whichever spot</x:v>
      </x:c>
      <x:c r="H183" s="20" t="str"/>
      <x:c r="I183" s="21" t="n">
        <x:v>16</x:v>
      </x:c>
      <x:c r="J183" s="21" t="str">
        <x:v>BBG 課序</x:v>
      </x:c>
      <x:c r="K183" s="21" t="str">
        <x:v>G3699</x:v>
      </x:c>
      <x:c r="L183" s="21" t="str">
        <x:v>否</x:v>
      </x:c>
      <x:c r="M183" s="21" t="str"/>
      <x:c r="N183" s="21" t="str">
        <x:v>source_and_lexicon_matched</x:v>
      </x:c>
      <x:c r="O183" s="21" t="str">
        <x:v>rule_generated_from_official_table</x:v>
      </x:c>
      <x:c r="P183" s="21" t="n">
        <x:v>3</x:v>
      </x:c>
      <x:c r="Q183" s="21" t="str">
        <x:v>https://doxa.billmounce.com/Flashcards%20%28BBG%29.pdf</x:v>
      </x:c>
      <x:c r="R183" s="16" t="str"/>
    </x:row>
    <x:row r="184" ht="28" customHeight="1">
      <x:c r="A184" s="21" t="n">
        <x:v>180</x:v>
      </x:c>
      <x:c r="B184" s="21" t="n">
        <x:f>ROUNDUP(A184/50,0)</x:f>
        <x:v>4</x:v>
      </x:c>
      <x:c r="C184" s="21" t="n">
        <x:f>MOD(A184-1,50)+1</x:f>
        <x:v>30</x:v>
      </x:c>
      <x:c r="D184" s="29" t="str">
        <x:v>πιστεύω</x:v>
      </x:c>
      <x:c r="E184" s="29" t="str">
        <x:v>πιστεύω</x:v>
      </x:c>
      <x:c r="F184" s="27" t="str">
        <x:v>pisteuō</x:v>
      </x:c>
      <x:c r="G184" s="20" t="str">
        <x:v>to have faith (in, upon, or with respect to, a person or thing), i.e. credit; by implication, to entrust (especially one's spiritual well-being to Christ)</x:v>
      </x:c>
      <x:c r="H184" s="20" t="str"/>
      <x:c r="I184" s="21" t="n">
        <x:v>16</x:v>
      </x:c>
      <x:c r="J184" s="21" t="str">
        <x:v>BBG 課序</x:v>
      </x:c>
      <x:c r="K184" s="21" t="str">
        <x:v>G4100</x:v>
      </x:c>
      <x:c r="L184" s="21" t="str">
        <x:v>否</x:v>
      </x:c>
      <x:c r="M184" s="21" t="str"/>
      <x:c r="N184" s="21" t="str">
        <x:v>source_and_lexicon_matched</x:v>
      </x:c>
      <x:c r="O184" s="21" t="str">
        <x:v>rule_generated_from_official_table</x:v>
      </x:c>
      <x:c r="P184" s="21" t="n">
        <x:v>3</x:v>
      </x:c>
      <x:c r="Q184" s="21" t="str">
        <x:v>https://doxa.billmounce.com/Flashcards%20%28BBG%29.pdf</x:v>
      </x:c>
      <x:c r="R184" s="16" t="str"/>
    </x:row>
    <x:row r="185" ht="28" customHeight="1">
      <x:c r="A185" s="21" t="n">
        <x:v>181</x:v>
      </x:c>
      <x:c r="B185" s="21" t="n">
        <x:f>ROUNDUP(A185/50,0)</x:f>
        <x:v>4</x:v>
      </x:c>
      <x:c r="C185" s="21" t="n">
        <x:f>MOD(A185-1,50)+1</x:f>
        <x:v>31</x:v>
      </x:c>
      <x:c r="D185" s="29" t="str">
        <x:v>πρόσωπον, -ου, τό</x:v>
      </x:c>
      <x:c r="E185" s="29" t="str">
        <x:v>πρόσωπον</x:v>
      </x:c>
      <x:c r="F185" s="27" t="str">
        <x:v>prosōpon</x:v>
      </x:c>
      <x:c r="G185" s="20" t="str">
        <x:v>the front (as being towards view), i.e. the countenance, aspect, appearance, surface; by implication, presence, person</x:v>
      </x:c>
      <x:c r="H185" s="20" t="str"/>
      <x:c r="I185" s="21" t="n">
        <x:v>16</x:v>
      </x:c>
      <x:c r="J185" s="21" t="str">
        <x:v>BBG 課序</x:v>
      </x:c>
      <x:c r="K185" s="21" t="str">
        <x:v>G4383</x:v>
      </x:c>
      <x:c r="L185" s="21" t="str">
        <x:v>否</x:v>
      </x:c>
      <x:c r="M185" s="21" t="str"/>
      <x:c r="N185" s="21" t="str">
        <x:v>source_and_lexicon_matched</x:v>
      </x:c>
      <x:c r="O185" s="21" t="str">
        <x:v>rule_generated_from_official_table</x:v>
      </x:c>
      <x:c r="P185" s="21" t="n">
        <x:v>4</x:v>
      </x:c>
      <x:c r="Q185" s="21" t="str">
        <x:v>https://doxa.billmounce.com/Flashcards%20%28BBG%29.pdf</x:v>
      </x:c>
      <x:c r="R185" s="16" t="str"/>
    </x:row>
    <x:row r="186" ht="28" customHeight="1">
      <x:c r="A186" s="21" t="n">
        <x:v>182</x:v>
      </x:c>
      <x:c r="B186" s="21" t="n">
        <x:f>ROUNDUP(A186/50,0)</x:f>
        <x:v>4</x:v>
      </x:c>
      <x:c r="C186" s="21" t="n">
        <x:f>MOD(A186-1,50)+1</x:f>
        <x:v>32</x:v>
      </x:c>
      <x:c r="D186" s="29" t="str">
        <x:v>τότε</x:v>
      </x:c>
      <x:c r="E186" s="29" t="str">
        <x:v>τότε</x:v>
      </x:c>
      <x:c r="F186" s="27" t="str">
        <x:v>tote</x:v>
      </x:c>
      <x:c r="G186" s="20" t="str">
        <x:v>the when, i.e. at the time that (of the past or future, also in consecution)</x:v>
      </x:c>
      <x:c r="H186" s="20" t="str"/>
      <x:c r="I186" s="21" t="n">
        <x:v>16</x:v>
      </x:c>
      <x:c r="J186" s="21" t="str">
        <x:v>BBG 課序</x:v>
      </x:c>
      <x:c r="K186" s="21" t="str">
        <x:v>G5119</x:v>
      </x:c>
      <x:c r="L186" s="21" t="str">
        <x:v>否</x:v>
      </x:c>
      <x:c r="M186" s="21" t="str"/>
      <x:c r="N186" s="21" t="str">
        <x:v>source_and_lexicon_matched</x:v>
      </x:c>
      <x:c r="O186" s="21" t="str">
        <x:v>rule_generated_from_official_table</x:v>
      </x:c>
      <x:c r="P186" s="21" t="n">
        <x:v>4</x:v>
      </x:c>
      <x:c r="Q186" s="21" t="str">
        <x:v>https://doxa.billmounce.com/Flashcards%20%28BBG%29.pdf</x:v>
      </x:c>
      <x:c r="R186" s="16" t="str"/>
    </x:row>
    <x:row r="187" ht="28" customHeight="1">
      <x:c r="A187" s="21" t="n">
        <x:v>183</x:v>
      </x:c>
      <x:c r="B187" s="21" t="n">
        <x:f>ROUNDUP(A187/50,0)</x:f>
        <x:v>4</x:v>
      </x:c>
      <x:c r="C187" s="21" t="n">
        <x:f>MOD(A187-1,50)+1</x:f>
        <x:v>33</x:v>
      </x:c>
      <x:c r="D187" s="29" t="str">
        <x:v>τυφλός, -ή, -όν</x:v>
      </x:c>
      <x:c r="E187" s="29" t="str">
        <x:v>τυφλός</x:v>
      </x:c>
      <x:c r="F187" s="27" t="str">
        <x:v>tuphlos</x:v>
      </x:c>
      <x:c r="G187" s="20" t="str">
        <x:v>opaque (as if smoky), i.e. (by analogy) blind (physically or mentally)</x:v>
      </x:c>
      <x:c r="H187" s="20" t="str"/>
      <x:c r="I187" s="21" t="n">
        <x:v>16</x:v>
      </x:c>
      <x:c r="J187" s="21" t="str">
        <x:v>BBG 課序</x:v>
      </x:c>
      <x:c r="K187" s="21" t="str">
        <x:v>G5185</x:v>
      </x:c>
      <x:c r="L187" s="21" t="str">
        <x:v>否</x:v>
      </x:c>
      <x:c r="M187" s="21" t="str"/>
      <x:c r="N187" s="21" t="str">
        <x:v>source_and_lexicon_matched</x:v>
      </x:c>
      <x:c r="O187" s="21" t="str">
        <x:v>rule_generated_from_official_table</x:v>
      </x:c>
      <x:c r="P187" s="21" t="n">
        <x:v>4</x:v>
      </x:c>
      <x:c r="Q187" s="21" t="str">
        <x:v>https://doxa.billmounce.com/Flashcards%20%28BBG%29.pdf</x:v>
      </x:c>
      <x:c r="R187" s="16" t="str"/>
    </x:row>
    <x:row r="188" ht="28" customHeight="1">
      <x:c r="A188" s="21" t="n">
        <x:v>184</x:v>
      </x:c>
      <x:c r="B188" s="21" t="n">
        <x:f>ROUNDUP(A188/50,0)</x:f>
        <x:v>4</x:v>
      </x:c>
      <x:c r="C188" s="21" t="n">
        <x:f>MOD(A188-1,50)+1</x:f>
        <x:v>34</x:v>
      </x:c>
      <x:c r="D188" s="29" t="str">
        <x:v>χαρά, -ᾶς, ἡ</x:v>
      </x:c>
      <x:c r="E188" s="29" t="str">
        <x:v>χαρά</x:v>
      </x:c>
      <x:c r="F188" s="27" t="str">
        <x:v>chara</x:v>
      </x:c>
      <x:c r="G188" s="20" t="str">
        <x:v>cheerfulness, i.e. calm delight</x:v>
      </x:c>
      <x:c r="H188" s="20" t="str"/>
      <x:c r="I188" s="21" t="n">
        <x:v>16</x:v>
      </x:c>
      <x:c r="J188" s="21" t="str">
        <x:v>BBG 課序</x:v>
      </x:c>
      <x:c r="K188" s="21" t="str">
        <x:v>G5479</x:v>
      </x:c>
      <x:c r="L188" s="21" t="str">
        <x:v>否</x:v>
      </x:c>
      <x:c r="M188" s="21" t="str"/>
      <x:c r="N188" s="21" t="str">
        <x:v>source_and_lexicon_matched</x:v>
      </x:c>
      <x:c r="O188" s="21" t="str">
        <x:v>rule_generated_from_official_table</x:v>
      </x:c>
      <x:c r="P188" s="21" t="n">
        <x:v>4</x:v>
      </x:c>
      <x:c r="Q188" s="21" t="str">
        <x:v>https://doxa.billmounce.com/Flashcards%20%28BBG%29.pdf</x:v>
      </x:c>
      <x:c r="R188" s="16" t="str"/>
    </x:row>
    <x:row r="189" ht="28" customHeight="1">
      <x:c r="A189" s="21" t="n">
        <x:v>185</x:v>
      </x:c>
      <x:c r="B189" s="21" t="n">
        <x:f>ROUNDUP(A189/50,0)</x:f>
        <x:v>4</x:v>
      </x:c>
      <x:c r="C189" s="21" t="n">
        <x:f>MOD(A189-1,50)+1</x:f>
        <x:v>35</x:v>
      </x:c>
      <x:c r="D189" s="29" t="str">
        <x:v>ἀγαπάω</x:v>
      </x:c>
      <x:c r="E189" s="29" t="str">
        <x:v>ἀγαπάω</x:v>
      </x:c>
      <x:c r="F189" s="27" t="str">
        <x:v>agapaō</x:v>
      </x:c>
      <x:c r="G189" s="20" t="str">
        <x:v>to love (in a social or moral sense)</x:v>
      </x:c>
      <x:c r="H189" s="20" t="str"/>
      <x:c r="I189" s="21" t="n">
        <x:v>17</x:v>
      </x:c>
      <x:c r="J189" s="21" t="str">
        <x:v>BBG 課序</x:v>
      </x:c>
      <x:c r="K189" s="21" t="str">
        <x:v>G25</x:v>
      </x:c>
      <x:c r="L189" s="21" t="str">
        <x:v>否</x:v>
      </x:c>
      <x:c r="M189" s="21" t="str"/>
      <x:c r="N189" s="21" t="str">
        <x:v>source_and_lexicon_matched</x:v>
      </x:c>
      <x:c r="O189" s="21" t="str">
        <x:v>rule_generated_from_official_table</x:v>
      </x:c>
      <x:c r="P189" s="21" t="n">
        <x:v>4</x:v>
      </x:c>
      <x:c r="Q189" s="21" t="str">
        <x:v>https://doxa.billmounce.com/Flashcards%20%28BBG%29.pdf</x:v>
      </x:c>
      <x:c r="R189" s="16" t="str"/>
    </x:row>
    <x:row r="190" ht="28" customHeight="1">
      <x:c r="A190" s="21" t="n">
        <x:v>186</x:v>
      </x:c>
      <x:c r="B190" s="21" t="n">
        <x:f>ROUNDUP(A190/50,0)</x:f>
        <x:v>4</x:v>
      </x:c>
      <x:c r="C190" s="21" t="n">
        <x:f>MOD(A190-1,50)+1</x:f>
        <x:v>36</x:v>
      </x:c>
      <x:c r="D190" s="29" t="str">
        <x:v>δαιμόνιον, -ου, τό</x:v>
      </x:c>
      <x:c r="E190" s="29" t="str">
        <x:v>δαιμόνιον</x:v>
      </x:c>
      <x:c r="F190" s="27" t="str">
        <x:v>daimonion</x:v>
      </x:c>
      <x:c r="G190" s="20" t="str">
        <x:v>a dæmonic being; by extension a deity</x:v>
      </x:c>
      <x:c r="H190" s="20" t="str"/>
      <x:c r="I190" s="21" t="n">
        <x:v>17</x:v>
      </x:c>
      <x:c r="J190" s="21" t="str">
        <x:v>BBG 課序</x:v>
      </x:c>
      <x:c r="K190" s="21" t="str">
        <x:v>G1140</x:v>
      </x:c>
      <x:c r="L190" s="21" t="str">
        <x:v>否</x:v>
      </x:c>
      <x:c r="M190" s="21" t="str"/>
      <x:c r="N190" s="21" t="str">
        <x:v>source_and_lexicon_matched</x:v>
      </x:c>
      <x:c r="O190" s="21" t="str">
        <x:v>rule_generated_from_official_table</x:v>
      </x:c>
      <x:c r="P190" s="21" t="n">
        <x:v>4</x:v>
      </x:c>
      <x:c r="Q190" s="21" t="str">
        <x:v>https://doxa.billmounce.com/Flashcards%20%28BBG%29.pdf</x:v>
      </x:c>
      <x:c r="R190" s="16" t="str"/>
    </x:row>
    <x:row r="191" ht="28" customHeight="1">
      <x:c r="A191" s="21" t="n">
        <x:v>187</x:v>
      </x:c>
      <x:c r="B191" s="21" t="n">
        <x:f>ROUNDUP(A191/50,0)</x:f>
        <x:v>4</x:v>
      </x:c>
      <x:c r="C191" s="21" t="n">
        <x:f>MOD(A191-1,50)+1</x:f>
        <x:v>37</x:v>
      </x:c>
      <x:c r="D191" s="29" t="str">
        <x:v>ζητέω</x:v>
      </x:c>
      <x:c r="E191" s="29" t="str">
        <x:v>ζητέω</x:v>
      </x:c>
      <x:c r="F191" s="27" t="str">
        <x:v>zēteō</x:v>
      </x:c>
      <x:c r="G191" s="20" t="str">
        <x:v>to seek (literally or figuratively); specially, (by Hebraism) to worship (God), or (in a bad sense) to plot (against life)</x:v>
      </x:c>
      <x:c r="H191" s="20" t="str"/>
      <x:c r="I191" s="21" t="n">
        <x:v>17</x:v>
      </x:c>
      <x:c r="J191" s="21" t="str">
        <x:v>BBG 課序</x:v>
      </x:c>
      <x:c r="K191" s="21" t="str">
        <x:v>G2212</x:v>
      </x:c>
      <x:c r="L191" s="21" t="str">
        <x:v>否</x:v>
      </x:c>
      <x:c r="M191" s="21" t="str"/>
      <x:c r="N191" s="21" t="str">
        <x:v>source_and_lexicon_matched</x:v>
      </x:c>
      <x:c r="O191" s="21" t="str">
        <x:v>rule_generated_from_official_table</x:v>
      </x:c>
      <x:c r="P191" s="21" t="n">
        <x:v>4</x:v>
      </x:c>
      <x:c r="Q191" s="21" t="str">
        <x:v>https://doxa.billmounce.com/Flashcards%20%28BBG%29.pdf</x:v>
      </x:c>
      <x:c r="R191" s="16" t="str"/>
    </x:row>
    <x:row r="192" ht="28" customHeight="1">
      <x:c r="A192" s="21" t="n">
        <x:v>188</x:v>
      </x:c>
      <x:c r="B192" s="21" t="n">
        <x:f>ROUNDUP(A192/50,0)</x:f>
        <x:v>4</x:v>
      </x:c>
      <x:c r="C192" s="21" t="n">
        <x:f>MOD(A192-1,50)+1</x:f>
        <x:v>38</x:v>
      </x:c>
      <x:c r="D192" s="29" t="str">
        <x:v>καλέω</x:v>
      </x:c>
      <x:c r="E192" s="29" t="str">
        <x:v>καλέω</x:v>
      </x:c>
      <x:c r="F192" s="27" t="str">
        <x:v>kaleō</x:v>
      </x:c>
      <x:c r="G192" s="20" t="str">
        <x:v>to "call" (properly, aloud, but used in a variety of applications, directly or otherwise)</x:v>
      </x:c>
      <x:c r="H192" s="20" t="str"/>
      <x:c r="I192" s="21" t="n">
        <x:v>17</x:v>
      </x:c>
      <x:c r="J192" s="21" t="str">
        <x:v>BBG 課序</x:v>
      </x:c>
      <x:c r="K192" s="21" t="str">
        <x:v>G2564</x:v>
      </x:c>
      <x:c r="L192" s="21" t="str">
        <x:v>否</x:v>
      </x:c>
      <x:c r="M192" s="21" t="str"/>
      <x:c r="N192" s="21" t="str">
        <x:v>source_and_lexicon_matched</x:v>
      </x:c>
      <x:c r="O192" s="21" t="str">
        <x:v>rule_generated_from_official_table</x:v>
      </x:c>
      <x:c r="P192" s="21" t="n">
        <x:v>4</x:v>
      </x:c>
      <x:c r="Q192" s="21" t="str">
        <x:v>https://doxa.billmounce.com/Flashcards%20%28BBG%29.pdf</x:v>
      </x:c>
      <x:c r="R192" s="16" t="str"/>
    </x:row>
    <x:row r="193" ht="28" customHeight="1">
      <x:c r="A193" s="21" t="n">
        <x:v>189</x:v>
      </x:c>
      <x:c r="B193" s="21" t="n">
        <x:f>ROUNDUP(A193/50,0)</x:f>
        <x:v>4</x:v>
      </x:c>
      <x:c r="C193" s="21" t="n">
        <x:f>MOD(A193-1,50)+1</x:f>
        <x:v>39</x:v>
      </x:c>
      <x:c r="D193" s="29" t="str">
        <x:v>λαλέω</x:v>
      </x:c>
      <x:c r="E193" s="29" t="str">
        <x:v>λαλέω</x:v>
      </x:c>
      <x:c r="F193" s="27" t="str">
        <x:v>laleō</x:v>
      </x:c>
      <x:c r="G193" s="20" t="str">
        <x:v>to talk, i.e. utter words</x:v>
      </x:c>
      <x:c r="H193" s="20" t="str"/>
      <x:c r="I193" s="21" t="n">
        <x:v>17</x:v>
      </x:c>
      <x:c r="J193" s="21" t="str">
        <x:v>BBG 課序</x:v>
      </x:c>
      <x:c r="K193" s="21" t="str">
        <x:v>G2980</x:v>
      </x:c>
      <x:c r="L193" s="21" t="str">
        <x:v>否</x:v>
      </x:c>
      <x:c r="M193" s="21" t="str"/>
      <x:c r="N193" s="21" t="str">
        <x:v>source_and_lexicon_matched</x:v>
      </x:c>
      <x:c r="O193" s="21" t="str">
        <x:v>rule_generated_from_official_table</x:v>
      </x:c>
      <x:c r="P193" s="21" t="n">
        <x:v>4</x:v>
      </x:c>
      <x:c r="Q193" s="21" t="str">
        <x:v>https://doxa.billmounce.com/Flashcards%20%28BBG%29.pdf</x:v>
      </x:c>
      <x:c r="R193" s="16" t="str"/>
    </x:row>
    <x:row r="194" ht="28" customHeight="1">
      <x:c r="A194" s="21" t="n">
        <x:v>190</x:v>
      </x:c>
      <x:c r="B194" s="21" t="n">
        <x:f>ROUNDUP(A194/50,0)</x:f>
        <x:v>4</x:v>
      </x:c>
      <x:c r="C194" s="21" t="n">
        <x:f>MOD(A194-1,50)+1</x:f>
        <x:v>40</x:v>
      </x:c>
      <x:c r="D194" s="29" t="str">
        <x:v>οἶδα</x:v>
      </x:c>
      <x:c r="E194" s="29" t="str">
        <x:v>οἶδα</x:v>
      </x:c>
      <x:c r="F194" s="27" t="str">
        <x:v>oida</x:v>
      </x:c>
      <x:c r="G194" s="20" t="str"/>
      <x:c r="H194" s="20" t="str"/>
      <x:c r="I194" s="21" t="n">
        <x:v>17</x:v>
      </x:c>
      <x:c r="J194" s="21" t="str">
        <x:v>BBG 課序</x:v>
      </x:c>
      <x:c r="K194" s="21" t="str"/>
      <x:c r="L194" s="21" t="str">
        <x:v>否</x:v>
      </x:c>
      <x:c r="M194" s="21" t="str"/>
      <x:c r="N194" s="21" t="str">
        <x:v>source_verified_lexicon_pending</x:v>
      </x:c>
      <x:c r="O194" s="21" t="str">
        <x:v>rule_generated_from_official_table</x:v>
      </x:c>
      <x:c r="P194" s="21" t="n">
        <x:v>4</x:v>
      </x:c>
      <x:c r="Q194" s="21" t="str">
        <x:v>https://doxa.billmounce.com/Flashcards%20%28BBG%29.pdf</x:v>
      </x:c>
      <x:c r="R194" s="16" t="str"/>
    </x:row>
    <x:row r="195" ht="28" customHeight="1">
      <x:c r="A195" s="21" t="n">
        <x:v>191</x:v>
      </x:c>
      <x:c r="B195" s="21" t="n">
        <x:f>ROUNDUP(A195/50,0)</x:f>
        <x:v>4</x:v>
      </x:c>
      <x:c r="C195" s="21" t="n">
        <x:f>MOD(A195-1,50)+1</x:f>
        <x:v>41</x:v>
      </x:c>
      <x:c r="D195" s="29" t="str">
        <x:v>ὅταν</x:v>
      </x:c>
      <x:c r="E195" s="29" t="str">
        <x:v>ὅταν</x:v>
      </x:c>
      <x:c r="F195" s="27" t="str">
        <x:v>hotan</x:v>
      </x:c>
      <x:c r="G195" s="20" t="str">
        <x:v>whenever (implying hypothesis or more or less uncertainty); also causatively (conjunctionally) inasmuch as</x:v>
      </x:c>
      <x:c r="H195" s="20" t="str"/>
      <x:c r="I195" s="21" t="n">
        <x:v>17</x:v>
      </x:c>
      <x:c r="J195" s="21" t="str">
        <x:v>BBG 課序</x:v>
      </x:c>
      <x:c r="K195" s="21" t="str">
        <x:v>G3752</x:v>
      </x:c>
      <x:c r="L195" s="21" t="str">
        <x:v>否</x:v>
      </x:c>
      <x:c r="M195" s="21" t="str"/>
      <x:c r="N195" s="21" t="str">
        <x:v>source_and_lexicon_matched</x:v>
      </x:c>
      <x:c r="O195" s="21" t="str">
        <x:v>rule_generated_from_official_table</x:v>
      </x:c>
      <x:c r="P195" s="21" t="n">
        <x:v>4</x:v>
      </x:c>
      <x:c r="Q195" s="21" t="str">
        <x:v>https://doxa.billmounce.com/Flashcards%20%28BBG%29.pdf</x:v>
      </x:c>
      <x:c r="R195" s="16" t="str"/>
    </x:row>
    <x:row r="196" ht="28" customHeight="1">
      <x:c r="A196" s="21" t="n">
        <x:v>192</x:v>
      </x:c>
      <x:c r="B196" s="21" t="n">
        <x:f>ROUNDUP(A196/50,0)</x:f>
        <x:v>4</x:v>
      </x:c>
      <x:c r="C196" s="21" t="n">
        <x:f>MOD(A196-1,50)+1</x:f>
        <x:v>42</x:v>
      </x:c>
      <x:c r="D196" s="29" t="str">
        <x:v>πλείων, πλεῖον</x:v>
      </x:c>
      <x:c r="E196" s="29" t="str">
        <x:v>πλείων</x:v>
      </x:c>
      <x:c r="F196" s="27" t="str">
        <x:v>pleiōn</x:v>
      </x:c>
      <x:c r="G196" s="20" t="str">
        <x:v>more in quantity, number, or quality; also (in plural) the major portion</x:v>
      </x:c>
      <x:c r="H196" s="20" t="str"/>
      <x:c r="I196" s="21" t="n">
        <x:v>17</x:v>
      </x:c>
      <x:c r="J196" s="21" t="str">
        <x:v>BBG 課序</x:v>
      </x:c>
      <x:c r="K196" s="21" t="str">
        <x:v>G4119</x:v>
      </x:c>
      <x:c r="L196" s="21" t="str">
        <x:v>否</x:v>
      </x:c>
      <x:c r="M196" s="21" t="str"/>
      <x:c r="N196" s="21" t="str">
        <x:v>source_and_lexicon_matched</x:v>
      </x:c>
      <x:c r="O196" s="21" t="str">
        <x:v>rule_generated_from_official_table</x:v>
      </x:c>
      <x:c r="P196" s="21" t="n">
        <x:v>4</x:v>
      </x:c>
      <x:c r="Q196" s="21" t="str">
        <x:v>https://doxa.billmounce.com/Flashcards%20%28BBG%29.pdf</x:v>
      </x:c>
      <x:c r="R196" s="16" t="str"/>
    </x:row>
    <x:row r="197" ht="28" customHeight="1">
      <x:c r="A197" s="21" t="n">
        <x:v>193</x:v>
      </x:c>
      <x:c r="B197" s="21" t="n">
        <x:f>ROUNDUP(A197/50,0)</x:f>
        <x:v>4</x:v>
      </x:c>
      <x:c r="C197" s="21" t="n">
        <x:f>MOD(A197-1,50)+1</x:f>
        <x:v>43</x:v>
      </x:c>
      <x:c r="D197" s="29" t="str">
        <x:v>πληρόω</x:v>
      </x:c>
      <x:c r="E197" s="29" t="str">
        <x:v>πληρόω</x:v>
      </x:c>
      <x:c r="F197" s="27" t="str">
        <x:v>plēroō</x:v>
      </x:c>
      <x:c r="G197" s="20" t="str">
        <x:v>to make replete, i.e. (literally) to cram (a net), level up (a hollow), or (figuratively) to furnish (or imbue, diffuse, influence), satisfy, execute (an office), finish (a period or task), verify (or coincide with a prediction), etc.</x:v>
      </x:c>
      <x:c r="H197" s="20" t="str"/>
      <x:c r="I197" s="21" t="n">
        <x:v>17</x:v>
      </x:c>
      <x:c r="J197" s="21" t="str">
        <x:v>BBG 課序</x:v>
      </x:c>
      <x:c r="K197" s="21" t="str">
        <x:v>G4137</x:v>
      </x:c>
      <x:c r="L197" s="21" t="str">
        <x:v>否</x:v>
      </x:c>
      <x:c r="M197" s="21" t="str"/>
      <x:c r="N197" s="21" t="str">
        <x:v>source_and_lexicon_matched</x:v>
      </x:c>
      <x:c r="O197" s="21" t="str">
        <x:v>rule_generated_from_official_table</x:v>
      </x:c>
      <x:c r="P197" s="21" t="n">
        <x:v>4</x:v>
      </x:c>
      <x:c r="Q197" s="21" t="str">
        <x:v>https://doxa.billmounce.com/Flashcards%20%28BBG%29.pdf</x:v>
      </x:c>
      <x:c r="R197" s="16" t="str"/>
    </x:row>
    <x:row r="198" ht="28" customHeight="1">
      <x:c r="A198" s="21" t="n">
        <x:v>194</x:v>
      </x:c>
      <x:c r="B198" s="21" t="n">
        <x:f>ROUNDUP(A198/50,0)</x:f>
        <x:v>4</x:v>
      </x:c>
      <x:c r="C198" s="21" t="n">
        <x:f>MOD(A198-1,50)+1</x:f>
        <x:v>44</x:v>
      </x:c>
      <x:c r="D198" s="29" t="str">
        <x:v>ποιέω</x:v>
      </x:c>
      <x:c r="E198" s="29" t="str">
        <x:v>ποιέω</x:v>
      </x:c>
      <x:c r="F198" s="27" t="str">
        <x:v>poieō</x:v>
      </x:c>
      <x:c r="G198" s="20" t="str">
        <x:v>to make or do (in a very wide application, more or less direct)</x:v>
      </x:c>
      <x:c r="H198" s="20" t="str"/>
      <x:c r="I198" s="21" t="n">
        <x:v>17</x:v>
      </x:c>
      <x:c r="J198" s="21" t="str">
        <x:v>BBG 課序</x:v>
      </x:c>
      <x:c r="K198" s="21" t="str">
        <x:v>G4160</x:v>
      </x:c>
      <x:c r="L198" s="21" t="str">
        <x:v>否</x:v>
      </x:c>
      <x:c r="M198" s="21" t="str"/>
      <x:c r="N198" s="21" t="str">
        <x:v>source_and_lexicon_matched</x:v>
      </x:c>
      <x:c r="O198" s="21" t="str">
        <x:v>rule_generated_from_official_table</x:v>
      </x:c>
      <x:c r="P198" s="21" t="n">
        <x:v>4</x:v>
      </x:c>
      <x:c r="Q198" s="21" t="str">
        <x:v>https://doxa.billmounce.com/Flashcards%20%28BBG%29.pdf</x:v>
      </x:c>
      <x:c r="R198" s="16" t="str"/>
    </x:row>
    <x:row r="199" ht="28" customHeight="1">
      <x:c r="A199" s="21" t="n">
        <x:v>195</x:v>
      </x:c>
      <x:c r="B199" s="21" t="n">
        <x:f>ROUNDUP(A199/50,0)</x:f>
        <x:v>4</x:v>
      </x:c>
      <x:c r="C199" s="21" t="n">
        <x:f>MOD(A199-1,50)+1</x:f>
        <x:v>45</x:v>
      </x:c>
      <x:c r="D199" s="29" t="str">
        <x:v>τηρέω</x:v>
      </x:c>
      <x:c r="E199" s="29" t="str">
        <x:v>τηρέω</x:v>
      </x:c>
      <x:c r="F199" s="27" t="str">
        <x:v>tēreō</x:v>
      </x:c>
      <x:c r="G199" s="20" t="str">
        <x:v>perhaps akin to G2334 (θεωρέω)); to guard (from loss or injury, properly, by keeping the eye upon; and thus differing from G5442 (φυλάσσω), which is properly to prevent escaping; and from G2892 (κουστωδία), which implies a fortress or full military lines of apparatus), i.e. to note (a prophecy; figuratively, to fulfil a command); by implication, to detain (in custody; figuratively, to maintain); by extension, to withhold (for personal ends; figuratively, to keep unmarried); by extension, to withhold (for personal ends; figuratively, to keep unmarried)</x:v>
      </x:c>
      <x:c r="H199" s="20" t="str"/>
      <x:c r="I199" s="21" t="n">
        <x:v>17</x:v>
      </x:c>
      <x:c r="J199" s="21" t="str">
        <x:v>BBG 課序</x:v>
      </x:c>
      <x:c r="K199" s="21" t="str">
        <x:v>G5083</x:v>
      </x:c>
      <x:c r="L199" s="21" t="str">
        <x:v>否</x:v>
      </x:c>
      <x:c r="M199" s="21" t="str"/>
      <x:c r="N199" s="21" t="str">
        <x:v>source_and_lexicon_matched</x:v>
      </x:c>
      <x:c r="O199" s="21" t="str">
        <x:v>rule_generated_from_official_table</x:v>
      </x:c>
      <x:c r="P199" s="21" t="n">
        <x:v>4</x:v>
      </x:c>
      <x:c r="Q199" s="21" t="str">
        <x:v>https://doxa.billmounce.com/Flashcards%20%28BBG%29.pdf</x:v>
      </x:c>
      <x:c r="R199" s="16" t="str"/>
    </x:row>
    <x:row r="200" ht="28" customHeight="1">
      <x:c r="A200" s="21" t="n">
        <x:v>196</x:v>
      </x:c>
      <x:c r="B200" s="21" t="n">
        <x:f>ROUNDUP(A200/50,0)</x:f>
        <x:v>4</x:v>
      </x:c>
      <x:c r="C200" s="21" t="n">
        <x:f>MOD(A200-1,50)+1</x:f>
        <x:v>46</x:v>
      </x:c>
      <x:c r="D200" s="29" t="str">
        <x:v>ἀποκρίνομαι</x:v>
      </x:c>
      <x:c r="E200" s="29" t="str">
        <x:v>ἀποκρίνομαι</x:v>
      </x:c>
      <x:c r="F200" s="27" t="str">
        <x:v>apokrinomai</x:v>
      </x:c>
      <x:c r="G200" s="20" t="str">
        <x:v>to conclude for oneself, i.e. (by implication) to respond; by Hebraism (compare H06030) to begin to speak (where an address is expected)</x:v>
      </x:c>
      <x:c r="H200" s="20" t="str"/>
      <x:c r="I200" s="21" t="n">
        <x:v>18</x:v>
      </x:c>
      <x:c r="J200" s="21" t="str">
        <x:v>BBG 課序</x:v>
      </x:c>
      <x:c r="K200" s="21" t="str">
        <x:v>G611</x:v>
      </x:c>
      <x:c r="L200" s="21" t="str">
        <x:v>否</x:v>
      </x:c>
      <x:c r="M200" s="21" t="str"/>
      <x:c r="N200" s="21" t="str">
        <x:v>source_and_lexicon_matched</x:v>
      </x:c>
      <x:c r="O200" s="21" t="str">
        <x:v>rule_generated_from_official_table</x:v>
      </x:c>
      <x:c r="P200" s="21" t="n">
        <x:v>4</x:v>
      </x:c>
      <x:c r="Q200" s="21" t="str">
        <x:v>https://doxa.billmounce.com/Flashcards%20%28BBG%29.pdf</x:v>
      </x:c>
      <x:c r="R200" s="16" t="str"/>
    </x:row>
    <x:row r="201" ht="28" customHeight="1">
      <x:c r="A201" s="21" t="n">
        <x:v>197</x:v>
      </x:c>
      <x:c r="B201" s="21" t="n">
        <x:f>ROUNDUP(A201/50,0)</x:f>
        <x:v>4</x:v>
      </x:c>
      <x:c r="C201" s="21" t="n">
        <x:f>MOD(A201-1,50)+1</x:f>
        <x:v>47</x:v>
      </x:c>
      <x:c r="D201" s="29" t="str">
        <x:v>δεῖ</x:v>
      </x:c>
      <x:c r="E201" s="29" t="str">
        <x:v>δεῖ</x:v>
      </x:c>
      <x:c r="F201" s="27" t="str">
        <x:v>dei</x:v>
      </x:c>
      <x:c r="G201" s="20" t="str">
        <x:v>also deon deh-on'; neuter active participle of the same; both used impersonally; it is (was, etc.) necessary (as binding)</x:v>
      </x:c>
      <x:c r="H201" s="20" t="str"/>
      <x:c r="I201" s="21" t="n">
        <x:v>18</x:v>
      </x:c>
      <x:c r="J201" s="21" t="str">
        <x:v>BBG 課序</x:v>
      </x:c>
      <x:c r="K201" s="21" t="str">
        <x:v>G1163</x:v>
      </x:c>
      <x:c r="L201" s="21" t="str">
        <x:v>否</x:v>
      </x:c>
      <x:c r="M201" s="21" t="str"/>
      <x:c r="N201" s="21" t="str">
        <x:v>source_and_lexicon_matched</x:v>
      </x:c>
      <x:c r="O201" s="21" t="str">
        <x:v>rule_generated_from_official_table</x:v>
      </x:c>
      <x:c r="P201" s="21" t="n">
        <x:v>4</x:v>
      </x:c>
      <x:c r="Q201" s="21" t="str">
        <x:v>https://doxa.billmounce.com/Flashcards%20%28BBG%29.pdf</x:v>
      </x:c>
      <x:c r="R201" s="16" t="str"/>
    </x:row>
    <x:row r="202" ht="28" customHeight="1">
      <x:c r="A202" s="21" t="n">
        <x:v>198</x:v>
      </x:c>
      <x:c r="B202" s="21" t="n">
        <x:f>ROUNDUP(A202/50,0)</x:f>
        <x:v>4</x:v>
      </x:c>
      <x:c r="C202" s="21" t="n">
        <x:f>MOD(A202-1,50)+1</x:f>
        <x:v>48</x:v>
      </x:c>
      <x:c r="D202" s="29" t="str">
        <x:v>δύναμαι</x:v>
      </x:c>
      <x:c r="E202" s="29" t="str">
        <x:v>δύναμαι</x:v>
      </x:c>
      <x:c r="F202" s="27" t="str">
        <x:v>dunamai</x:v>
      </x:c>
      <x:c r="G202" s="20" t="str">
        <x:v>to be able or possible</x:v>
      </x:c>
      <x:c r="H202" s="20" t="str"/>
      <x:c r="I202" s="21" t="n">
        <x:v>18</x:v>
      </x:c>
      <x:c r="J202" s="21" t="str">
        <x:v>BBG 課序</x:v>
      </x:c>
      <x:c r="K202" s="21" t="str">
        <x:v>G1410</x:v>
      </x:c>
      <x:c r="L202" s="21" t="str">
        <x:v>否</x:v>
      </x:c>
      <x:c r="M202" s="21" t="str"/>
      <x:c r="N202" s="21" t="str">
        <x:v>source_and_lexicon_matched</x:v>
      </x:c>
      <x:c r="O202" s="21" t="str">
        <x:v>rule_generated_from_official_table</x:v>
      </x:c>
      <x:c r="P202" s="21" t="n">
        <x:v>4</x:v>
      </x:c>
      <x:c r="Q202" s="21" t="str">
        <x:v>https://doxa.billmounce.com/Flashcards%20%28BBG%29.pdf</x:v>
      </x:c>
      <x:c r="R202" s="16" t="str"/>
    </x:row>
    <x:row r="203" ht="28" customHeight="1">
      <x:c r="A203" s="21" t="n">
        <x:v>199</x:v>
      </x:c>
      <x:c r="B203" s="21" t="n">
        <x:f>ROUNDUP(A203/50,0)</x:f>
        <x:v>4</x:v>
      </x:c>
      <x:c r="C203" s="21" t="n">
        <x:f>MOD(A203-1,50)+1</x:f>
        <x:v>49</x:v>
      </x:c>
      <x:c r="D203" s="29" t="str">
        <x:v>ἔρχομαι</x:v>
      </x:c>
      <x:c r="E203" s="29" t="str">
        <x:v>ἔρχομαι</x:v>
      </x:c>
      <x:c r="F203" s="27" t="str">
        <x:v>erchomai</x:v>
      </x:c>
      <x:c r="G203" s="20" t="str">
        <x:v>to come or go (in a great variety of applications, literally and figuratively)</x:v>
      </x:c>
      <x:c r="H203" s="20" t="str"/>
      <x:c r="I203" s="21" t="n">
        <x:v>18</x:v>
      </x:c>
      <x:c r="J203" s="21" t="str">
        <x:v>BBG 課序</x:v>
      </x:c>
      <x:c r="K203" s="21" t="str">
        <x:v>G2064</x:v>
      </x:c>
      <x:c r="L203" s="21" t="str">
        <x:v>否</x:v>
      </x:c>
      <x:c r="M203" s="21" t="str"/>
      <x:c r="N203" s="21" t="str">
        <x:v>source_and_lexicon_matched</x:v>
      </x:c>
      <x:c r="O203" s="21" t="str">
        <x:v>rule_generated_from_official_table</x:v>
      </x:c>
      <x:c r="P203" s="21" t="n">
        <x:v>4</x:v>
      </x:c>
      <x:c r="Q203" s="21" t="str">
        <x:v>https://doxa.billmounce.com/Flashcards%20%28BBG%29.pdf</x:v>
      </x:c>
      <x:c r="R203" s="16" t="str"/>
    </x:row>
    <x:row r="204" ht="28" customHeight="1">
      <x:c r="A204" s="21" t="n">
        <x:v>200</x:v>
      </x:c>
      <x:c r="B204" s="21" t="n">
        <x:f>ROUNDUP(A204/50,0)</x:f>
        <x:v>4</x:v>
      </x:c>
      <x:c r="C204" s="21" t="n">
        <x:f>MOD(A204-1,50)+1</x:f>
        <x:v>50</x:v>
      </x:c>
      <x:c r="D204" s="29" t="str">
        <x:v>νύξ, νυκτός, ἡ</x:v>
      </x:c>
      <x:c r="E204" s="29" t="str">
        <x:v>νύξ</x:v>
      </x:c>
      <x:c r="F204" s="27" t="str">
        <x:v>nux</x:v>
      </x:c>
      <x:c r="G204" s="20" t="str">
        <x:v>"night" (literally or figuratively)</x:v>
      </x:c>
      <x:c r="H204" s="20" t="str"/>
      <x:c r="I204" s="21" t="n">
        <x:v>18</x:v>
      </x:c>
      <x:c r="J204" s="21" t="str">
        <x:v>BBG 課序</x:v>
      </x:c>
      <x:c r="K204" s="21" t="str">
        <x:v>G3571</x:v>
      </x:c>
      <x:c r="L204" s="21" t="str">
        <x:v>否</x:v>
      </x:c>
      <x:c r="M204" s="21" t="str"/>
      <x:c r="N204" s="21" t="str">
        <x:v>source_and_lexicon_matched</x:v>
      </x:c>
      <x:c r="O204" s="21" t="str">
        <x:v>rule_generated_from_official_table</x:v>
      </x:c>
      <x:c r="P204" s="21" t="n">
        <x:v>4</x:v>
      </x:c>
      <x:c r="Q204" s="21" t="str">
        <x:v>https://doxa.billmounce.com/Flashcards%20%28BBG%29.pdf</x:v>
      </x:c>
      <x:c r="R204" s="16" t="str"/>
    </x:row>
    <x:row r="205" ht="28" customHeight="1">
      <x:c r="A205" s="21" t="n">
        <x:v>201</x:v>
      </x:c>
      <x:c r="B205" s="21" t="n">
        <x:f>ROUNDUP(A205/50,0)</x:f>
        <x:v>5</x:v>
      </x:c>
      <x:c r="C205" s="21" t="n">
        <x:f>MOD(A205-1,50)+1</x:f>
        <x:v>1</x:v>
      </x:c>
      <x:c r="D205" s="29" t="str">
        <x:v>ὅστις, ἥτις, ὅτι</x:v>
      </x:c>
      <x:c r="E205" s="29" t="str">
        <x:v>ὅστις</x:v>
      </x:c>
      <x:c r="F205" s="27" t="str">
        <x:v>hostis</x:v>
      </x:c>
      <x:c r="G205" s="20" t="str">
        <x:v>which some, i.e. any that; also (definite) which same</x:v>
      </x:c>
      <x:c r="H205" s="20" t="str"/>
      <x:c r="I205" s="21" t="n">
        <x:v>18</x:v>
      </x:c>
      <x:c r="J205" s="21" t="str">
        <x:v>BBG 課序</x:v>
      </x:c>
      <x:c r="K205" s="21" t="str">
        <x:v>G3748</x:v>
      </x:c>
      <x:c r="L205" s="21" t="str">
        <x:v>否</x:v>
      </x:c>
      <x:c r="M205" s="21" t="str"/>
      <x:c r="N205" s="21" t="str">
        <x:v>source_and_lexicon_matched</x:v>
      </x:c>
      <x:c r="O205" s="21" t="str">
        <x:v>rule_generated_from_official_table</x:v>
      </x:c>
      <x:c r="P205" s="21" t="n">
        <x:v>4</x:v>
      </x:c>
      <x:c r="Q205" s="21" t="str">
        <x:v>https://doxa.billmounce.com/Flashcards%20%28BBG%29.pdf</x:v>
      </x:c>
      <x:c r="R205" s="16" t="str"/>
    </x:row>
    <x:row r="206" ht="28" customHeight="1">
      <x:c r="A206" s="21" t="n">
        <x:v>202</x:v>
      </x:c>
      <x:c r="B206" s="21" t="n">
        <x:f>ROUNDUP(A206/50,0)</x:f>
        <x:v>5</x:v>
      </x:c>
      <x:c r="C206" s="21" t="n">
        <x:f>MOD(A206-1,50)+1</x:f>
        <x:v>2</x:v>
      </x:c>
      <x:c r="D206" s="29" t="str">
        <x:v>πορεύομαι</x:v>
      </x:c>
      <x:c r="E206" s="29" t="str">
        <x:v>πορεύομαι</x:v>
      </x:c>
      <x:c r="F206" s="27" t="str">
        <x:v>poreuomai</x:v>
      </x:c>
      <x:c r="G206" s="20" t="str">
        <x:v>to traverse, i.e. travel (literally or figuratively; especially to remove (figuratively, die), live, etc.);</x:v>
      </x:c>
      <x:c r="H206" s="20" t="str"/>
      <x:c r="I206" s="21" t="n">
        <x:v>18</x:v>
      </x:c>
      <x:c r="J206" s="21" t="str">
        <x:v>BBG 課序</x:v>
      </x:c>
      <x:c r="K206" s="21" t="str">
        <x:v>G4198</x:v>
      </x:c>
      <x:c r="L206" s="21" t="str">
        <x:v>否</x:v>
      </x:c>
      <x:c r="M206" s="21" t="str"/>
      <x:c r="N206" s="21" t="str">
        <x:v>source_and_lexicon_matched</x:v>
      </x:c>
      <x:c r="O206" s="21" t="str">
        <x:v>rule_generated_from_official_table</x:v>
      </x:c>
      <x:c r="P206" s="21" t="n">
        <x:v>4</x:v>
      </x:c>
      <x:c r="Q206" s="21" t="str">
        <x:v>https://doxa.billmounce.com/Flashcards%20%28BBG%29.pdf</x:v>
      </x:c>
      <x:c r="R206" s="16" t="str"/>
    </x:row>
    <x:row r="207" ht="28" customHeight="1">
      <x:c r="A207" s="21" t="n">
        <x:v>203</x:v>
      </x:c>
      <x:c r="B207" s="21" t="n">
        <x:f>ROUNDUP(A207/50,0)</x:f>
        <x:v>5</x:v>
      </x:c>
      <x:c r="C207" s="21" t="n">
        <x:f>MOD(A207-1,50)+1</x:f>
        <x:v>3</x:v>
      </x:c>
      <x:c r="D207" s="29" t="str">
        <x:v>συνάγω</x:v>
      </x:c>
      <x:c r="E207" s="29" t="str">
        <x:v>συνάγω</x:v>
      </x:c>
      <x:c r="F207" s="27" t="str">
        <x:v>sunagō</x:v>
      </x:c>
      <x:c r="G207" s="20" t="str">
        <x:v>to lead together, i.e. collect or convene; specially, to entertain (hospitably)</x:v>
      </x:c>
      <x:c r="H207" s="20" t="str"/>
      <x:c r="I207" s="21" t="n">
        <x:v>18</x:v>
      </x:c>
      <x:c r="J207" s="21" t="str">
        <x:v>BBG 課序</x:v>
      </x:c>
      <x:c r="K207" s="21" t="str">
        <x:v>G4863</x:v>
      </x:c>
      <x:c r="L207" s="21" t="str">
        <x:v>否</x:v>
      </x:c>
      <x:c r="M207" s="21" t="str"/>
      <x:c r="N207" s="21" t="str">
        <x:v>source_and_lexicon_matched</x:v>
      </x:c>
      <x:c r="O207" s="21" t="str">
        <x:v>rule_generated_from_official_table</x:v>
      </x:c>
      <x:c r="P207" s="21" t="n">
        <x:v>4</x:v>
      </x:c>
      <x:c r="Q207" s="21" t="str">
        <x:v>https://doxa.billmounce.com/Flashcards%20%28BBG%29.pdf</x:v>
      </x:c>
      <x:c r="R207" s="16" t="str"/>
    </x:row>
    <x:row r="208" ht="28" customHeight="1">
      <x:c r="A208" s="21" t="n">
        <x:v>204</x:v>
      </x:c>
      <x:c r="B208" s="21" t="n">
        <x:f>ROUNDUP(A208/50,0)</x:f>
        <x:v>5</x:v>
      </x:c>
      <x:c r="C208" s="21" t="n">
        <x:f>MOD(A208-1,50)+1</x:f>
        <x:v>4</x:v>
      </x:c>
      <x:c r="D208" s="29" t="str">
        <x:v>τόπος, -ου, ὁ</x:v>
      </x:c>
      <x:c r="E208" s="29" t="str">
        <x:v>τόπος</x:v>
      </x:c>
      <x:c r="F208" s="27" t="str">
        <x:v>topos</x:v>
      </x:c>
      <x:c r="G208" s="20" t="str">
        <x:v>a spot (general in space, but limited by occupancy; whereas G5561 (χώρα) is a large but participle locality), i.e. location (as a position, home, tract, etc.); figuratively, condition, opportunity; specially, a scabbard</x:v>
      </x:c>
      <x:c r="H208" s="20" t="str"/>
      <x:c r="I208" s="21" t="n">
        <x:v>18</x:v>
      </x:c>
      <x:c r="J208" s="21" t="str">
        <x:v>BBG 課序</x:v>
      </x:c>
      <x:c r="K208" s="21" t="str">
        <x:v>G5117</x:v>
      </x:c>
      <x:c r="L208" s="21" t="str">
        <x:v>否</x:v>
      </x:c>
      <x:c r="M208" s="21" t="str"/>
      <x:c r="N208" s="21" t="str">
        <x:v>source_and_lexicon_matched</x:v>
      </x:c>
      <x:c r="O208" s="21" t="str">
        <x:v>rule_generated_from_official_table</x:v>
      </x:c>
      <x:c r="P208" s="21" t="n">
        <x:v>4</x:v>
      </x:c>
      <x:c r="Q208" s="21" t="str">
        <x:v>https://doxa.billmounce.com/Flashcards%20%28BBG%29.pdf</x:v>
      </x:c>
      <x:c r="R208" s="16" t="str"/>
    </x:row>
    <x:row r="209" ht="28" customHeight="1">
      <x:c r="A209" s="21" t="n">
        <x:v>205</x:v>
      </x:c>
      <x:c r="B209" s="21" t="n">
        <x:f>ROUNDUP(A209/50,0)</x:f>
        <x:v>5</x:v>
      </x:c>
      <x:c r="C209" s="21" t="n">
        <x:f>MOD(A209-1,50)+1</x:f>
        <x:v>5</x:v>
      </x:c>
      <x:c r="D209" s="29" t="str">
        <x:v>ὡς</x:v>
      </x:c>
      <x:c r="E209" s="29" t="str">
        <x:v>ὡς</x:v>
      </x:c>
      <x:c r="F209" s="27" t="str">
        <x:v>hōs</x:v>
      </x:c>
      <x:c r="G209" s="20" t="str">
        <x:v>which how, i.e. in that manner (very variously used, as follows)</x:v>
      </x:c>
      <x:c r="H209" s="20" t="str"/>
      <x:c r="I209" s="21" t="n">
        <x:v>18</x:v>
      </x:c>
      <x:c r="J209" s="21" t="str">
        <x:v>BBG 課序</x:v>
      </x:c>
      <x:c r="K209" s="21" t="str">
        <x:v>G5613</x:v>
      </x:c>
      <x:c r="L209" s="21" t="str">
        <x:v>否</x:v>
      </x:c>
      <x:c r="M209" s="21" t="str"/>
      <x:c r="N209" s="21" t="str">
        <x:v>source_and_lexicon_matched</x:v>
      </x:c>
      <x:c r="O209" s="21" t="str">
        <x:v>rule_generated_from_official_table</x:v>
      </x:c>
      <x:c r="P209" s="21" t="n">
        <x:v>4</x:v>
      </x:c>
      <x:c r="Q209" s="21" t="str">
        <x:v>https://doxa.billmounce.com/Flashcards%20%28BBG%29.pdf</x:v>
      </x:c>
      <x:c r="R209" s="16" t="str"/>
    </x:row>
    <x:row r="210" ht="28" customHeight="1">
      <x:c r="A210" s="21" t="n">
        <x:v>206</x:v>
      </x:c>
      <x:c r="B210" s="21" t="n">
        <x:f>ROUNDUP(A210/50,0)</x:f>
        <x:v>5</x:v>
      </x:c>
      <x:c r="C210" s="21" t="n">
        <x:f>MOD(A210-1,50)+1</x:f>
        <x:v>6</x:v>
      </x:c>
      <x:c r="D210" s="29" t="str">
        <x:v>βασιλεύς, -έως, ὁ</x:v>
      </x:c>
      <x:c r="E210" s="29" t="str">
        <x:v>βασιλεύς</x:v>
      </x:c>
      <x:c r="F210" s="27" t="str">
        <x:v>basileus</x:v>
      </x:c>
      <x:c r="G210" s="20" t="str">
        <x:v>a sovereign (abstractly, relatively, or figuratively)</x:v>
      </x:c>
      <x:c r="H210" s="20" t="str"/>
      <x:c r="I210" s="21" t="n">
        <x:v>19</x:v>
      </x:c>
      <x:c r="J210" s="21" t="str">
        <x:v>BBG 課序</x:v>
      </x:c>
      <x:c r="K210" s="21" t="str">
        <x:v>G935</x:v>
      </x:c>
      <x:c r="L210" s="21" t="str">
        <x:v>否</x:v>
      </x:c>
      <x:c r="M210" s="21" t="str"/>
      <x:c r="N210" s="21" t="str">
        <x:v>source_and_lexicon_matched</x:v>
      </x:c>
      <x:c r="O210" s="21" t="str">
        <x:v>rule_generated_from_official_table</x:v>
      </x:c>
      <x:c r="P210" s="21" t="n">
        <x:v>4</x:v>
      </x:c>
      <x:c r="Q210" s="21" t="str">
        <x:v>https://doxa.billmounce.com/Flashcards%20%28BBG%29.pdf</x:v>
      </x:c>
      <x:c r="R210" s="16" t="str"/>
    </x:row>
    <x:row r="211" ht="28" customHeight="1">
      <x:c r="A211" s="21" t="n">
        <x:v>207</x:v>
      </x:c>
      <x:c r="B211" s="21" t="n">
        <x:f>ROUNDUP(A211/50,0)</x:f>
        <x:v>5</x:v>
      </x:c>
      <x:c r="C211" s="21" t="n">
        <x:f>MOD(A211-1,50)+1</x:f>
        <x:v>7</x:v>
      </x:c>
      <x:c r="D211" s="29" t="str">
        <x:v>γεννάω</x:v>
      </x:c>
      <x:c r="E211" s="29" t="str">
        <x:v>γεννάω</x:v>
      </x:c>
      <x:c r="F211" s="27" t="str">
        <x:v>gennaō</x:v>
      </x:c>
      <x:c r="G211" s="20" t="str">
        <x:v>to procreate (properly, of the father, but by extension of the mother); figuratively, to regenerate</x:v>
      </x:c>
      <x:c r="H211" s="20" t="str"/>
      <x:c r="I211" s="21" t="n">
        <x:v>19</x:v>
      </x:c>
      <x:c r="J211" s="21" t="str">
        <x:v>BBG 課序</x:v>
      </x:c>
      <x:c r="K211" s="21" t="str">
        <x:v>G1080</x:v>
      </x:c>
      <x:c r="L211" s="21" t="str">
        <x:v>否</x:v>
      </x:c>
      <x:c r="M211" s="21" t="str"/>
      <x:c r="N211" s="21" t="str">
        <x:v>source_and_lexicon_matched</x:v>
      </x:c>
      <x:c r="O211" s="21" t="str">
        <x:v>rule_generated_from_official_table</x:v>
      </x:c>
      <x:c r="P211" s="21" t="n">
        <x:v>4</x:v>
      </x:c>
      <x:c r="Q211" s="21" t="str">
        <x:v>https://doxa.billmounce.com/Flashcards%20%28BBG%29.pdf</x:v>
      </x:c>
      <x:c r="R211" s="16" t="str"/>
    </x:row>
    <x:row r="212" ht="28" customHeight="1">
      <x:c r="A212" s="21" t="n">
        <x:v>208</x:v>
      </x:c>
      <x:c r="B212" s="21" t="n">
        <x:f>ROUNDUP(A212/50,0)</x:f>
        <x:v>5</x:v>
      </x:c>
      <x:c r="C212" s="21" t="n">
        <x:f>MOD(A212-1,50)+1</x:f>
        <x:v>8</x:v>
      </x:c>
      <x:c r="D212" s="29" t="str">
        <x:v>ζάω</x:v>
      </x:c>
      <x:c r="E212" s="29" t="str">
        <x:v>ζάω</x:v>
      </x:c>
      <x:c r="F212" s="27" t="str">
        <x:v>zaō</x:v>
      </x:c>
      <x:c r="G212" s="20" t="str">
        <x:v>to live (literally or figuratively)</x:v>
      </x:c>
      <x:c r="H212" s="20" t="str"/>
      <x:c r="I212" s="21" t="n">
        <x:v>19</x:v>
      </x:c>
      <x:c r="J212" s="21" t="str">
        <x:v>BBG 課序</x:v>
      </x:c>
      <x:c r="K212" s="21" t="str">
        <x:v>G2198</x:v>
      </x:c>
      <x:c r="L212" s="21" t="str">
        <x:v>否</x:v>
      </x:c>
      <x:c r="M212" s="21" t="str"/>
      <x:c r="N212" s="21" t="str">
        <x:v>source_and_lexicon_matched</x:v>
      </x:c>
      <x:c r="O212" s="21" t="str">
        <x:v>rule_generated_from_official_table</x:v>
      </x:c>
      <x:c r="P212" s="21" t="n">
        <x:v>4</x:v>
      </x:c>
      <x:c r="Q212" s="21" t="str">
        <x:v>https://doxa.billmounce.com/Flashcards%20%28BBG%29.pdf</x:v>
      </x:c>
      <x:c r="R212" s="16" t="str"/>
    </x:row>
    <x:row r="213" ht="28" customHeight="1">
      <x:c r="A213" s="21" t="n">
        <x:v>209</x:v>
      </x:c>
      <x:c r="B213" s="21" t="n">
        <x:f>ROUNDUP(A213/50,0)</x:f>
        <x:v>5</x:v>
      </x:c>
      <x:c r="C213" s="21" t="n">
        <x:f>MOD(A213-1,50)+1</x:f>
        <x:v>9</x:v>
      </x:c>
      <x:c r="D213" s="29" t="str">
        <x:v>Ἰουδαία, -ας, ἡ</x:v>
      </x:c>
      <x:c r="E213" s="29" t="str">
        <x:v>Ἰουδαία</x:v>
      </x:c>
      <x:c r="F213" s="27" t="str">
        <x:v>Ioudaia</x:v>
      </x:c>
      <x:c r="G213" s="20" t="str">
        <x:v>the Judæan land (i.e. Judæa), a region of Palestine</x:v>
      </x:c>
      <x:c r="H213" s="20" t="str"/>
      <x:c r="I213" s="21" t="n">
        <x:v>19</x:v>
      </x:c>
      <x:c r="J213" s="21" t="str">
        <x:v>BBG 課序</x:v>
      </x:c>
      <x:c r="K213" s="21" t="str">
        <x:v>G2449</x:v>
      </x:c>
      <x:c r="L213" s="21" t="str">
        <x:v>是</x:v>
      </x:c>
      <x:c r="M213" s="21" t="str">
        <x:v>地名</x:v>
      </x:c>
      <x:c r="N213" s="21" t="str">
        <x:v>source_and_lexicon_matched</x:v>
      </x:c>
      <x:c r="O213" s="21" t="str">
        <x:v>rule_generated_from_official_table</x:v>
      </x:c>
      <x:c r="P213" s="21" t="n">
        <x:v>4</x:v>
      </x:c>
      <x:c r="Q213" s="21" t="str">
        <x:v>https://doxa.billmounce.com/Flashcards%20%28BBG%29.pdf</x:v>
      </x:c>
      <x:c r="R213" s="16" t="str"/>
    </x:row>
    <x:row r="214" ht="28" customHeight="1">
      <x:c r="A214" s="21" t="n">
        <x:v>210</x:v>
      </x:c>
      <x:c r="B214" s="21" t="n">
        <x:f>ROUNDUP(A214/50,0)</x:f>
        <x:v>5</x:v>
      </x:c>
      <x:c r="C214" s="21" t="n">
        <x:f>MOD(A214-1,50)+1</x:f>
        <x:v>10</x:v>
      </x:c>
      <x:c r="D214" s="29" t="str">
        <x:v>Ἰουδαῖος, -αία, -αῖον</x:v>
      </x:c>
      <x:c r="E214" s="29" t="str">
        <x:v>Ἰουδαῖος</x:v>
      </x:c>
      <x:c r="F214" s="27" t="str">
        <x:v>Ioudaios</x:v>
      </x:c>
      <x:c r="G214" s="20" t="str">
        <x:v>Judæan, i.e. belonging to Jehudah</x:v>
      </x:c>
      <x:c r="H214" s="20" t="str"/>
      <x:c r="I214" s="21" t="n">
        <x:v>19</x:v>
      </x:c>
      <x:c r="J214" s="21" t="str">
        <x:v>BBG 課序</x:v>
      </x:c>
      <x:c r="K214" s="21" t="str">
        <x:v>G2453</x:v>
      </x:c>
      <x:c r="L214" s="21" t="str">
        <x:v>是</x:v>
      </x:c>
      <x:c r="M214" s="21" t="str">
        <x:v>民族／國族</x:v>
      </x:c>
      <x:c r="N214" s="21" t="str">
        <x:v>source_and_lexicon_matched</x:v>
      </x:c>
      <x:c r="O214" s="21" t="str">
        <x:v>rule_generated_from_official_table</x:v>
      </x:c>
      <x:c r="P214" s="21" t="n">
        <x:v>4</x:v>
      </x:c>
      <x:c r="Q214" s="21" t="str">
        <x:v>https://doxa.billmounce.com/Flashcards%20%28BBG%29.pdf</x:v>
      </x:c>
      <x:c r="R214" s="16" t="str"/>
    </x:row>
    <x:row r="215" ht="28" customHeight="1">
      <x:c r="A215" s="21" t="n">
        <x:v>211</x:v>
      </x:c>
      <x:c r="B215" s="21" t="n">
        <x:f>ROUNDUP(A215/50,0)</x:f>
        <x:v>5</x:v>
      </x:c>
      <x:c r="C215" s="21" t="n">
        <x:f>MOD(A215-1,50)+1</x:f>
        <x:v>11</x:v>
      </x:c>
      <x:c r="D215" s="29" t="str">
        <x:v>Ἰσραήλ, ὁ</x:v>
      </x:c>
      <x:c r="E215" s="29" t="str">
        <x:v>Ἰσραήλ</x:v>
      </x:c>
      <x:c r="F215" s="27" t="str">
        <x:v>Israēl</x:v>
      </x:c>
      <x:c r="G215" s="20" t="str">
        <x:v>Israel (i.e. Jisrael), the adopted name of Jacob, including his descendants (literally or figuratively)</x:v>
      </x:c>
      <x:c r="H215" s="20" t="str"/>
      <x:c r="I215" s="21" t="n">
        <x:v>19</x:v>
      </x:c>
      <x:c r="J215" s="21" t="str">
        <x:v>BBG 課序</x:v>
      </x:c>
      <x:c r="K215" s="21" t="str">
        <x:v>G2474</x:v>
      </x:c>
      <x:c r="L215" s="21" t="str">
        <x:v>是</x:v>
      </x:c>
      <x:c r="M215" s="21" t="str">
        <x:v>人名、民族／國族</x:v>
      </x:c>
      <x:c r="N215" s="21" t="str">
        <x:v>source_and_lexicon_matched</x:v>
      </x:c>
      <x:c r="O215" s="21" t="str">
        <x:v>rule_generated_from_official_table</x:v>
      </x:c>
      <x:c r="P215" s="21" t="n">
        <x:v>4</x:v>
      </x:c>
      <x:c r="Q215" s="21" t="str">
        <x:v>https://doxa.billmounce.com/Flashcards%20%28BBG%29.pdf</x:v>
      </x:c>
      <x:c r="R215" s="16" t="str"/>
    </x:row>
    <x:row r="216" ht="28" customHeight="1">
      <x:c r="A216" s="21" t="n">
        <x:v>212</x:v>
      </x:c>
      <x:c r="B216" s="21" t="n">
        <x:f>ROUNDUP(A216/50,0)</x:f>
        <x:v>5</x:v>
      </x:c>
      <x:c r="C216" s="21" t="n">
        <x:f>MOD(A216-1,50)+1</x:f>
        <x:v>12</x:v>
      </x:c>
      <x:c r="D216" s="29" t="str">
        <x:v>καρπός, -οῦ, ὁ</x:v>
      </x:c>
      <x:c r="E216" s="29" t="str">
        <x:v>καρπός</x:v>
      </x:c>
      <x:c r="F216" s="27" t="str">
        <x:v>karpos</x:v>
      </x:c>
      <x:c r="G216" s="20" t="str">
        <x:v>fruit (as plucked), literally or figuratively</x:v>
      </x:c>
      <x:c r="H216" s="20" t="str"/>
      <x:c r="I216" s="21" t="n">
        <x:v>19</x:v>
      </x:c>
      <x:c r="J216" s="21" t="str">
        <x:v>BBG 課序</x:v>
      </x:c>
      <x:c r="K216" s="21" t="str">
        <x:v>G2590</x:v>
      </x:c>
      <x:c r="L216" s="21" t="str">
        <x:v>否</x:v>
      </x:c>
      <x:c r="M216" s="21" t="str"/>
      <x:c r="N216" s="21" t="str">
        <x:v>source_and_lexicon_matched</x:v>
      </x:c>
      <x:c r="O216" s="21" t="str">
        <x:v>rule_generated_from_official_table</x:v>
      </x:c>
      <x:c r="P216" s="21" t="n">
        <x:v>4</x:v>
      </x:c>
      <x:c r="Q216" s="21" t="str">
        <x:v>https://doxa.billmounce.com/Flashcards%20%28BBG%29.pdf</x:v>
      </x:c>
      <x:c r="R216" s="16" t="str"/>
    </x:row>
    <x:row r="217" ht="28" customHeight="1">
      <x:c r="A217" s="21" t="n">
        <x:v>213</x:v>
      </x:c>
      <x:c r="B217" s="21" t="n">
        <x:f>ROUNDUP(A217/50,0)</x:f>
        <x:v>5</x:v>
      </x:c>
      <x:c r="C217" s="21" t="n">
        <x:f>MOD(A217-1,50)+1</x:f>
        <x:v>13</x:v>
      </x:c>
      <x:c r="D217" s="29" t="str">
        <x:v>μείζων, –ον</x:v>
      </x:c>
      <x:c r="E217" s="29" t="str">
        <x:v>μείζων</x:v>
      </x:c>
      <x:c r="F217" s="27" t="str">
        <x:v>meizōn</x:v>
      </x:c>
      <x:c r="G217" s="20" t="str">
        <x:v>larger (literally or figuratively, specially, in age)</x:v>
      </x:c>
      <x:c r="H217" s="20" t="str"/>
      <x:c r="I217" s="21" t="n">
        <x:v>19</x:v>
      </x:c>
      <x:c r="J217" s="21" t="str">
        <x:v>BBG 課序</x:v>
      </x:c>
      <x:c r="K217" s="21" t="str">
        <x:v>G3187</x:v>
      </x:c>
      <x:c r="L217" s="21" t="str">
        <x:v>否</x:v>
      </x:c>
      <x:c r="M217" s="21" t="str"/>
      <x:c r="N217" s="21" t="str">
        <x:v>source_and_lexicon_matched</x:v>
      </x:c>
      <x:c r="O217" s="21" t="str">
        <x:v>rule_generated_from_official_table</x:v>
      </x:c>
      <x:c r="P217" s="21" t="n">
        <x:v>4</x:v>
      </x:c>
      <x:c r="Q217" s="21" t="str">
        <x:v>https://doxa.billmounce.com/Flashcards%20%28BBG%29.pdf</x:v>
      </x:c>
      <x:c r="R217" s="16" t="str"/>
    </x:row>
    <x:row r="218" ht="28" customHeight="1">
      <x:c r="A218" s="21" t="n">
        <x:v>214</x:v>
      </x:c>
      <x:c r="B218" s="21" t="n">
        <x:f>ROUNDUP(A218/50,0)</x:f>
        <x:v>5</x:v>
      </x:c>
      <x:c r="C218" s="21" t="n">
        <x:f>MOD(A218-1,50)+1</x:f>
        <x:v>14</x:v>
      </x:c>
      <x:c r="D218" s="29" t="str">
        <x:v>ὅλος, -η, -ον</x:v>
      </x:c>
      <x:c r="E218" s="29" t="str">
        <x:v>ὅλος</x:v>
      </x:c>
      <x:c r="F218" s="27" t="str">
        <x:v>holos</x:v>
      </x:c>
      <x:c r="G218" s="20" t="str">
        <x:v>"whole" or "all", i.e. complete (in extent, amount, time or degree), especially (neuter) as noun or adverb</x:v>
      </x:c>
      <x:c r="H218" s="20" t="str"/>
      <x:c r="I218" s="21" t="n">
        <x:v>19</x:v>
      </x:c>
      <x:c r="J218" s="21" t="str">
        <x:v>BBG 課序</x:v>
      </x:c>
      <x:c r="K218" s="21" t="str">
        <x:v>G3650</x:v>
      </x:c>
      <x:c r="L218" s="21" t="str">
        <x:v>否</x:v>
      </x:c>
      <x:c r="M218" s="21" t="str"/>
      <x:c r="N218" s="21" t="str">
        <x:v>source_and_lexicon_matched</x:v>
      </x:c>
      <x:c r="O218" s="21" t="str">
        <x:v>rule_generated_from_official_table</x:v>
      </x:c>
      <x:c r="P218" s="21" t="n">
        <x:v>4</x:v>
      </x:c>
      <x:c r="Q218" s="21" t="str">
        <x:v>https://doxa.billmounce.com/Flashcards%20%28BBG%29.pdf</x:v>
      </x:c>
      <x:c r="R218" s="16" t="str"/>
    </x:row>
    <x:row r="219" ht="28" customHeight="1">
      <x:c r="A219" s="21" t="n">
        <x:v>215</x:v>
      </x:c>
      <x:c r="B219" s="21" t="n">
        <x:f>ROUNDUP(A219/50,0)</x:f>
        <x:v>5</x:v>
      </x:c>
      <x:c r="C219" s="21" t="n">
        <x:f>MOD(A219-1,50)+1</x:f>
        <x:v>15</x:v>
      </x:c>
      <x:c r="D219" s="29" t="str">
        <x:v>προσκυνέω</x:v>
      </x:c>
      <x:c r="E219" s="29" t="str">
        <x:v>προσκυνέω</x:v>
      </x:c>
      <x:c r="F219" s="27" t="str">
        <x:v>proskuneō</x:v>
      </x:c>
      <x:c r="G219" s="20" t="str">
        <x:v>to fawn or crouch to, i.e. (literally or figuratively) prostrate oneself in homage (do reverence to, adore)</x:v>
      </x:c>
      <x:c r="H219" s="20" t="str"/>
      <x:c r="I219" s="21" t="n">
        <x:v>19</x:v>
      </x:c>
      <x:c r="J219" s="21" t="str">
        <x:v>BBG 課序</x:v>
      </x:c>
      <x:c r="K219" s="21" t="str">
        <x:v>G4352</x:v>
      </x:c>
      <x:c r="L219" s="21" t="str">
        <x:v>否</x:v>
      </x:c>
      <x:c r="M219" s="21" t="str"/>
      <x:c r="N219" s="21" t="str">
        <x:v>source_and_lexicon_matched</x:v>
      </x:c>
      <x:c r="O219" s="21" t="str">
        <x:v>rule_generated_from_official_table</x:v>
      </x:c>
      <x:c r="P219" s="21" t="n">
        <x:v>4</x:v>
      </x:c>
      <x:c r="Q219" s="21" t="str">
        <x:v>https://doxa.billmounce.com/Flashcards%20%28BBG%29.pdf</x:v>
      </x:c>
      <x:c r="R219" s="16" t="str"/>
    </x:row>
    <x:row r="220" ht="28" customHeight="1">
      <x:c r="A220" s="21" t="n">
        <x:v>216</x:v>
      </x:c>
      <x:c r="B220" s="21" t="n">
        <x:f>ROUNDUP(A220/50,0)</x:f>
        <x:v>5</x:v>
      </x:c>
      <x:c r="C220" s="21" t="n">
        <x:f>MOD(A220-1,50)+1</x:f>
        <x:v>16</x:v>
      </x:c>
      <x:c r="D220" s="29" t="str">
        <x:v>αἴρω</x:v>
      </x:c>
      <x:c r="E220" s="29" t="str">
        <x:v>αἴρω</x:v>
      </x:c>
      <x:c r="F220" s="27" t="str">
        <x:v>airō</x:v>
      </x:c>
      <x:c r="G220" s="20" t="str">
        <x:v>to lift up; by implication, to take up or away; figuratively, to raise (the voice), keep in suspense (the mind), specially, to sail away (i.e. weigh anchor); by Hebraism (compare H05375) to expiate sin</x:v>
      </x:c>
      <x:c r="H220" s="20" t="str"/>
      <x:c r="I220" s="21" t="n">
        <x:v>20</x:v>
      </x:c>
      <x:c r="J220" s="21" t="str">
        <x:v>BBG 課序</x:v>
      </x:c>
      <x:c r="K220" s="21" t="str">
        <x:v>G142</x:v>
      </x:c>
      <x:c r="L220" s="21" t="str">
        <x:v>否</x:v>
      </x:c>
      <x:c r="M220" s="21" t="str"/>
      <x:c r="N220" s="21" t="str">
        <x:v>source_and_lexicon_matched</x:v>
      </x:c>
      <x:c r="O220" s="21" t="str">
        <x:v>rule_generated_from_official_table</x:v>
      </x:c>
      <x:c r="P220" s="21" t="n">
        <x:v>4</x:v>
      </x:c>
      <x:c r="Q220" s="21" t="str">
        <x:v>https://doxa.billmounce.com/Flashcards%20%28BBG%29.pdf</x:v>
      </x:c>
      <x:c r="R220" s="16" t="str"/>
    </x:row>
    <x:row r="221" ht="28" customHeight="1">
      <x:c r="A221" s="21" t="n">
        <x:v>217</x:v>
      </x:c>
      <x:c r="B221" s="21" t="n">
        <x:f>ROUNDUP(A221/50,0)</x:f>
        <x:v>5</x:v>
      </x:c>
      <x:c r="C221" s="21" t="n">
        <x:f>MOD(A221-1,50)+1</x:f>
        <x:v>17</x:v>
      </x:c>
      <x:c r="D221" s="29" t="str">
        <x:v>ἀποκτείνω</x:v>
      </x:c>
      <x:c r="E221" s="29" t="str">
        <x:v>ἀποκτείνω</x:v>
      </x:c>
      <x:c r="F221" s="27" t="str">
        <x:v>apokteinō</x:v>
      </x:c>
      <x:c r="G221" s="20" t="str">
        <x:v>to kill outright; figuratively, to destroy</x:v>
      </x:c>
      <x:c r="H221" s="20" t="str"/>
      <x:c r="I221" s="21" t="n">
        <x:v>20</x:v>
      </x:c>
      <x:c r="J221" s="21" t="str">
        <x:v>BBG 課序</x:v>
      </x:c>
      <x:c r="K221" s="21" t="str">
        <x:v>G615</x:v>
      </x:c>
      <x:c r="L221" s="21" t="str">
        <x:v>否</x:v>
      </x:c>
      <x:c r="M221" s="21" t="str"/>
      <x:c r="N221" s="21" t="str">
        <x:v>source_and_lexicon_matched</x:v>
      </x:c>
      <x:c r="O221" s="21" t="str">
        <x:v>rule_generated_from_official_table</x:v>
      </x:c>
      <x:c r="P221" s="21" t="n">
        <x:v>4</x:v>
      </x:c>
      <x:c r="Q221" s="21" t="str">
        <x:v>https://doxa.billmounce.com/Flashcards%20%28BBG%29.pdf</x:v>
      </x:c>
      <x:c r="R221" s="16" t="str"/>
    </x:row>
    <x:row r="222" ht="28" customHeight="1">
      <x:c r="A222" s="21" t="n">
        <x:v>218</x:v>
      </x:c>
      <x:c r="B222" s="21" t="n">
        <x:f>ROUNDUP(A222/50,0)</x:f>
        <x:v>5</x:v>
      </x:c>
      <x:c r="C222" s="21" t="n">
        <x:f>MOD(A222-1,50)+1</x:f>
        <x:v>18</x:v>
      </x:c>
      <x:c r="D222" s="29" t="str">
        <x:v>ἀποστέλλω</x:v>
      </x:c>
      <x:c r="E222" s="29" t="str">
        <x:v>ἀποστέλλω</x:v>
      </x:c>
      <x:c r="F222" s="27" t="str">
        <x:v>apostellō</x:v>
      </x:c>
      <x:c r="G222" s="20" t="str">
        <x:v>set apart, i.e. (by implication) to send out (properly, on a mission) literally or figuratively</x:v>
      </x:c>
      <x:c r="H222" s="20" t="str"/>
      <x:c r="I222" s="21" t="n">
        <x:v>20</x:v>
      </x:c>
      <x:c r="J222" s="21" t="str">
        <x:v>BBG 課序</x:v>
      </x:c>
      <x:c r="K222" s="21" t="str">
        <x:v>G649</x:v>
      </x:c>
      <x:c r="L222" s="21" t="str">
        <x:v>否</x:v>
      </x:c>
      <x:c r="M222" s="21" t="str"/>
      <x:c r="N222" s="21" t="str">
        <x:v>source_and_lexicon_matched</x:v>
      </x:c>
      <x:c r="O222" s="21" t="str">
        <x:v>rule_generated_from_official_table</x:v>
      </x:c>
      <x:c r="P222" s="21" t="n">
        <x:v>4</x:v>
      </x:c>
      <x:c r="Q222" s="21" t="str">
        <x:v>https://doxa.billmounce.com/Flashcards%20%28BBG%29.pdf</x:v>
      </x:c>
      <x:c r="R222" s="16" t="str"/>
    </x:row>
    <x:row r="223" ht="28" customHeight="1">
      <x:c r="A223" s="21" t="n">
        <x:v>219</x:v>
      </x:c>
      <x:c r="B223" s="21" t="n">
        <x:f>ROUNDUP(A223/50,0)</x:f>
        <x:v>5</x:v>
      </x:c>
      <x:c r="C223" s="21" t="n">
        <x:f>MOD(A223-1,50)+1</x:f>
        <x:v>19</x:v>
      </x:c>
      <x:c r="D223" s="29" t="str">
        <x:v>βαπτίζω</x:v>
      </x:c>
      <x:c r="E223" s="29" t="str">
        <x:v>βαπτίζω</x:v>
      </x:c>
      <x:c r="F223" s="27" t="str">
        <x:v>baptizō</x:v>
      </x:c>
      <x:c r="G223" s="20" t="str">
        <x:v>to immerse, submerge; to make whelmed (i.e. fully wet); used only (in the New Testament) of ceremonial ablution, especially (technically) of the ordinance of Christian baptism</x:v>
      </x:c>
      <x:c r="H223" s="20" t="str"/>
      <x:c r="I223" s="21" t="n">
        <x:v>20</x:v>
      </x:c>
      <x:c r="J223" s="21" t="str">
        <x:v>BBG 課序</x:v>
      </x:c>
      <x:c r="K223" s="21" t="str">
        <x:v>G907</x:v>
      </x:c>
      <x:c r="L223" s="21" t="str">
        <x:v>否</x:v>
      </x:c>
      <x:c r="M223" s="21" t="str"/>
      <x:c r="N223" s="21" t="str">
        <x:v>source_and_lexicon_matched</x:v>
      </x:c>
      <x:c r="O223" s="21" t="str">
        <x:v>rule_generated_from_official_table</x:v>
      </x:c>
      <x:c r="P223" s="21" t="n">
        <x:v>4</x:v>
      </x:c>
      <x:c r="Q223" s="21" t="str">
        <x:v>https://doxa.billmounce.com/Flashcards%20%28BBG%29.pdf</x:v>
      </x:c>
      <x:c r="R223" s="16" t="str"/>
    </x:row>
    <x:row r="224" ht="28" customHeight="1">
      <x:c r="A224" s="21" t="n">
        <x:v>220</x:v>
      </x:c>
      <x:c r="B224" s="21" t="n">
        <x:f>ROUNDUP(A224/50,0)</x:f>
        <x:v>5</x:v>
      </x:c>
      <x:c r="C224" s="21" t="n">
        <x:f>MOD(A224-1,50)+1</x:f>
        <x:v>20</x:v>
      </x:c>
      <x:c r="D224" s="29" t="str">
        <x:v>γινώσκω</x:v>
      </x:c>
      <x:c r="E224" s="29" t="str">
        <x:v>γινώσκω</x:v>
      </x:c>
      <x:c r="F224" s="27" t="str">
        <x:v>ginōskō</x:v>
      </x:c>
      <x:c r="G224" s="20" t="str">
        <x:v>to "know" (absolutely) in a great variety of applications and with many implications (as follow, with others not thus clearly expressed)</x:v>
      </x:c>
      <x:c r="H224" s="20" t="str"/>
      <x:c r="I224" s="21" t="n">
        <x:v>20</x:v>
      </x:c>
      <x:c r="J224" s="21" t="str">
        <x:v>BBG 課序</x:v>
      </x:c>
      <x:c r="K224" s="21" t="str">
        <x:v>G1097</x:v>
      </x:c>
      <x:c r="L224" s="21" t="str">
        <x:v>否</x:v>
      </x:c>
      <x:c r="M224" s="21" t="str"/>
      <x:c r="N224" s="21" t="str">
        <x:v>source_and_lexicon_matched</x:v>
      </x:c>
      <x:c r="O224" s="21" t="str">
        <x:v>rule_generated_from_official_table</x:v>
      </x:c>
      <x:c r="P224" s="21" t="n">
        <x:v>4</x:v>
      </x:c>
      <x:c r="Q224" s="21" t="str">
        <x:v>https://doxa.billmounce.com/Flashcards%20%28BBG%29.pdf</x:v>
      </x:c>
      <x:c r="R224" s="16" t="str"/>
    </x:row>
    <x:row r="225" ht="28" customHeight="1">
      <x:c r="A225" s="21" t="n">
        <x:v>221</x:v>
      </x:c>
      <x:c r="B225" s="21" t="n">
        <x:f>ROUNDUP(A225/50,0)</x:f>
        <x:v>5</x:v>
      </x:c>
      <x:c r="C225" s="21" t="n">
        <x:f>MOD(A225-1,50)+1</x:f>
        <x:v>21</x:v>
      </x:c>
      <x:c r="D225" s="29" t="str">
        <x:v>γλῶσσα, -ης, ἡ</x:v>
      </x:c>
      <x:c r="E225" s="29" t="str">
        <x:v>γλῶσσα</x:v>
      </x:c>
      <x:c r="F225" s="27" t="str">
        <x:v>glōssa</x:v>
      </x:c>
      <x:c r="G225" s="20" t="str">
        <x:v>the tongue; by implication, a language (specially, one naturally unacquired)</x:v>
      </x:c>
      <x:c r="H225" s="20" t="str"/>
      <x:c r="I225" s="21" t="n">
        <x:v>20</x:v>
      </x:c>
      <x:c r="J225" s="21" t="str">
        <x:v>BBG 課序</x:v>
      </x:c>
      <x:c r="K225" s="21" t="str">
        <x:v>G1100</x:v>
      </x:c>
      <x:c r="L225" s="21" t="str">
        <x:v>否</x:v>
      </x:c>
      <x:c r="M225" s="21" t="str"/>
      <x:c r="N225" s="21" t="str">
        <x:v>source_and_lexicon_matched</x:v>
      </x:c>
      <x:c r="O225" s="21" t="str">
        <x:v>rule_generated_from_official_table</x:v>
      </x:c>
      <x:c r="P225" s="21" t="n">
        <x:v>4</x:v>
      </x:c>
      <x:c r="Q225" s="21" t="str">
        <x:v>https://doxa.billmounce.com/Flashcards%20%28BBG%29.pdf</x:v>
      </x:c>
      <x:c r="R225" s="16" t="str"/>
    </x:row>
    <x:row r="226" ht="28" customHeight="1">
      <x:c r="A226" s="21" t="n">
        <x:v>222</x:v>
      </x:c>
      <x:c r="B226" s="21" t="n">
        <x:f>ROUNDUP(A226/50,0)</x:f>
        <x:v>5</x:v>
      </x:c>
      <x:c r="C226" s="21" t="n">
        <x:f>MOD(A226-1,50)+1</x:f>
        <x:v>22</x:v>
      </x:c>
      <x:c r="D226" s="29" t="str">
        <x:v>ἐγείρω</x:v>
      </x:c>
      <x:c r="E226" s="29" t="str">
        <x:v>ἐγείρω</x:v>
      </x:c>
      <x:c r="F226" s="27" t="str">
        <x:v>egeirō</x:v>
      </x:c>
      <x:c r="G226" s="20" t="str">
        <x:v>to waken (transitively or intransitively), i.e. rouse (literally, from sleep, from sitting or lying, from disease, from death; or figuratively, from obscurity, inactivity, ruins, nonexistence)</x:v>
      </x:c>
      <x:c r="H226" s="20" t="str"/>
      <x:c r="I226" s="21" t="n">
        <x:v>20</x:v>
      </x:c>
      <x:c r="J226" s="21" t="str">
        <x:v>BBG 課序</x:v>
      </x:c>
      <x:c r="K226" s="21" t="str">
        <x:v>G1453</x:v>
      </x:c>
      <x:c r="L226" s="21" t="str">
        <x:v>否</x:v>
      </x:c>
      <x:c r="M226" s="21" t="str"/>
      <x:c r="N226" s="21" t="str">
        <x:v>source_and_lexicon_matched</x:v>
      </x:c>
      <x:c r="O226" s="21" t="str">
        <x:v>rule_generated_from_official_table</x:v>
      </x:c>
      <x:c r="P226" s="21" t="n">
        <x:v>4</x:v>
      </x:c>
      <x:c r="Q226" s="21" t="str">
        <x:v>https://doxa.billmounce.com/Flashcards%20%28BBG%29.pdf</x:v>
      </x:c>
      <x:c r="R226" s="16" t="str"/>
    </x:row>
    <x:row r="227" ht="28" customHeight="1">
      <x:c r="A227" s="21" t="n">
        <x:v>223</x:v>
      </x:c>
      <x:c r="B227" s="21" t="n">
        <x:f>ROUNDUP(A227/50,0)</x:f>
        <x:v>5</x:v>
      </x:c>
      <x:c r="C227" s="21" t="n">
        <x:f>MOD(A227-1,50)+1</x:f>
        <x:v>23</x:v>
      </x:c>
      <x:c r="D227" s="29" t="str">
        <x:v>ἐκβάλλω</x:v>
      </x:c>
      <x:c r="E227" s="29" t="str">
        <x:v>ἐκβάλλω</x:v>
      </x:c>
      <x:c r="F227" s="27" t="str">
        <x:v>ekballō</x:v>
      </x:c>
      <x:c r="G227" s="20" t="str">
        <x:v>to eject (literally or figuratively)</x:v>
      </x:c>
      <x:c r="H227" s="20" t="str"/>
      <x:c r="I227" s="21" t="n">
        <x:v>20</x:v>
      </x:c>
      <x:c r="J227" s="21" t="str">
        <x:v>BBG 課序</x:v>
      </x:c>
      <x:c r="K227" s="21" t="str">
        <x:v>G1544</x:v>
      </x:c>
      <x:c r="L227" s="21" t="str">
        <x:v>否</x:v>
      </x:c>
      <x:c r="M227" s="21" t="str"/>
      <x:c r="N227" s="21" t="str">
        <x:v>source_and_lexicon_matched</x:v>
      </x:c>
      <x:c r="O227" s="21" t="str">
        <x:v>rule_generated_from_official_table</x:v>
      </x:c>
      <x:c r="P227" s="21" t="n">
        <x:v>4</x:v>
      </x:c>
      <x:c r="Q227" s="21" t="str">
        <x:v>https://doxa.billmounce.com/Flashcards%20%28BBG%29.pdf</x:v>
      </x:c>
      <x:c r="R227" s="16" t="str"/>
    </x:row>
    <x:row r="228" ht="28" customHeight="1">
      <x:c r="A228" s="21" t="n">
        <x:v>224</x:v>
      </x:c>
      <x:c r="B228" s="21" t="n">
        <x:f>ROUNDUP(A228/50,0)</x:f>
        <x:v>5</x:v>
      </x:c>
      <x:c r="C228" s="21" t="n">
        <x:f>MOD(A228-1,50)+1</x:f>
        <x:v>24</x:v>
      </x:c>
      <x:c r="D228" s="29" t="str">
        <x:v>ἐκεῖ</x:v>
      </x:c>
      <x:c r="E228" s="29" t="str">
        <x:v>ἐκεῖ</x:v>
      </x:c>
      <x:c r="F228" s="27" t="str">
        <x:v>ekei</x:v>
      </x:c>
      <x:c r="G228" s="20" t="str">
        <x:v>there; by extension, thither</x:v>
      </x:c>
      <x:c r="H228" s="20" t="str"/>
      <x:c r="I228" s="21" t="n">
        <x:v>20</x:v>
      </x:c>
      <x:c r="J228" s="21" t="str">
        <x:v>BBG 課序</x:v>
      </x:c>
      <x:c r="K228" s="21" t="str">
        <x:v>G1563</x:v>
      </x:c>
      <x:c r="L228" s="21" t="str">
        <x:v>否</x:v>
      </x:c>
      <x:c r="M228" s="21" t="str"/>
      <x:c r="N228" s="21" t="str">
        <x:v>source_and_lexicon_matched</x:v>
      </x:c>
      <x:c r="O228" s="21" t="str">
        <x:v>rule_generated_from_official_table</x:v>
      </x:c>
      <x:c r="P228" s="21" t="n">
        <x:v>4</x:v>
      </x:c>
      <x:c r="Q228" s="21" t="str">
        <x:v>https://doxa.billmounce.com/Flashcards%20%28BBG%29.pdf</x:v>
      </x:c>
      <x:c r="R228" s="16" t="str"/>
    </x:row>
    <x:row r="229" ht="28" customHeight="1">
      <x:c r="A229" s="21" t="n">
        <x:v>225</x:v>
      </x:c>
      <x:c r="B229" s="21" t="n">
        <x:f>ROUNDUP(A229/50,0)</x:f>
        <x:v>5</x:v>
      </x:c>
      <x:c r="C229" s="21" t="n">
        <x:f>MOD(A229-1,50)+1</x:f>
        <x:v>25</x:v>
      </x:c>
      <x:c r="D229" s="29" t="str">
        <x:v>κρίνω</x:v>
      </x:c>
      <x:c r="E229" s="29" t="str">
        <x:v>κρίνω</x:v>
      </x:c>
      <x:c r="F229" s="27" t="str">
        <x:v>krinō</x:v>
      </x:c>
      <x:c r="G229" s="20" t="str">
        <x:v>by implication, to try, condemn, punish</x:v>
      </x:c>
      <x:c r="H229" s="20" t="str"/>
      <x:c r="I229" s="21" t="n">
        <x:v>20</x:v>
      </x:c>
      <x:c r="J229" s="21" t="str">
        <x:v>BBG 課序</x:v>
      </x:c>
      <x:c r="K229" s="21" t="str">
        <x:v>G2919</x:v>
      </x:c>
      <x:c r="L229" s="21" t="str">
        <x:v>否</x:v>
      </x:c>
      <x:c r="M229" s="21" t="str"/>
      <x:c r="N229" s="21" t="str">
        <x:v>source_and_lexicon_matched</x:v>
      </x:c>
      <x:c r="O229" s="21" t="str">
        <x:v>rule_generated_from_official_table</x:v>
      </x:c>
      <x:c r="P229" s="21" t="n">
        <x:v>4</x:v>
      </x:c>
      <x:c r="Q229" s="21" t="str">
        <x:v>https://doxa.billmounce.com/Flashcards%20%28BBG%29.pdf</x:v>
      </x:c>
      <x:c r="R229" s="16" t="str"/>
    </x:row>
    <x:row r="230" ht="28" customHeight="1">
      <x:c r="A230" s="21" t="n">
        <x:v>226</x:v>
      </x:c>
      <x:c r="B230" s="21" t="n">
        <x:f>ROUNDUP(A230/50,0)</x:f>
        <x:v>5</x:v>
      </x:c>
      <x:c r="C230" s="21" t="n">
        <x:f>MOD(A230-1,50)+1</x:f>
        <x:v>26</x:v>
      </x:c>
      <x:c r="D230" s="29" t="str">
        <x:v>λαός, -οῦ, ὁ</x:v>
      </x:c>
      <x:c r="E230" s="29" t="str">
        <x:v>λαός</x:v>
      </x:c>
      <x:c r="F230" s="27" t="str">
        <x:v>laos</x:v>
      </x:c>
      <x:c r="G230" s="20" t="str">
        <x:v>a people (in general; thus differing from G1218 (δῆμος), which denotes one's own populace)</x:v>
      </x:c>
      <x:c r="H230" s="20" t="str"/>
      <x:c r="I230" s="21" t="n">
        <x:v>20</x:v>
      </x:c>
      <x:c r="J230" s="21" t="str">
        <x:v>BBG 課序</x:v>
      </x:c>
      <x:c r="K230" s="21" t="str">
        <x:v>G2992</x:v>
      </x:c>
      <x:c r="L230" s="21" t="str">
        <x:v>否</x:v>
      </x:c>
      <x:c r="M230" s="21" t="str"/>
      <x:c r="N230" s="21" t="str">
        <x:v>source_and_lexicon_matched</x:v>
      </x:c>
      <x:c r="O230" s="21" t="str">
        <x:v>rule_generated_from_official_table</x:v>
      </x:c>
      <x:c r="P230" s="21" t="n">
        <x:v>4</x:v>
      </x:c>
      <x:c r="Q230" s="21" t="str">
        <x:v>https://doxa.billmounce.com/Flashcards%20%28BBG%29.pdf</x:v>
      </x:c>
      <x:c r="R230" s="16" t="str"/>
    </x:row>
    <x:row r="231" ht="28" customHeight="1">
      <x:c r="A231" s="21" t="n">
        <x:v>227</x:v>
      </x:c>
      <x:c r="B231" s="21" t="n">
        <x:f>ROUNDUP(A231/50,0)</x:f>
        <x:v>5</x:v>
      </x:c>
      <x:c r="C231" s="21" t="n">
        <x:f>MOD(A231-1,50)+1</x:f>
        <x:v>27</x:v>
      </x:c>
      <x:c r="D231" s="29" t="str">
        <x:v>μένω</x:v>
      </x:c>
      <x:c r="E231" s="29" t="str">
        <x:v>μένω</x:v>
      </x:c>
      <x:c r="F231" s="27" t="str">
        <x:v>menō</x:v>
      </x:c>
      <x:c r="G231" s="20" t="str">
        <x:v>to stay (in a given place, state, relation or expectancy)</x:v>
      </x:c>
      <x:c r="H231" s="20" t="str"/>
      <x:c r="I231" s="21" t="n">
        <x:v>20</x:v>
      </x:c>
      <x:c r="J231" s="21" t="str">
        <x:v>BBG 課序</x:v>
      </x:c>
      <x:c r="K231" s="21" t="str">
        <x:v>G3306</x:v>
      </x:c>
      <x:c r="L231" s="21" t="str">
        <x:v>否</x:v>
      </x:c>
      <x:c r="M231" s="21" t="str"/>
      <x:c r="N231" s="21" t="str">
        <x:v>source_and_lexicon_matched</x:v>
      </x:c>
      <x:c r="O231" s="21" t="str">
        <x:v>rule_generated_from_official_table</x:v>
      </x:c>
      <x:c r="P231" s="21" t="n">
        <x:v>4</x:v>
      </x:c>
      <x:c r="Q231" s="21" t="str">
        <x:v>https://doxa.billmounce.com/Flashcards%20%28BBG%29.pdf</x:v>
      </x:c>
      <x:c r="R231" s="16" t="str"/>
    </x:row>
    <x:row r="232" ht="28" customHeight="1">
      <x:c r="A232" s="21" t="n">
        <x:v>228</x:v>
      </x:c>
      <x:c r="B232" s="21" t="n">
        <x:f>ROUNDUP(A232/50,0)</x:f>
        <x:v>5</x:v>
      </x:c>
      <x:c r="C232" s="21" t="n">
        <x:f>MOD(A232-1,50)+1</x:f>
        <x:v>28</x:v>
      </x:c>
      <x:c r="D232" s="29" t="str">
        <x:v>ὁράω</x:v>
      </x:c>
      <x:c r="E232" s="29" t="str">
        <x:v>ὁράω</x:v>
      </x:c>
      <x:c r="F232" s="27" t="str">
        <x:v>horaō</x:v>
      </x:c>
      <x:c r="G232" s="20" t="str">
        <x:v>by extension, to attend to; by Hebraism, to experience; passively, to appear</x:v>
      </x:c>
      <x:c r="H232" s="20" t="str"/>
      <x:c r="I232" s="21" t="n">
        <x:v>20</x:v>
      </x:c>
      <x:c r="J232" s="21" t="str">
        <x:v>BBG 課序</x:v>
      </x:c>
      <x:c r="K232" s="21" t="str">
        <x:v>G3708</x:v>
      </x:c>
      <x:c r="L232" s="21" t="str">
        <x:v>否</x:v>
      </x:c>
      <x:c r="M232" s="21" t="str"/>
      <x:c r="N232" s="21" t="str">
        <x:v>source_and_lexicon_matched</x:v>
      </x:c>
      <x:c r="O232" s="21" t="str">
        <x:v>rule_generated_from_official_table</x:v>
      </x:c>
      <x:c r="P232" s="21" t="n">
        <x:v>4</x:v>
      </x:c>
      <x:c r="Q232" s="21" t="str">
        <x:v>https://doxa.billmounce.com/Flashcards%20%28BBG%29.pdf</x:v>
      </x:c>
      <x:c r="R232" s="16" t="str"/>
    </x:row>
    <x:row r="233" ht="28" customHeight="1">
      <x:c r="A233" s="21" t="n">
        <x:v>229</x:v>
      </x:c>
      <x:c r="B233" s="21" t="n">
        <x:f>ROUNDUP(A233/50,0)</x:f>
        <x:v>5</x:v>
      </x:c>
      <x:c r="C233" s="21" t="n">
        <x:f>MOD(A233-1,50)+1</x:f>
        <x:v>29</x:v>
      </x:c>
      <x:c r="D233" s="29" t="str">
        <x:v>σοφία, -ας, ἡ</x:v>
      </x:c>
      <x:c r="E233" s="29" t="str">
        <x:v>σοφία</x:v>
      </x:c>
      <x:c r="F233" s="27" t="str">
        <x:v>sophia</x:v>
      </x:c>
      <x:c r="G233" s="20" t="str">
        <x:v>wisdom (higher or lower, worldly or spiritual)</x:v>
      </x:c>
      <x:c r="H233" s="20" t="str"/>
      <x:c r="I233" s="21" t="n">
        <x:v>20</x:v>
      </x:c>
      <x:c r="J233" s="21" t="str">
        <x:v>BBG 課序</x:v>
      </x:c>
      <x:c r="K233" s="21" t="str">
        <x:v>G4678</x:v>
      </x:c>
      <x:c r="L233" s="21" t="str">
        <x:v>否</x:v>
      </x:c>
      <x:c r="M233" s="21" t="str"/>
      <x:c r="N233" s="21" t="str">
        <x:v>source_and_lexicon_matched</x:v>
      </x:c>
      <x:c r="O233" s="21" t="str">
        <x:v>rule_generated_from_official_table</x:v>
      </x:c>
      <x:c r="P233" s="21" t="n">
        <x:v>4</x:v>
      </x:c>
      <x:c r="Q233" s="21" t="str">
        <x:v>https://doxa.billmounce.com/Flashcards%20%28BBG%29.pdf</x:v>
      </x:c>
      <x:c r="R233" s="16" t="str"/>
    </x:row>
    <x:row r="234" ht="28" customHeight="1">
      <x:c r="A234" s="21" t="n">
        <x:v>230</x:v>
      </x:c>
      <x:c r="B234" s="21" t="n">
        <x:f>ROUNDUP(A234/50,0)</x:f>
        <x:v>5</x:v>
      </x:c>
      <x:c r="C234" s="21" t="n">
        <x:f>MOD(A234-1,50)+1</x:f>
        <x:v>30</x:v>
      </x:c>
      <x:c r="D234" s="29" t="str">
        <x:v>στόμα, -ατος, τό</x:v>
      </x:c>
      <x:c r="E234" s="29" t="str">
        <x:v>στόμα</x:v>
      </x:c>
      <x:c r="F234" s="27" t="str">
        <x:v>stoma</x:v>
      </x:c>
      <x:c r="G234" s="20" t="str">
        <x:v>the mouth (as if a gash in the face); by implication, language (and its relations); figuratively, an opening (in the earth); specially, the front or edge (of a weapon)</x:v>
      </x:c>
      <x:c r="H234" s="20" t="str"/>
      <x:c r="I234" s="21" t="n">
        <x:v>20</x:v>
      </x:c>
      <x:c r="J234" s="21" t="str">
        <x:v>BBG 課序</x:v>
      </x:c>
      <x:c r="K234" s="21" t="str">
        <x:v>G4750</x:v>
      </x:c>
      <x:c r="L234" s="21" t="str">
        <x:v>否</x:v>
      </x:c>
      <x:c r="M234" s="21" t="str"/>
      <x:c r="N234" s="21" t="str">
        <x:v>source_and_lexicon_matched</x:v>
      </x:c>
      <x:c r="O234" s="21" t="str">
        <x:v>rule_generated_from_official_table</x:v>
      </x:c>
      <x:c r="P234" s="21" t="n">
        <x:v>4</x:v>
      </x:c>
      <x:c r="Q234" s="21" t="str">
        <x:v>https://doxa.billmounce.com/Flashcards%20%28BBG%29.pdf</x:v>
      </x:c>
      <x:c r="R234" s="16" t="str"/>
    </x:row>
    <x:row r="235" ht="28" customHeight="1">
      <x:c r="A235" s="21" t="n">
        <x:v>231</x:v>
      </x:c>
      <x:c r="B235" s="21" t="n">
        <x:f>ROUNDUP(A235/50,0)</x:f>
        <x:v>5</x:v>
      </x:c>
      <x:c r="C235" s="21" t="n">
        <x:f>MOD(A235-1,50)+1</x:f>
        <x:v>31</x:v>
      </x:c>
      <x:c r="D235" s="29" t="str">
        <x:v>σῴζω</x:v>
      </x:c>
      <x:c r="E235" s="29" t="str">
        <x:v>σῴζω</x:v>
      </x:c>
      <x:c r="F235" s="27" t="str">
        <x:v>sōizō</x:v>
      </x:c>
      <x:c r="G235" s="20" t="str"/>
      <x:c r="H235" s="20" t="str"/>
      <x:c r="I235" s="21" t="n">
        <x:v>20</x:v>
      </x:c>
      <x:c r="J235" s="21" t="str">
        <x:v>BBG 課序</x:v>
      </x:c>
      <x:c r="K235" s="21" t="str"/>
      <x:c r="L235" s="21" t="str">
        <x:v>否</x:v>
      </x:c>
      <x:c r="M235" s="21" t="str"/>
      <x:c r="N235" s="21" t="str">
        <x:v>source_verified_lexicon_pending</x:v>
      </x:c>
      <x:c r="O235" s="21" t="str">
        <x:v>rule_generated_from_official_table</x:v>
      </x:c>
      <x:c r="P235" s="21" t="n">
        <x:v>4</x:v>
      </x:c>
      <x:c r="Q235" s="21" t="str">
        <x:v>https://doxa.billmounce.com/Flashcards%20%28BBG%29.pdf</x:v>
      </x:c>
      <x:c r="R235" s="16" t="str"/>
    </x:row>
    <x:row r="236" ht="28" customHeight="1">
      <x:c r="A236" s="21" t="n">
        <x:v>232</x:v>
      </x:c>
      <x:c r="B236" s="21" t="n">
        <x:f>ROUNDUP(A236/50,0)</x:f>
        <x:v>5</x:v>
      </x:c>
      <x:c r="C236" s="21" t="n">
        <x:f>MOD(A236-1,50)+1</x:f>
        <x:v>32</x:v>
      </x:c>
      <x:c r="D236" s="29" t="str">
        <x:v>ἀκολουθέω</x:v>
      </x:c>
      <x:c r="E236" s="29" t="str">
        <x:v>ἀκολουθέω</x:v>
      </x:c>
      <x:c r="F236" s="27" t="str">
        <x:v>akoloutheō</x:v>
      </x:c>
      <x:c r="G236" s="20" t="str">
        <x:v>properly, to be in the same way with, i.e. to accompany (specially, as a disciple)</x:v>
      </x:c>
      <x:c r="H236" s="20" t="str"/>
      <x:c r="I236" s="21" t="n">
        <x:v>21</x:v>
      </x:c>
      <x:c r="J236" s="21" t="str">
        <x:v>BBG 課序</x:v>
      </x:c>
      <x:c r="K236" s="21" t="str">
        <x:v>G190</x:v>
      </x:c>
      <x:c r="L236" s="21" t="str">
        <x:v>否</x:v>
      </x:c>
      <x:c r="M236" s="21" t="str"/>
      <x:c r="N236" s="21" t="str">
        <x:v>source_and_lexicon_matched</x:v>
      </x:c>
      <x:c r="O236" s="21" t="str">
        <x:v>rule_generated_from_official_table</x:v>
      </x:c>
      <x:c r="P236" s="21" t="n">
        <x:v>4</x:v>
      </x:c>
      <x:c r="Q236" s="21" t="str">
        <x:v>https://doxa.billmounce.com/Flashcards%20%28BBG%29.pdf</x:v>
      </x:c>
      <x:c r="R236" s="16" t="str"/>
    </x:row>
    <x:row r="237" ht="28" customHeight="1">
      <x:c r="A237" s="21" t="n">
        <x:v>233</x:v>
      </x:c>
      <x:c r="B237" s="21" t="n">
        <x:f>ROUNDUP(A237/50,0)</x:f>
        <x:v>5</x:v>
      </x:c>
      <x:c r="C237" s="21" t="n">
        <x:f>MOD(A237-1,50)+1</x:f>
        <x:v>33</x:v>
      </x:c>
      <x:c r="D237" s="29" t="str">
        <x:v>διδάσκω</x:v>
      </x:c>
      <x:c r="E237" s="29" t="str">
        <x:v>διδάσκω</x:v>
      </x:c>
      <x:c r="F237" s="27" t="str">
        <x:v>didaskō</x:v>
      </x:c>
      <x:c r="G237" s="20" t="str">
        <x:v>to teach (in the same broad application)</x:v>
      </x:c>
      <x:c r="H237" s="20" t="str"/>
      <x:c r="I237" s="21" t="n">
        <x:v>21</x:v>
      </x:c>
      <x:c r="J237" s="21" t="str">
        <x:v>BBG 課序</x:v>
      </x:c>
      <x:c r="K237" s="21" t="str">
        <x:v>G1321</x:v>
      </x:c>
      <x:c r="L237" s="21" t="str">
        <x:v>否</x:v>
      </x:c>
      <x:c r="M237" s="21" t="str"/>
      <x:c r="N237" s="21" t="str">
        <x:v>source_and_lexicon_matched</x:v>
      </x:c>
      <x:c r="O237" s="21" t="str">
        <x:v>rule_generated_from_official_table</x:v>
      </x:c>
      <x:c r="P237" s="21" t="n">
        <x:v>4</x:v>
      </x:c>
      <x:c r="Q237" s="21" t="str">
        <x:v>https://doxa.billmounce.com/Flashcards%20%28BBG%29.pdf</x:v>
      </x:c>
      <x:c r="R237" s="16" t="str"/>
    </x:row>
    <x:row r="238" ht="28" customHeight="1">
      <x:c r="A238" s="21" t="n">
        <x:v>234</x:v>
      </x:c>
      <x:c r="B238" s="21" t="n">
        <x:f>ROUNDUP(A238/50,0)</x:f>
        <x:v>5</x:v>
      </x:c>
      <x:c r="C238" s="21" t="n">
        <x:f>MOD(A238-1,50)+1</x:f>
        <x:v>34</x:v>
      </x:c>
      <x:c r="D238" s="29" t="str">
        <x:v>ἐπερωτάω</x:v>
      </x:c>
      <x:c r="E238" s="29" t="str">
        <x:v>ἐπερωτάω</x:v>
      </x:c>
      <x:c r="F238" s="27" t="str">
        <x:v>eperōtaō</x:v>
      </x:c>
      <x:c r="G238" s="20" t="str">
        <x:v>to ask for, i.e. inquire, seek</x:v>
      </x:c>
      <x:c r="H238" s="20" t="str"/>
      <x:c r="I238" s="21" t="n">
        <x:v>21</x:v>
      </x:c>
      <x:c r="J238" s="21" t="str">
        <x:v>BBG 課序</x:v>
      </x:c>
      <x:c r="K238" s="21" t="str">
        <x:v>G1905</x:v>
      </x:c>
      <x:c r="L238" s="21" t="str">
        <x:v>否</x:v>
      </x:c>
      <x:c r="M238" s="21" t="str"/>
      <x:c r="N238" s="21" t="str">
        <x:v>source_and_lexicon_matched</x:v>
      </x:c>
      <x:c r="O238" s="21" t="str">
        <x:v>rule_generated_from_official_table</x:v>
      </x:c>
      <x:c r="P238" s="21" t="n">
        <x:v>4</x:v>
      </x:c>
      <x:c r="Q238" s="21" t="str">
        <x:v>https://doxa.billmounce.com/Flashcards%20%28BBG%29.pdf</x:v>
      </x:c>
      <x:c r="R238" s="16" t="str"/>
    </x:row>
    <x:row r="239" ht="28" customHeight="1">
      <x:c r="A239" s="21" t="n">
        <x:v>235</x:v>
      </x:c>
      <x:c r="B239" s="21" t="n">
        <x:f>ROUNDUP(A239/50,0)</x:f>
        <x:v>5</x:v>
      </x:c>
      <x:c r="C239" s="21" t="n">
        <x:f>MOD(A239-1,50)+1</x:f>
        <x:v>35</x:v>
      </x:c>
      <x:c r="D239" s="29" t="str">
        <x:v>ἐρωτάω</x:v>
      </x:c>
      <x:c r="E239" s="29" t="str">
        <x:v>ἐρωτάω</x:v>
      </x:c>
      <x:c r="F239" s="27" t="str">
        <x:v>erōtaō</x:v>
      </x:c>
      <x:c r="G239" s="20" t="str">
        <x:v>to interrogate; by implication, to request</x:v>
      </x:c>
      <x:c r="H239" s="20" t="str"/>
      <x:c r="I239" s="21" t="n">
        <x:v>21</x:v>
      </x:c>
      <x:c r="J239" s="21" t="str">
        <x:v>BBG 課序</x:v>
      </x:c>
      <x:c r="K239" s="21" t="str">
        <x:v>G2065</x:v>
      </x:c>
      <x:c r="L239" s="21" t="str">
        <x:v>否</x:v>
      </x:c>
      <x:c r="M239" s="21" t="str"/>
      <x:c r="N239" s="21" t="str">
        <x:v>source_and_lexicon_matched</x:v>
      </x:c>
      <x:c r="O239" s="21" t="str">
        <x:v>rule_generated_from_official_table</x:v>
      </x:c>
      <x:c r="P239" s="21" t="n">
        <x:v>4</x:v>
      </x:c>
      <x:c r="Q239" s="21" t="str">
        <x:v>https://doxa.billmounce.com/Flashcards%20%28BBG%29.pdf</x:v>
      </x:c>
      <x:c r="R239" s="16" t="str"/>
    </x:row>
    <x:row r="240" ht="28" customHeight="1">
      <x:c r="A240" s="21" t="n">
        <x:v>236</x:v>
      </x:c>
      <x:c r="B240" s="21" t="n">
        <x:f>ROUNDUP(A240/50,0)</x:f>
        <x:v>5</x:v>
      </x:c>
      <x:c r="C240" s="21" t="n">
        <x:f>MOD(A240-1,50)+1</x:f>
        <x:v>36</x:v>
      </x:c>
      <x:c r="D240" s="29" t="str">
        <x:v>θέλω</x:v>
      </x:c>
      <x:c r="E240" s="29" t="str">
        <x:v>θέλω</x:v>
      </x:c>
      <x:c r="F240" s="27" t="str">
        <x:v>thelō</x:v>
      </x:c>
      <x:c r="G240" s="20" t="str">
        <x:v>to determine (as an active option from subjective impulse; whereas G1014 (βούλομαι) properly denotes rather a passive acquiescence in objective considerations), i.e. choose or prefer (literally or figuratively); by implication, to wish, i.e. be inclined to (sometimes adverbially, gladly); impersonally for the future tense, to be about to; by Hebraism, to delight in</x:v>
      </x:c>
      <x:c r="H240" s="20" t="str"/>
      <x:c r="I240" s="21" t="n">
        <x:v>21</x:v>
      </x:c>
      <x:c r="J240" s="21" t="str">
        <x:v>BBG 課序</x:v>
      </x:c>
      <x:c r="K240" s="21" t="str">
        <x:v>G2309</x:v>
      </x:c>
      <x:c r="L240" s="21" t="str">
        <x:v>否</x:v>
      </x:c>
      <x:c r="M240" s="21" t="str"/>
      <x:c r="N240" s="21" t="str">
        <x:v>source_and_lexicon_matched</x:v>
      </x:c>
      <x:c r="O240" s="21" t="str">
        <x:v>rule_generated_from_official_table</x:v>
      </x:c>
      <x:c r="P240" s="21" t="n">
        <x:v>4</x:v>
      </x:c>
      <x:c r="Q240" s="21" t="str">
        <x:v>https://doxa.billmounce.com/Flashcards%20%28BBG%29.pdf</x:v>
      </x:c>
      <x:c r="R240" s="16" t="str"/>
    </x:row>
    <x:row r="241" ht="28" customHeight="1">
      <x:c r="A241" s="21" t="n">
        <x:v>237</x:v>
      </x:c>
      <x:c r="B241" s="21" t="n">
        <x:f>ROUNDUP(A241/50,0)</x:f>
        <x:v>5</x:v>
      </x:c>
      <x:c r="C241" s="21" t="n">
        <x:f>MOD(A241-1,50)+1</x:f>
        <x:v>37</x:v>
      </x:c>
      <x:c r="D241" s="29" t="str">
        <x:v>περιπατέω</x:v>
      </x:c>
      <x:c r="E241" s="29" t="str">
        <x:v>περιπατέω</x:v>
      </x:c>
      <x:c r="F241" s="27" t="str">
        <x:v>peripateō</x:v>
      </x:c>
      <x:c r="G241" s="20" t="str">
        <x:v>to tread all around, i.e. walk at large (especially as proof of ability); figuratively, to live, deport oneself, follow (as a companion or votary)</x:v>
      </x:c>
      <x:c r="H241" s="20" t="str"/>
      <x:c r="I241" s="21" t="n">
        <x:v>21</x:v>
      </x:c>
      <x:c r="J241" s="21" t="str">
        <x:v>BBG 課序</x:v>
      </x:c>
      <x:c r="K241" s="21" t="str">
        <x:v>G4043</x:v>
      </x:c>
      <x:c r="L241" s="21" t="str">
        <x:v>否</x:v>
      </x:c>
      <x:c r="M241" s="21" t="str"/>
      <x:c r="N241" s="21" t="str">
        <x:v>source_and_lexicon_matched</x:v>
      </x:c>
      <x:c r="O241" s="21" t="str">
        <x:v>rule_generated_from_official_table</x:v>
      </x:c>
      <x:c r="P241" s="21" t="n">
        <x:v>4</x:v>
      </x:c>
      <x:c r="Q241" s="21" t="str">
        <x:v>https://doxa.billmounce.com/Flashcards%20%28BBG%29.pdf</x:v>
      </x:c>
      <x:c r="R241" s="16" t="str"/>
    </x:row>
    <x:row r="242" ht="28" customHeight="1">
      <x:c r="A242" s="21" t="n">
        <x:v>238</x:v>
      </x:c>
      <x:c r="B242" s="21" t="n">
        <x:f>ROUNDUP(A242/50,0)</x:f>
        <x:v>5</x:v>
      </x:c>
      <x:c r="C242" s="21" t="n">
        <x:f>MOD(A242-1,50)+1</x:f>
        <x:v>38</x:v>
      </x:c>
      <x:c r="D242" s="29" t="str">
        <x:v>συναγωγή, -ῆς, ἡ</x:v>
      </x:c>
      <x:c r="E242" s="29" t="str">
        <x:v>συναγωγή</x:v>
      </x:c>
      <x:c r="F242" s="27" t="str">
        <x:v>sunagōgē</x:v>
      </x:c>
      <x:c r="G242" s="20" t="str">
        <x:v>an assemblage of persons; specially, a Jewish "synagogue" (the meeting or the place); by analogy, a Christian church</x:v>
      </x:c>
      <x:c r="H242" s="20" t="str"/>
      <x:c r="I242" s="21" t="n">
        <x:v>21</x:v>
      </x:c>
      <x:c r="J242" s="21" t="str">
        <x:v>BBG 課序</x:v>
      </x:c>
      <x:c r="K242" s="21" t="str">
        <x:v>G4864</x:v>
      </x:c>
      <x:c r="L242" s="21" t="str">
        <x:v>否</x:v>
      </x:c>
      <x:c r="M242" s="21" t="str"/>
      <x:c r="N242" s="21" t="str">
        <x:v>source_and_lexicon_matched</x:v>
      </x:c>
      <x:c r="O242" s="21" t="str">
        <x:v>rule_generated_from_official_table</x:v>
      </x:c>
      <x:c r="P242" s="21" t="n">
        <x:v>4</x:v>
      </x:c>
      <x:c r="Q242" s="21" t="str">
        <x:v>https://doxa.billmounce.com/Flashcards%20%28BBG%29.pdf</x:v>
      </x:c>
      <x:c r="R242" s="16" t="str"/>
    </x:row>
    <x:row r="243" ht="28" customHeight="1">
      <x:c r="A243" s="21" t="n">
        <x:v>239</x:v>
      </x:c>
      <x:c r="B243" s="21" t="n">
        <x:f>ROUNDUP(A243/50,0)</x:f>
        <x:v>5</x:v>
      </x:c>
      <x:c r="C243" s="21" t="n">
        <x:f>MOD(A243-1,50)+1</x:f>
        <x:v>39</x:v>
      </x:c>
      <x:c r="D243" s="29" t="str">
        <x:v>Φαρισαῖος, -ου, ὁ</x:v>
      </x:c>
      <x:c r="E243" s="29" t="str">
        <x:v>Φαρισαῖος</x:v>
      </x:c>
      <x:c r="F243" s="27" t="str">
        <x:v>Pharisaios</x:v>
      </x:c>
      <x:c r="G243" s="20" t="str">
        <x:v>a separatist, i.e. exclusively religious; a Pharisean, i.e. Jewish sectary</x:v>
      </x:c>
      <x:c r="H243" s="20" t="str"/>
      <x:c r="I243" s="21" t="n">
        <x:v>21</x:v>
      </x:c>
      <x:c r="J243" s="21" t="str">
        <x:v>BBG 課序</x:v>
      </x:c>
      <x:c r="K243" s="21" t="str">
        <x:v>G5330</x:v>
      </x:c>
      <x:c r="L243" s="21" t="str">
        <x:v>是</x:v>
      </x:c>
      <x:c r="M243" s="21" t="str">
        <x:v>民族／國族</x:v>
      </x:c>
      <x:c r="N243" s="21" t="str">
        <x:v>source_and_lexicon_matched</x:v>
      </x:c>
      <x:c r="O243" s="21" t="str">
        <x:v>rule_generated_from_official_table</x:v>
      </x:c>
      <x:c r="P243" s="21" t="n">
        <x:v>4</x:v>
      </x:c>
      <x:c r="Q243" s="21" t="str">
        <x:v>https://doxa.billmounce.com/Flashcards%20%28BBG%29.pdf</x:v>
      </x:c>
      <x:c r="R243" s="16" t="str"/>
    </x:row>
    <x:row r="244" ht="28" customHeight="1">
      <x:c r="A244" s="21" t="n">
        <x:v>240</x:v>
      </x:c>
      <x:c r="B244" s="21" t="n">
        <x:f>ROUNDUP(A244/50,0)</x:f>
        <x:v>5</x:v>
      </x:c>
      <x:c r="C244" s="21" t="n">
        <x:f>MOD(A244-1,50)+1</x:f>
        <x:v>40</x:v>
      </x:c>
      <x:c r="D244" s="29" t="str">
        <x:v>χρόνος, -ου, ὁ</x:v>
      </x:c>
      <x:c r="E244" s="29" t="str">
        <x:v>χρόνος</x:v>
      </x:c>
      <x:c r="F244" s="27" t="str">
        <x:v>chronos</x:v>
      </x:c>
      <x:c r="G244" s="20" t="str">
        <x:v>a space of time (in general, and thus properly distinguished from G2540 (καιρός), which designates a fixed or special occasion; and from G165 (αἰών), which denotes a particular period) or interval; by extension, an individual opportunity; by implication, delay</x:v>
      </x:c>
      <x:c r="H244" s="20" t="str"/>
      <x:c r="I244" s="21" t="n">
        <x:v>21</x:v>
      </x:c>
      <x:c r="J244" s="21" t="str">
        <x:v>BBG 課序</x:v>
      </x:c>
      <x:c r="K244" s="21" t="str">
        <x:v>G5550</x:v>
      </x:c>
      <x:c r="L244" s="21" t="str">
        <x:v>否</x:v>
      </x:c>
      <x:c r="M244" s="21" t="str"/>
      <x:c r="N244" s="21" t="str">
        <x:v>source_and_lexicon_matched</x:v>
      </x:c>
      <x:c r="O244" s="21" t="str">
        <x:v>rule_generated_from_official_table</x:v>
      </x:c>
      <x:c r="P244" s="21" t="n">
        <x:v>4</x:v>
      </x:c>
      <x:c r="Q244" s="21" t="str">
        <x:v>https://doxa.billmounce.com/Flashcards%20%28BBG%29.pdf</x:v>
      </x:c>
      <x:c r="R244" s="16" t="str"/>
    </x:row>
    <x:row r="245" ht="28" customHeight="1">
      <x:c r="A245" s="21" t="n">
        <x:v>241</x:v>
      </x:c>
      <x:c r="B245" s="21" t="n">
        <x:f>ROUNDUP(A245/50,0)</x:f>
        <x:v>5</x:v>
      </x:c>
      <x:c r="C245" s="21" t="n">
        <x:f>MOD(A245-1,50)+1</x:f>
        <x:v>41</x:v>
      </x:c>
      <x:c r="D245" s="29" t="str">
        <x:v>ἀποθνῄσκω</x:v>
      </x:c>
      <x:c r="E245" s="29" t="str">
        <x:v>ἀποθνῄσκω</x:v>
      </x:c>
      <x:c r="F245" s="27" t="str">
        <x:v>apothnēiskō</x:v>
      </x:c>
      <x:c r="G245" s="20" t="str"/>
      <x:c r="H245" s="20" t="str"/>
      <x:c r="I245" s="21" t="n">
        <x:v>22</x:v>
      </x:c>
      <x:c r="J245" s="21" t="str">
        <x:v>BBG 課序</x:v>
      </x:c>
      <x:c r="K245" s="21" t="str"/>
      <x:c r="L245" s="21" t="str">
        <x:v>否</x:v>
      </x:c>
      <x:c r="M245" s="21" t="str"/>
      <x:c r="N245" s="21" t="str">
        <x:v>source_verified_lexicon_pending</x:v>
      </x:c>
      <x:c r="O245" s="21" t="str">
        <x:v>rule_generated_from_official_table</x:v>
      </x:c>
      <x:c r="P245" s="21" t="n">
        <x:v>5</x:v>
      </x:c>
      <x:c r="Q245" s="21" t="str">
        <x:v>https://doxa.billmounce.com/Flashcards%20%28BBG%29.pdf</x:v>
      </x:c>
      <x:c r="R245" s="16" t="str"/>
    </x:row>
    <x:row r="246" ht="28" customHeight="1">
      <x:c r="A246" s="21" t="n">
        <x:v>242</x:v>
      </x:c>
      <x:c r="B246" s="21" t="n">
        <x:f>ROUNDUP(A246/50,0)</x:f>
        <x:v>5</x:v>
      </x:c>
      <x:c r="C246" s="21" t="n">
        <x:f>MOD(A246-1,50)+1</x:f>
        <x:v>42</x:v>
      </x:c>
      <x:c r="D246" s="29" t="str">
        <x:v>ἄρτος, -ου, ὁ</x:v>
      </x:c>
      <x:c r="E246" s="29" t="str">
        <x:v>ἄρτος</x:v>
      </x:c>
      <x:c r="F246" s="27" t="str">
        <x:v>artos</x:v>
      </x:c>
      <x:c r="G246" s="20" t="str">
        <x:v>bread (as raised) or a loaf</x:v>
      </x:c>
      <x:c r="H246" s="20" t="str"/>
      <x:c r="I246" s="21" t="n">
        <x:v>22</x:v>
      </x:c>
      <x:c r="J246" s="21" t="str">
        <x:v>BBG 課序</x:v>
      </x:c>
      <x:c r="K246" s="21" t="str">
        <x:v>G740</x:v>
      </x:c>
      <x:c r="L246" s="21" t="str">
        <x:v>否</x:v>
      </x:c>
      <x:c r="M246" s="21" t="str"/>
      <x:c r="N246" s="21" t="str">
        <x:v>source_and_lexicon_matched</x:v>
      </x:c>
      <x:c r="O246" s="21" t="str">
        <x:v>rule_generated_from_official_table</x:v>
      </x:c>
      <x:c r="P246" s="21" t="n">
        <x:v>5</x:v>
      </x:c>
      <x:c r="Q246" s="21" t="str">
        <x:v>https://doxa.billmounce.com/Flashcards%20%28BBG%29.pdf</x:v>
      </x:c>
      <x:c r="R246" s="16" t="str"/>
    </x:row>
    <x:row r="247" ht="28" customHeight="1">
      <x:c r="A247" s="21" t="n">
        <x:v>243</x:v>
      </x:c>
      <x:c r="B247" s="21" t="n">
        <x:f>ROUNDUP(A247/50,0)</x:f>
        <x:v>5</x:v>
      </x:c>
      <x:c r="C247" s="21" t="n">
        <x:f>MOD(A247-1,50)+1</x:f>
        <x:v>43</x:v>
      </x:c>
      <x:c r="D247" s="29" t="str">
        <x:v>βάλλω</x:v>
      </x:c>
      <x:c r="E247" s="29" t="str">
        <x:v>βάλλω</x:v>
      </x:c>
      <x:c r="F247" s="27" t="str">
        <x:v>ballō</x:v>
      </x:c>
      <x:c r="G247" s="20" t="str">
        <x:v>to throw (in various applications, more or less violent or intense)</x:v>
      </x:c>
      <x:c r="H247" s="20" t="str"/>
      <x:c r="I247" s="21" t="n">
        <x:v>22</x:v>
      </x:c>
      <x:c r="J247" s="21" t="str">
        <x:v>BBG 課序</x:v>
      </x:c>
      <x:c r="K247" s="21" t="str">
        <x:v>G906</x:v>
      </x:c>
      <x:c r="L247" s="21" t="str">
        <x:v>否</x:v>
      </x:c>
      <x:c r="M247" s="21" t="str"/>
      <x:c r="N247" s="21" t="str">
        <x:v>source_and_lexicon_matched</x:v>
      </x:c>
      <x:c r="O247" s="21" t="str">
        <x:v>rule_generated_from_official_table</x:v>
      </x:c>
      <x:c r="P247" s="21" t="n">
        <x:v>5</x:v>
      </x:c>
      <x:c r="Q247" s="21" t="str">
        <x:v>https://doxa.billmounce.com/Flashcards%20%28BBG%29.pdf</x:v>
      </x:c>
      <x:c r="R247" s="16" t="str"/>
    </x:row>
    <x:row r="248" ht="28" customHeight="1">
      <x:c r="A248" s="21" t="n">
        <x:v>244</x:v>
      </x:c>
      <x:c r="B248" s="21" t="n">
        <x:f>ROUNDUP(A248/50,0)</x:f>
        <x:v>5</x:v>
      </x:c>
      <x:c r="C248" s="21" t="n">
        <x:f>MOD(A248-1,50)+1</x:f>
        <x:v>44</x:v>
      </x:c>
      <x:c r="D248" s="29" t="str">
        <x:v>γῆ, γῆς, ἡ</x:v>
      </x:c>
      <x:c r="E248" s="29" t="str">
        <x:v>γῆ</x:v>
      </x:c>
      <x:c r="F248" s="27" t="str">
        <x:v>gē</x:v>
      </x:c>
      <x:c r="G248" s="20" t="str">
        <x:v>soil; by extension a region, or the solid part or the whole of the terrene globe (including the occupants in each application)</x:v>
      </x:c>
      <x:c r="H248" s="20" t="str"/>
      <x:c r="I248" s="21" t="n">
        <x:v>22</x:v>
      </x:c>
      <x:c r="J248" s="21" t="str">
        <x:v>BBG 課序</x:v>
      </x:c>
      <x:c r="K248" s="21" t="str">
        <x:v>G1093</x:v>
      </x:c>
      <x:c r="L248" s="21" t="str">
        <x:v>否</x:v>
      </x:c>
      <x:c r="M248" s="21" t="str"/>
      <x:c r="N248" s="21" t="str">
        <x:v>source_and_lexicon_matched</x:v>
      </x:c>
      <x:c r="O248" s="21" t="str">
        <x:v>rule_generated_from_official_table</x:v>
      </x:c>
      <x:c r="P248" s="21" t="n">
        <x:v>5</x:v>
      </x:c>
      <x:c r="Q248" s="21" t="str">
        <x:v>https://doxa.billmounce.com/Flashcards%20%28BBG%29.pdf</x:v>
      </x:c>
      <x:c r="R248" s="16" t="str"/>
    </x:row>
    <x:row r="249" ht="28" customHeight="1">
      <x:c r="A249" s="21" t="n">
        <x:v>245</x:v>
      </x:c>
      <x:c r="B249" s="21" t="n">
        <x:f>ROUNDUP(A249/50,0)</x:f>
        <x:v>5</x:v>
      </x:c>
      <x:c r="C249" s="21" t="n">
        <x:f>MOD(A249-1,50)+1</x:f>
        <x:v>45</x:v>
      </x:c>
      <x:c r="D249" s="29" t="str">
        <x:v>γίνομαι</x:v>
      </x:c>
      <x:c r="E249" s="29" t="str">
        <x:v>γίνομαι</x:v>
      </x:c>
      <x:c r="F249" s="27" t="str">
        <x:v>ginomai</x:v>
      </x:c>
      <x:c r="G249" s="20" t="str">
        <x:v>to cause to be ("gen"-erate), i.e. (reflexively) to become (come into being), used with great latitude (literal, figurative, intensive, etc.)</x:v>
      </x:c>
      <x:c r="H249" s="20" t="str"/>
      <x:c r="I249" s="21" t="n">
        <x:v>22</x:v>
      </x:c>
      <x:c r="J249" s="21" t="str">
        <x:v>BBG 課序</x:v>
      </x:c>
      <x:c r="K249" s="21" t="str">
        <x:v>G1096</x:v>
      </x:c>
      <x:c r="L249" s="21" t="str">
        <x:v>否</x:v>
      </x:c>
      <x:c r="M249" s="21" t="str"/>
      <x:c r="N249" s="21" t="str">
        <x:v>source_and_lexicon_matched</x:v>
      </x:c>
      <x:c r="O249" s="21" t="str">
        <x:v>rule_generated_from_official_table</x:v>
      </x:c>
      <x:c r="P249" s="21" t="n">
        <x:v>5</x:v>
      </x:c>
      <x:c r="Q249" s="21" t="str">
        <x:v>https://doxa.billmounce.com/Flashcards%20%28BBG%29.pdf</x:v>
      </x:c>
      <x:c r="R249" s="16" t="str"/>
    </x:row>
    <x:row r="250" ht="28" customHeight="1">
      <x:c r="A250" s="21" t="n">
        <x:v>246</x:v>
      </x:c>
      <x:c r="B250" s="21" t="n">
        <x:f>ROUNDUP(A250/50,0)</x:f>
        <x:v>5</x:v>
      </x:c>
      <x:c r="C250" s="21" t="n">
        <x:f>MOD(A250-1,50)+1</x:f>
        <x:v>46</x:v>
      </x:c>
      <x:c r="D250" s="29" t="str">
        <x:v>εἰσέρχομαι</x:v>
      </x:c>
      <x:c r="E250" s="29" t="str">
        <x:v>εἰσέρχομαι</x:v>
      </x:c>
      <x:c r="F250" s="27" t="str">
        <x:v>eiserchomai</x:v>
      </x:c>
      <x:c r="G250" s="20" t="str">
        <x:v>to enter (literally or figuratively)</x:v>
      </x:c>
      <x:c r="H250" s="20" t="str"/>
      <x:c r="I250" s="21" t="n">
        <x:v>22</x:v>
      </x:c>
      <x:c r="J250" s="21" t="str">
        <x:v>BBG 課序</x:v>
      </x:c>
      <x:c r="K250" s="21" t="str">
        <x:v>G1525</x:v>
      </x:c>
      <x:c r="L250" s="21" t="str">
        <x:v>否</x:v>
      </x:c>
      <x:c r="M250" s="21" t="str"/>
      <x:c r="N250" s="21" t="str">
        <x:v>source_and_lexicon_matched</x:v>
      </x:c>
      <x:c r="O250" s="21" t="str">
        <x:v>rule_generated_from_official_table</x:v>
      </x:c>
      <x:c r="P250" s="21" t="n">
        <x:v>5</x:v>
      </x:c>
      <x:c r="Q250" s="21" t="str">
        <x:v>https://doxa.billmounce.com/Flashcards%20%28BBG%29.pdf</x:v>
      </x:c>
      <x:c r="R250" s="16" t="str"/>
    </x:row>
    <x:row r="251" ht="28" customHeight="1">
      <x:c r="A251" s="21" t="n">
        <x:v>247</x:v>
      </x:c>
      <x:c r="B251" s="21" t="n">
        <x:f>ROUNDUP(A251/50,0)</x:f>
        <x:v>5</x:v>
      </x:c>
      <x:c r="C251" s="21" t="n">
        <x:f>MOD(A251-1,50)+1</x:f>
        <x:v>47</x:v>
      </x:c>
      <x:c r="D251" s="29" t="str">
        <x:v>ἐξέρχομαι</x:v>
      </x:c>
      <x:c r="E251" s="29" t="str">
        <x:v>ἐξέρχομαι</x:v>
      </x:c>
      <x:c r="F251" s="27" t="str">
        <x:v>exerchomai</x:v>
      </x:c>
      <x:c r="G251" s="20" t="str">
        <x:v>to issue (literally or figuratively)</x:v>
      </x:c>
      <x:c r="H251" s="20" t="str"/>
      <x:c r="I251" s="21" t="n">
        <x:v>22</x:v>
      </x:c>
      <x:c r="J251" s="21" t="str">
        <x:v>BBG 課序</x:v>
      </x:c>
      <x:c r="K251" s="21" t="str">
        <x:v>G1831</x:v>
      </x:c>
      <x:c r="L251" s="21" t="str">
        <x:v>否</x:v>
      </x:c>
      <x:c r="M251" s="21" t="str"/>
      <x:c r="N251" s="21" t="str">
        <x:v>source_and_lexicon_matched</x:v>
      </x:c>
      <x:c r="O251" s="21" t="str">
        <x:v>rule_generated_from_official_table</x:v>
      </x:c>
      <x:c r="P251" s="21" t="n">
        <x:v>5</x:v>
      </x:c>
      <x:c r="Q251" s="21" t="str">
        <x:v>https://doxa.billmounce.com/Flashcards%20%28BBG%29.pdf</x:v>
      </x:c>
      <x:c r="R251" s="16" t="str"/>
    </x:row>
    <x:row r="252" ht="28" customHeight="1">
      <x:c r="A252" s="21" t="n">
        <x:v>248</x:v>
      </x:c>
      <x:c r="B252" s="21" t="n">
        <x:f>ROUNDUP(A252/50,0)</x:f>
        <x:v>5</x:v>
      </x:c>
      <x:c r="C252" s="21" t="n">
        <x:f>MOD(A252-1,50)+1</x:f>
        <x:v>48</x:v>
      </x:c>
      <x:c r="D252" s="29" t="str">
        <x:v>ἔτι</x:v>
      </x:c>
      <x:c r="E252" s="29" t="str">
        <x:v>ἔτι</x:v>
      </x:c>
      <x:c r="F252" s="27" t="str">
        <x:v>eti</x:v>
      </x:c>
      <x:c r="G252" s="20" t="str">
        <x:v>"yet," still (of time or degree)</x:v>
      </x:c>
      <x:c r="H252" s="20" t="str"/>
      <x:c r="I252" s="21" t="n">
        <x:v>22</x:v>
      </x:c>
      <x:c r="J252" s="21" t="str">
        <x:v>BBG 課序</x:v>
      </x:c>
      <x:c r="K252" s="21" t="str">
        <x:v>G2089</x:v>
      </x:c>
      <x:c r="L252" s="21" t="str">
        <x:v>否</x:v>
      </x:c>
      <x:c r="M252" s="21" t="str"/>
      <x:c r="N252" s="21" t="str">
        <x:v>source_and_lexicon_matched</x:v>
      </x:c>
      <x:c r="O252" s="21" t="str">
        <x:v>rule_generated_from_official_table</x:v>
      </x:c>
      <x:c r="P252" s="21" t="n">
        <x:v>5</x:v>
      </x:c>
      <x:c r="Q252" s="21" t="str">
        <x:v>https://doxa.billmounce.com/Flashcards%20%28BBG%29.pdf</x:v>
      </x:c>
      <x:c r="R252" s="16" t="str"/>
    </x:row>
    <x:row r="253" ht="28" customHeight="1">
      <x:c r="A253" s="21" t="n">
        <x:v>249</x:v>
      </x:c>
      <x:c r="B253" s="21" t="n">
        <x:f>ROUNDUP(A253/50,0)</x:f>
        <x:v>5</x:v>
      </x:c>
      <x:c r="C253" s="21" t="n">
        <x:f>MOD(A253-1,50)+1</x:f>
        <x:v>49</x:v>
      </x:c>
      <x:c r="D253" s="29" t="str">
        <x:v>εὑρίσκω</x:v>
      </x:c>
      <x:c r="E253" s="29" t="str">
        <x:v>εὑρίσκω</x:v>
      </x:c>
      <x:c r="F253" s="27" t="str">
        <x:v>heuriskō</x:v>
      </x:c>
      <x:c r="G253" s="20" t="str">
        <x:v>to find (literally or figuratively)</x:v>
      </x:c>
      <x:c r="H253" s="20" t="str"/>
      <x:c r="I253" s="21" t="n">
        <x:v>22</x:v>
      </x:c>
      <x:c r="J253" s="21" t="str">
        <x:v>BBG 課序</x:v>
      </x:c>
      <x:c r="K253" s="21" t="str">
        <x:v>G2147</x:v>
      </x:c>
      <x:c r="L253" s="21" t="str">
        <x:v>否</x:v>
      </x:c>
      <x:c r="M253" s="21" t="str"/>
      <x:c r="N253" s="21" t="str">
        <x:v>source_and_lexicon_matched</x:v>
      </x:c>
      <x:c r="O253" s="21" t="str">
        <x:v>rule_generated_from_official_table</x:v>
      </x:c>
      <x:c r="P253" s="21" t="n">
        <x:v>5</x:v>
      </x:c>
      <x:c r="Q253" s="21" t="str">
        <x:v>https://doxa.billmounce.com/Flashcards%20%28BBG%29.pdf</x:v>
      </x:c>
      <x:c r="R253" s="16" t="str"/>
    </x:row>
    <x:row r="254" ht="28" customHeight="1">
      <x:c r="A254" s="21" t="n">
        <x:v>250</x:v>
      </x:c>
      <x:c r="B254" s="21" t="n">
        <x:f>ROUNDUP(A254/50,0)</x:f>
        <x:v>5</x:v>
      </x:c>
      <x:c r="C254" s="21" t="n">
        <x:f>MOD(A254-1,50)+1</x:f>
        <x:v>50</x:v>
      </x:c>
      <x:c r="D254" s="29" t="str">
        <x:v>λαμβάνω</x:v>
      </x:c>
      <x:c r="E254" s="29" t="str">
        <x:v>λαμβάνω</x:v>
      </x:c>
      <x:c r="F254" s="27" t="str">
        <x:v>lambanō</x:v>
      </x:c>
      <x:c r="G254" s="20" t="str">
        <x:v>while G138 (αἱρέομαι) is more violent, to seize or remove))</x:v>
      </x:c>
      <x:c r="H254" s="20" t="str"/>
      <x:c r="I254" s="21" t="n">
        <x:v>22</x:v>
      </x:c>
      <x:c r="J254" s="21" t="str">
        <x:v>BBG 課序</x:v>
      </x:c>
      <x:c r="K254" s="21" t="str">
        <x:v>G2983</x:v>
      </x:c>
      <x:c r="L254" s="21" t="str">
        <x:v>否</x:v>
      </x:c>
      <x:c r="M254" s="21" t="str"/>
      <x:c r="N254" s="21" t="str">
        <x:v>source_and_lexicon_matched</x:v>
      </x:c>
      <x:c r="O254" s="21" t="str">
        <x:v>rule_generated_from_official_table</x:v>
      </x:c>
      <x:c r="P254" s="21" t="n">
        <x:v>5</x:v>
      </x:c>
      <x:c r="Q254" s="21" t="str">
        <x:v>https://doxa.billmounce.com/Flashcards%20%28BBG%29.pdf</x:v>
      </x:c>
      <x:c r="R254" s="16" t="str"/>
    </x:row>
    <x:row r="255" ht="28" customHeight="1">
      <x:c r="A255" s="21" t="n">
        <x:v>251</x:v>
      </x:c>
      <x:c r="B255" s="21" t="n">
        <x:f>ROUNDUP(A255/50,0)</x:f>
        <x:v>6</x:v>
      </x:c>
      <x:c r="C255" s="21" t="n">
        <x:f>MOD(A255-1,50)+1</x:f>
        <x:v>1</x:v>
      </x:c>
      <x:c r="D255" s="29" t="str">
        <x:v>οὔτε</x:v>
      </x:c>
      <x:c r="E255" s="29" t="str">
        <x:v>οὔτε</x:v>
      </x:c>
      <x:c r="F255" s="27" t="str">
        <x:v>oute</x:v>
      </x:c>
      <x:c r="G255" s="20" t="str">
        <x:v>not too, i.e. neither or nor; by analogy, not even</x:v>
      </x:c>
      <x:c r="H255" s="20" t="str"/>
      <x:c r="I255" s="21" t="n">
        <x:v>22</x:v>
      </x:c>
      <x:c r="J255" s="21" t="str">
        <x:v>BBG 課序</x:v>
      </x:c>
      <x:c r="K255" s="21" t="str">
        <x:v>G3777</x:v>
      </x:c>
      <x:c r="L255" s="21" t="str">
        <x:v>否</x:v>
      </x:c>
      <x:c r="M255" s="21" t="str"/>
      <x:c r="N255" s="21" t="str">
        <x:v>source_and_lexicon_matched</x:v>
      </x:c>
      <x:c r="O255" s="21" t="str">
        <x:v>rule_generated_from_official_table</x:v>
      </x:c>
      <x:c r="P255" s="21" t="n">
        <x:v>5</x:v>
      </x:c>
      <x:c r="Q255" s="21" t="str">
        <x:v>https://doxa.billmounce.com/Flashcards%20%28BBG%29.pdf</x:v>
      </x:c>
      <x:c r="R255" s="16" t="str"/>
    </x:row>
    <x:row r="256" ht="28" customHeight="1">
      <x:c r="A256" s="21" t="n">
        <x:v>252</x:v>
      </x:c>
      <x:c r="B256" s="21" t="n">
        <x:f>ROUNDUP(A256/50,0)</x:f>
        <x:v>6</x:v>
      </x:c>
      <x:c r="C256" s="21" t="n">
        <x:f>MOD(A256-1,50)+1</x:f>
        <x:v>2</x:v>
      </x:c>
      <x:c r="D256" s="29" t="str">
        <x:v>προσέρχομαι</x:v>
      </x:c>
      <x:c r="E256" s="29" t="str">
        <x:v>προσέρχομαι</x:v>
      </x:c>
      <x:c r="F256" s="27" t="str">
        <x:v>proserchomai</x:v>
      </x:c>
      <x:c r="G256" s="20" t="str">
        <x:v>to approach, i.e. (literally) come near, visit, or (figuratively) worship, assent to</x:v>
      </x:c>
      <x:c r="H256" s="20" t="str"/>
      <x:c r="I256" s="21" t="n">
        <x:v>22</x:v>
      </x:c>
      <x:c r="J256" s="21" t="str">
        <x:v>BBG 課序</x:v>
      </x:c>
      <x:c r="K256" s="21" t="str">
        <x:v>G4334</x:v>
      </x:c>
      <x:c r="L256" s="21" t="str">
        <x:v>否</x:v>
      </x:c>
      <x:c r="M256" s="21" t="str"/>
      <x:c r="N256" s="21" t="str">
        <x:v>source_and_lexicon_matched</x:v>
      </x:c>
      <x:c r="O256" s="21" t="str">
        <x:v>rule_generated_from_official_table</x:v>
      </x:c>
      <x:c r="P256" s="21" t="n">
        <x:v>5</x:v>
      </x:c>
      <x:c r="Q256" s="21" t="str">
        <x:v>https://doxa.billmounce.com/Flashcards%20%28BBG%29.pdf</x:v>
      </x:c>
      <x:c r="R256" s="16" t="str"/>
    </x:row>
    <x:row r="257" ht="28" customHeight="1">
      <x:c r="A257" s="21" t="n">
        <x:v>253</x:v>
      </x:c>
      <x:c r="B257" s="21" t="n">
        <x:f>ROUNDUP(A257/50,0)</x:f>
        <x:v>6</x:v>
      </x:c>
      <x:c r="C257" s="21" t="n">
        <x:f>MOD(A257-1,50)+1</x:f>
        <x:v>3</x:v>
      </x:c>
      <x:c r="D257" s="29" t="str">
        <x:v>προσεύχομαι</x:v>
      </x:c>
      <x:c r="E257" s="29" t="str">
        <x:v>προσεύχομαι</x:v>
      </x:c>
      <x:c r="F257" s="27" t="str">
        <x:v>proseuchomai</x:v>
      </x:c>
      <x:c r="G257" s="20" t="str">
        <x:v>to pray to God, i.e. supplicate, worship</x:v>
      </x:c>
      <x:c r="H257" s="20" t="str"/>
      <x:c r="I257" s="21" t="n">
        <x:v>22</x:v>
      </x:c>
      <x:c r="J257" s="21" t="str">
        <x:v>BBG 課序</x:v>
      </x:c>
      <x:c r="K257" s="21" t="str">
        <x:v>G4336</x:v>
      </x:c>
      <x:c r="L257" s="21" t="str">
        <x:v>否</x:v>
      </x:c>
      <x:c r="M257" s="21" t="str"/>
      <x:c r="N257" s="21" t="str">
        <x:v>source_and_lexicon_matched</x:v>
      </x:c>
      <x:c r="O257" s="21" t="str">
        <x:v>rule_generated_from_official_table</x:v>
      </x:c>
      <x:c r="P257" s="21" t="n">
        <x:v>5</x:v>
      </x:c>
      <x:c r="Q257" s="21" t="str">
        <x:v>https://doxa.billmounce.com/Flashcards%20%28BBG%29.pdf</x:v>
      </x:c>
      <x:c r="R257" s="16" t="str"/>
    </x:row>
    <x:row r="258" ht="28" customHeight="1">
      <x:c r="A258" s="21" t="n">
        <x:v>254</x:v>
      </x:c>
      <x:c r="B258" s="21" t="n">
        <x:f>ROUNDUP(A258/50,0)</x:f>
        <x:v>6</x:v>
      </x:c>
      <x:c r="C258" s="21" t="n">
        <x:f>MOD(A258-1,50)+1</x:f>
        <x:v>4</x:v>
      </x:c>
      <x:c r="D258" s="29" t="str">
        <x:v>πῦρ, πυρός, τό</x:v>
      </x:c>
      <x:c r="E258" s="29" t="str">
        <x:v>πῦρ</x:v>
      </x:c>
      <x:c r="F258" s="27" t="str">
        <x:v>pur</x:v>
      </x:c>
      <x:c r="G258" s="20" t="str">
        <x:v>"fire" (literally or figuratively, specially, lightning)</x:v>
      </x:c>
      <x:c r="H258" s="20" t="str"/>
      <x:c r="I258" s="21" t="n">
        <x:v>22</x:v>
      </x:c>
      <x:c r="J258" s="21" t="str">
        <x:v>BBG 課序</x:v>
      </x:c>
      <x:c r="K258" s="21" t="str">
        <x:v>G4442</x:v>
      </x:c>
      <x:c r="L258" s="21" t="str">
        <x:v>否</x:v>
      </x:c>
      <x:c r="M258" s="21" t="str"/>
      <x:c r="N258" s="21" t="str">
        <x:v>source_and_lexicon_matched</x:v>
      </x:c>
      <x:c r="O258" s="21" t="str">
        <x:v>rule_generated_from_official_table</x:v>
      </x:c>
      <x:c r="P258" s="21" t="n">
        <x:v>5</x:v>
      </x:c>
      <x:c r="Q258" s="21" t="str">
        <x:v>https://doxa.billmounce.com/Flashcards%20%28BBG%29.pdf</x:v>
      </x:c>
      <x:c r="R258" s="16" t="str"/>
    </x:row>
    <x:row r="259" ht="28" customHeight="1">
      <x:c r="A259" s="21" t="n">
        <x:v>255</x:v>
      </x:c>
      <x:c r="B259" s="21" t="n">
        <x:f>ROUNDUP(A259/50,0)</x:f>
        <x:v>6</x:v>
      </x:c>
      <x:c r="C259" s="21" t="n">
        <x:f>MOD(A259-1,50)+1</x:f>
        <x:v>5</x:v>
      </x:c>
      <x:c r="D259" s="29" t="str">
        <x:v>ἀπέρχομαι</x:v>
      </x:c>
      <x:c r="E259" s="29" t="str">
        <x:v>ἀπέρχομαι</x:v>
      </x:c>
      <x:c r="F259" s="27" t="str">
        <x:v>aperchomai</x:v>
      </x:c>
      <x:c r="G259" s="20" t="str">
        <x:v>to go off (i.e. depart), aside (i.e. apart) or behind (i.e. follow), literally or figuratively</x:v>
      </x:c>
      <x:c r="H259" s="20" t="str"/>
      <x:c r="I259" s="21" t="n">
        <x:v>23</x:v>
      </x:c>
      <x:c r="J259" s="21" t="str">
        <x:v>BBG 課序</x:v>
      </x:c>
      <x:c r="K259" s="21" t="str">
        <x:v>G565</x:v>
      </x:c>
      <x:c r="L259" s="21" t="str">
        <x:v>否</x:v>
      </x:c>
      <x:c r="M259" s="21" t="str"/>
      <x:c r="N259" s="21" t="str">
        <x:v>source_and_lexicon_matched</x:v>
      </x:c>
      <x:c r="O259" s="21" t="str">
        <x:v>rule_generated_from_official_table</x:v>
      </x:c>
      <x:c r="P259" s="21" t="n">
        <x:v>5</x:v>
      </x:c>
      <x:c r="Q259" s="21" t="str">
        <x:v>https://doxa.billmounce.com/Flashcards%20%28BBG%29.pdf</x:v>
      </x:c>
      <x:c r="R259" s="16" t="str"/>
    </x:row>
    <x:row r="260" ht="28" customHeight="1">
      <x:c r="A260" s="21" t="n">
        <x:v>256</x:v>
      </x:c>
      <x:c r="B260" s="21" t="n">
        <x:f>ROUNDUP(A260/50,0)</x:f>
        <x:v>6</x:v>
      </x:c>
      <x:c r="C260" s="21" t="n">
        <x:f>MOD(A260-1,50)+1</x:f>
        <x:v>6</x:v>
      </x:c>
      <x:c r="D260" s="29" t="str">
        <x:v>ἄρχομαι</x:v>
      </x:c>
      <x:c r="E260" s="29" t="str">
        <x:v>ἄρχομαι</x:v>
      </x:c>
      <x:c r="F260" s="27" t="str">
        <x:v>archomai</x:v>
      </x:c>
      <x:c r="G260" s="20" t="str">
        <x:v>to commence (in order of time)</x:v>
      </x:c>
      <x:c r="H260" s="20" t="str"/>
      <x:c r="I260" s="21" t="n">
        <x:v>23</x:v>
      </x:c>
      <x:c r="J260" s="21" t="str">
        <x:v>BBG 課序</x:v>
      </x:c>
      <x:c r="K260" s="21" t="str">
        <x:v>G756</x:v>
      </x:c>
      <x:c r="L260" s="21" t="str">
        <x:v>否</x:v>
      </x:c>
      <x:c r="M260" s="21" t="str"/>
      <x:c r="N260" s="21" t="str">
        <x:v>source_and_lexicon_matched</x:v>
      </x:c>
      <x:c r="O260" s="21" t="str">
        <x:v>rule_generated_from_official_table</x:v>
      </x:c>
      <x:c r="P260" s="21" t="n">
        <x:v>5</x:v>
      </x:c>
      <x:c r="Q260" s="21" t="str">
        <x:v>https://doxa.billmounce.com/Flashcards%20%28BBG%29.pdf</x:v>
      </x:c>
      <x:c r="R260" s="16" t="str"/>
    </x:row>
    <x:row r="261" ht="28" customHeight="1">
      <x:c r="A261" s="21" t="n">
        <x:v>257</x:v>
      </x:c>
      <x:c r="B261" s="21" t="n">
        <x:f>ROUNDUP(A261/50,0)</x:f>
        <x:v>6</x:v>
      </x:c>
      <x:c r="C261" s="21" t="n">
        <x:f>MOD(A261-1,50)+1</x:f>
        <x:v>7</x:v>
      </x:c>
      <x:c r="D261" s="29" t="str">
        <x:v>γράφω</x:v>
      </x:c>
      <x:c r="E261" s="29" t="str">
        <x:v>γράφω</x:v>
      </x:c>
      <x:c r="F261" s="27" t="str">
        <x:v>graphō</x:v>
      </x:c>
      <x:c r="G261" s="20" t="str">
        <x:v>to "grave", especially to write; figuratively, to describe</x:v>
      </x:c>
      <x:c r="H261" s="20" t="str"/>
      <x:c r="I261" s="21" t="n">
        <x:v>23</x:v>
      </x:c>
      <x:c r="J261" s="21" t="str">
        <x:v>BBG 課序</x:v>
      </x:c>
      <x:c r="K261" s="21" t="str">
        <x:v>G1125</x:v>
      </x:c>
      <x:c r="L261" s="21" t="str">
        <x:v>否</x:v>
      </x:c>
      <x:c r="M261" s="21" t="str"/>
      <x:c r="N261" s="21" t="str">
        <x:v>source_and_lexicon_matched</x:v>
      </x:c>
      <x:c r="O261" s="21" t="str">
        <x:v>rule_generated_from_official_table</x:v>
      </x:c>
      <x:c r="P261" s="21" t="n">
        <x:v>5</x:v>
      </x:c>
      <x:c r="Q261" s="21" t="str">
        <x:v>https://doxa.billmounce.com/Flashcards%20%28BBG%29.pdf</x:v>
      </x:c>
      <x:c r="R261" s="16" t="str"/>
    </x:row>
    <x:row r="262" ht="28" customHeight="1">
      <x:c r="A262" s="21" t="n">
        <x:v>258</x:v>
      </x:c>
      <x:c r="B262" s="21" t="n">
        <x:f>ROUNDUP(A262/50,0)</x:f>
        <x:v>6</x:v>
      </x:c>
      <x:c r="C262" s="21" t="n">
        <x:f>MOD(A262-1,50)+1</x:f>
        <x:v>8</x:v>
      </x:c>
      <x:c r="D262" s="29" t="str">
        <x:v>διό</x:v>
      </x:c>
      <x:c r="E262" s="29" t="str">
        <x:v>διό</x:v>
      </x:c>
      <x:c r="F262" s="27" t="str">
        <x:v>dio</x:v>
      </x:c>
      <x:c r="G262" s="20" t="str">
        <x:v>through which thing, i.e. consequently</x:v>
      </x:c>
      <x:c r="H262" s="20" t="str"/>
      <x:c r="I262" s="21" t="n">
        <x:v>23</x:v>
      </x:c>
      <x:c r="J262" s="21" t="str">
        <x:v>BBG 課序</x:v>
      </x:c>
      <x:c r="K262" s="21" t="str">
        <x:v>G1352</x:v>
      </x:c>
      <x:c r="L262" s="21" t="str">
        <x:v>否</x:v>
      </x:c>
      <x:c r="M262" s="21" t="str"/>
      <x:c r="N262" s="21" t="str">
        <x:v>source_and_lexicon_matched</x:v>
      </x:c>
      <x:c r="O262" s="21" t="str">
        <x:v>rule_generated_from_official_table</x:v>
      </x:c>
      <x:c r="P262" s="21" t="n">
        <x:v>5</x:v>
      </x:c>
      <x:c r="Q262" s="21" t="str">
        <x:v>https://doxa.billmounce.com/Flashcards%20%28BBG%29.pdf</x:v>
      </x:c>
      <x:c r="R262" s="16" t="str"/>
    </x:row>
    <x:row r="263" ht="28" customHeight="1">
      <x:c r="A263" s="21" t="n">
        <x:v>259</x:v>
      </x:c>
      <x:c r="B263" s="21" t="n">
        <x:f>ROUNDUP(A263/50,0)</x:f>
        <x:v>6</x:v>
      </x:c>
      <x:c r="C263" s="21" t="n">
        <x:f>MOD(A263-1,50)+1</x:f>
        <x:v>9</x:v>
      </x:c>
      <x:c r="D263" s="29" t="str">
        <x:v>δοξάζω</x:v>
      </x:c>
      <x:c r="E263" s="29" t="str">
        <x:v>δοξάζω</x:v>
      </x:c>
      <x:c r="F263" s="27" t="str">
        <x:v>doxazō</x:v>
      </x:c>
      <x:c r="G263" s="20" t="str">
        <x:v>to render (or esteem) glorious (in a wide application)</x:v>
      </x:c>
      <x:c r="H263" s="20" t="str"/>
      <x:c r="I263" s="21" t="n">
        <x:v>23</x:v>
      </x:c>
      <x:c r="J263" s="21" t="str">
        <x:v>BBG 課序</x:v>
      </x:c>
      <x:c r="K263" s="21" t="str">
        <x:v>G1392</x:v>
      </x:c>
      <x:c r="L263" s="21" t="str">
        <x:v>否</x:v>
      </x:c>
      <x:c r="M263" s="21" t="str"/>
      <x:c r="N263" s="21" t="str">
        <x:v>source_and_lexicon_matched</x:v>
      </x:c>
      <x:c r="O263" s="21" t="str">
        <x:v>rule_generated_from_official_table</x:v>
      </x:c>
      <x:c r="P263" s="21" t="n">
        <x:v>5</x:v>
      </x:c>
      <x:c r="Q263" s="21" t="str">
        <x:v>https://doxa.billmounce.com/Flashcards%20%28BBG%29.pdf</x:v>
      </x:c>
      <x:c r="R263" s="16" t="str"/>
    </x:row>
    <x:row r="264" ht="28" customHeight="1">
      <x:c r="A264" s="21" t="n">
        <x:v>260</x:v>
      </x:c>
      <x:c r="B264" s="21" t="n">
        <x:f>ROUNDUP(A264/50,0)</x:f>
        <x:v>6</x:v>
      </x:c>
      <x:c r="C264" s="21" t="n">
        <x:f>MOD(A264-1,50)+1</x:f>
        <x:v>10</x:v>
      </x:c>
      <x:c r="D264" s="29" t="str">
        <x:v>δύναμις, -εως, ἡ</x:v>
      </x:c>
      <x:c r="E264" s="29" t="str">
        <x:v>δύναμις</x:v>
      </x:c>
      <x:c r="F264" s="27" t="str">
        <x:v>dunamis</x:v>
      </x:c>
      <x:c r="G264" s="20" t="str">
        <x:v>force (literally or figuratively); specially, miraculous power (usually by implication, a miracle itself)</x:v>
      </x:c>
      <x:c r="H264" s="20" t="str"/>
      <x:c r="I264" s="21" t="n">
        <x:v>23</x:v>
      </x:c>
      <x:c r="J264" s="21" t="str">
        <x:v>BBG 課序</x:v>
      </x:c>
      <x:c r="K264" s="21" t="str">
        <x:v>G1411</x:v>
      </x:c>
      <x:c r="L264" s="21" t="str">
        <x:v>否</x:v>
      </x:c>
      <x:c r="M264" s="21" t="str"/>
      <x:c r="N264" s="21" t="str">
        <x:v>source_and_lexicon_matched</x:v>
      </x:c>
      <x:c r="O264" s="21" t="str">
        <x:v>rule_generated_from_official_table</x:v>
      </x:c>
      <x:c r="P264" s="21" t="n">
        <x:v>5</x:v>
      </x:c>
      <x:c r="Q264" s="21" t="str">
        <x:v>https://doxa.billmounce.com/Flashcards%20%28BBG%29.pdf</x:v>
      </x:c>
      <x:c r="R264" s="16" t="str"/>
    </x:row>
    <x:row r="265" ht="28" customHeight="1">
      <x:c r="A265" s="21" t="n">
        <x:v>261</x:v>
      </x:c>
      <x:c r="B265" s="21" t="n">
        <x:f>ROUNDUP(A265/50,0)</x:f>
        <x:v>6</x:v>
      </x:c>
      <x:c r="C265" s="21" t="n">
        <x:f>MOD(A265-1,50)+1</x:f>
        <x:v>11</x:v>
      </x:c>
      <x:c r="D265" s="29" t="str">
        <x:v>κηρύσσω</x:v>
      </x:c>
      <x:c r="E265" s="29" t="str">
        <x:v>κηρύσσω</x:v>
      </x:c>
      <x:c r="F265" s="27" t="str">
        <x:v>kērussō</x:v>
      </x:c>
      <x:c r="G265" s="20" t="str">
        <x:v>to herald (as a public crier), especially divine truth (the gospel)</x:v>
      </x:c>
      <x:c r="H265" s="20" t="str"/>
      <x:c r="I265" s="21" t="n">
        <x:v>23</x:v>
      </x:c>
      <x:c r="J265" s="21" t="str">
        <x:v>BBG 課序</x:v>
      </x:c>
      <x:c r="K265" s="21" t="str">
        <x:v>G2784</x:v>
      </x:c>
      <x:c r="L265" s="21" t="str">
        <x:v>否</x:v>
      </x:c>
      <x:c r="M265" s="21" t="str"/>
      <x:c r="N265" s="21" t="str">
        <x:v>source_and_lexicon_matched</x:v>
      </x:c>
      <x:c r="O265" s="21" t="str">
        <x:v>rule_generated_from_official_table</x:v>
      </x:c>
      <x:c r="P265" s="21" t="n">
        <x:v>5</x:v>
      </x:c>
      <x:c r="Q265" s="21" t="str">
        <x:v>https://doxa.billmounce.com/Flashcards%20%28BBG%29.pdf</x:v>
      </x:c>
      <x:c r="R265" s="16" t="str"/>
    </x:row>
    <x:row r="266" ht="28" customHeight="1">
      <x:c r="A266" s="21" t="n">
        <x:v>262</x:v>
      </x:c>
      <x:c r="B266" s="21" t="n">
        <x:f>ROUNDUP(A266/50,0)</x:f>
        <x:v>6</x:v>
      </x:c>
      <x:c r="C266" s="21" t="n">
        <x:f>MOD(A266-1,50)+1</x:f>
        <x:v>12</x:v>
      </x:c>
      <x:c r="D266" s="29" t="str">
        <x:v>πίνω</x:v>
      </x:c>
      <x:c r="E266" s="29" t="str">
        <x:v>πίνω</x:v>
      </x:c>
      <x:c r="F266" s="27" t="str">
        <x:v>pinō</x:v>
      </x:c>
      <x:c r="G266" s="20" t="str">
        <x:v>to imbibe (literally or figuratively)</x:v>
      </x:c>
      <x:c r="H266" s="20" t="str"/>
      <x:c r="I266" s="21" t="n">
        <x:v>23</x:v>
      </x:c>
      <x:c r="J266" s="21" t="str">
        <x:v>BBG 課序</x:v>
      </x:c>
      <x:c r="K266" s="21" t="str">
        <x:v>G4095</x:v>
      </x:c>
      <x:c r="L266" s="21" t="str">
        <x:v>否</x:v>
      </x:c>
      <x:c r="M266" s="21" t="str"/>
      <x:c r="N266" s="21" t="str">
        <x:v>source_and_lexicon_matched</x:v>
      </x:c>
      <x:c r="O266" s="21" t="str">
        <x:v>rule_generated_from_official_table</x:v>
      </x:c>
      <x:c r="P266" s="21" t="n">
        <x:v>5</x:v>
      </x:c>
      <x:c r="Q266" s="21" t="str">
        <x:v>https://doxa.billmounce.com/Flashcards%20%28BBG%29.pdf</x:v>
      </x:c>
      <x:c r="R266" s="16" t="str"/>
    </x:row>
    <x:row r="267" ht="28" customHeight="1">
      <x:c r="A267" s="21" t="n">
        <x:v>263</x:v>
      </x:c>
      <x:c r="B267" s="21" t="n">
        <x:f>ROUNDUP(A267/50,0)</x:f>
        <x:v>6</x:v>
      </x:c>
      <x:c r="C267" s="21" t="n">
        <x:f>MOD(A267-1,50)+1</x:f>
        <x:v>13</x:v>
      </x:c>
      <x:c r="D267" s="29" t="str">
        <x:v>ἄγω</x:v>
      </x:c>
      <x:c r="E267" s="29" t="str">
        <x:v>ἄγω</x:v>
      </x:c>
      <x:c r="F267" s="27" t="str">
        <x:v>agō</x:v>
      </x:c>
      <x:c r="G267" s="20" t="str">
        <x:v>properly, to lead; by implication, to bring, drive, (reflexively) go, (specially) pass (time), or (figuratively) induce</x:v>
      </x:c>
      <x:c r="H267" s="20" t="str"/>
      <x:c r="I267" s="21" t="n">
        <x:v>24</x:v>
      </x:c>
      <x:c r="J267" s="21" t="str">
        <x:v>BBG 課序</x:v>
      </x:c>
      <x:c r="K267" s="21" t="str">
        <x:v>G71</x:v>
      </x:c>
      <x:c r="L267" s="21" t="str">
        <x:v>否</x:v>
      </x:c>
      <x:c r="M267" s="21" t="str"/>
      <x:c r="N267" s="21" t="str">
        <x:v>source_and_lexicon_matched</x:v>
      </x:c>
      <x:c r="O267" s="21" t="str">
        <x:v>rule_generated_from_official_table</x:v>
      </x:c>
      <x:c r="P267" s="21" t="n">
        <x:v>5</x:v>
      </x:c>
      <x:c r="Q267" s="21" t="str">
        <x:v>https://doxa.billmounce.com/Flashcards%20%28BBG%29.pdf</x:v>
      </x:c>
      <x:c r="R267" s="16" t="str"/>
    </x:row>
    <x:row r="268" ht="28" customHeight="1">
      <x:c r="A268" s="21" t="n">
        <x:v>264</x:v>
      </x:c>
      <x:c r="B268" s="21" t="n">
        <x:f>ROUNDUP(A268/50,0)</x:f>
        <x:v>6</x:v>
      </x:c>
      <x:c r="C268" s="21" t="n">
        <x:f>MOD(A268-1,50)+1</x:f>
        <x:v>14</x:v>
      </x:c>
      <x:c r="D268" s="29" t="str">
        <x:v>αἷμα, -ατος, τό</x:v>
      </x:c>
      <x:c r="E268" s="29" t="str">
        <x:v>αἷμα</x:v>
      </x:c>
      <x:c r="F268" s="27" t="str">
        <x:v>haima</x:v>
      </x:c>
      <x:c r="G268" s="20" t="str">
        <x:v>blood, literally (of men or animals), figuratively (the juice of grapes) or specially (the atoning blood of Christ); by implication, bloodshed, also kindred</x:v>
      </x:c>
      <x:c r="H268" s="20" t="str"/>
      <x:c r="I268" s="21" t="n">
        <x:v>24</x:v>
      </x:c>
      <x:c r="J268" s="21" t="str">
        <x:v>BBG 課序</x:v>
      </x:c>
      <x:c r="K268" s="21" t="str">
        <x:v>G129</x:v>
      </x:c>
      <x:c r="L268" s="21" t="str">
        <x:v>否</x:v>
      </x:c>
      <x:c r="M268" s="21" t="str"/>
      <x:c r="N268" s="21" t="str">
        <x:v>source_and_lexicon_matched</x:v>
      </x:c>
      <x:c r="O268" s="21" t="str">
        <x:v>rule_generated_from_official_table</x:v>
      </x:c>
      <x:c r="P268" s="21" t="n">
        <x:v>5</x:v>
      </x:c>
      <x:c r="Q268" s="21" t="str">
        <x:v>https://doxa.billmounce.com/Flashcards%20%28BBG%29.pdf</x:v>
      </x:c>
      <x:c r="R268" s="16" t="str"/>
    </x:row>
    <x:row r="269" ht="28" customHeight="1">
      <x:c r="A269" s="21" t="n">
        <x:v>265</x:v>
      </x:c>
      <x:c r="B269" s="21" t="n">
        <x:f>ROUNDUP(A269/50,0)</x:f>
        <x:v>6</x:v>
      </x:c>
      <x:c r="C269" s="21" t="n">
        <x:f>MOD(A269-1,50)+1</x:f>
        <x:v>15</x:v>
      </x:c>
      <x:c r="D269" s="29" t="str">
        <x:v>ἕκαστος, -η, -ον</x:v>
      </x:c>
      <x:c r="E269" s="29" t="str">
        <x:v>ἕκαστος</x:v>
      </x:c>
      <x:c r="F269" s="27" t="str">
        <x:v>hekastos</x:v>
      </x:c>
      <x:c r="G269" s="20" t="str">
        <x:v>each or every</x:v>
      </x:c>
      <x:c r="H269" s="20" t="str"/>
      <x:c r="I269" s="21" t="n">
        <x:v>24</x:v>
      </x:c>
      <x:c r="J269" s="21" t="str">
        <x:v>BBG 課序</x:v>
      </x:c>
      <x:c r="K269" s="21" t="str">
        <x:v>G1538</x:v>
      </x:c>
      <x:c r="L269" s="21" t="str">
        <x:v>否</x:v>
      </x:c>
      <x:c r="M269" s="21" t="str"/>
      <x:c r="N269" s="21" t="str">
        <x:v>source_and_lexicon_matched</x:v>
      </x:c>
      <x:c r="O269" s="21" t="str">
        <x:v>rule_generated_from_official_table</x:v>
      </x:c>
      <x:c r="P269" s="21" t="n">
        <x:v>5</x:v>
      </x:c>
      <x:c r="Q269" s="21" t="str">
        <x:v>https://doxa.billmounce.com/Flashcards%20%28BBG%29.pdf</x:v>
      </x:c>
      <x:c r="R269" s="16" t="str"/>
    </x:row>
    <x:row r="270" ht="28" customHeight="1">
      <x:c r="A270" s="21" t="n">
        <x:v>266</x:v>
      </x:c>
      <x:c r="B270" s="21" t="n">
        <x:f>ROUNDUP(A270/50,0)</x:f>
        <x:v>6</x:v>
      </x:c>
      <x:c r="C270" s="21" t="n">
        <x:f>MOD(A270-1,50)+1</x:f>
        <x:v>16</x:v>
      </x:c>
      <x:c r="D270" s="29" t="str">
        <x:v>ἱμάτιον, -ου, τό</x:v>
      </x:c>
      <x:c r="E270" s="29" t="str">
        <x:v>ἱμάτιον</x:v>
      </x:c>
      <x:c r="F270" s="27" t="str">
        <x:v>himation</x:v>
      </x:c>
      <x:c r="G270" s="20" t="str">
        <x:v>a dress (inner or outer)</x:v>
      </x:c>
      <x:c r="H270" s="20" t="str"/>
      <x:c r="I270" s="21" t="n">
        <x:v>24</x:v>
      </x:c>
      <x:c r="J270" s="21" t="str">
        <x:v>BBG 課序</x:v>
      </x:c>
      <x:c r="K270" s="21" t="str">
        <x:v>G2440</x:v>
      </x:c>
      <x:c r="L270" s="21" t="str">
        <x:v>否</x:v>
      </x:c>
      <x:c r="M270" s="21" t="str"/>
      <x:c r="N270" s="21" t="str">
        <x:v>source_and_lexicon_matched</x:v>
      </x:c>
      <x:c r="O270" s="21" t="str">
        <x:v>rule_generated_from_official_table</x:v>
      </x:c>
      <x:c r="P270" s="21" t="n">
        <x:v>5</x:v>
      </x:c>
      <x:c r="Q270" s="21" t="str">
        <x:v>https://doxa.billmounce.com/Flashcards%20%28BBG%29.pdf</x:v>
      </x:c>
      <x:c r="R270" s="16" t="str"/>
    </x:row>
    <x:row r="271" ht="28" customHeight="1">
      <x:c r="A271" s="21" t="n">
        <x:v>267</x:v>
      </x:c>
      <x:c r="B271" s="21" t="n">
        <x:f>ROUNDUP(A271/50,0)</x:f>
        <x:v>6</x:v>
      </x:c>
      <x:c r="C271" s="21" t="n">
        <x:f>MOD(A271-1,50)+1</x:f>
        <x:v>17</x:v>
      </x:c>
      <x:c r="D271" s="29" t="str">
        <x:v>ὄρος, ὄρους, τό</x:v>
      </x:c>
      <x:c r="E271" s="29" t="str">
        <x:v>ὄρος</x:v>
      </x:c>
      <x:c r="F271" s="27" t="str">
        <x:v>oros</x:v>
      </x:c>
      <x:c r="G271" s="20" t="str">
        <x:v>perhaps akin to G142 (αἴρω); compare G3733 (ὄρνις)); a mountain (as lifting itself above the plain)</x:v>
      </x:c>
      <x:c r="H271" s="20" t="str"/>
      <x:c r="I271" s="21" t="n">
        <x:v>24</x:v>
      </x:c>
      <x:c r="J271" s="21" t="str">
        <x:v>BBG 課序</x:v>
      </x:c>
      <x:c r="K271" s="21" t="str">
        <x:v>G3735</x:v>
      </x:c>
      <x:c r="L271" s="21" t="str">
        <x:v>否</x:v>
      </x:c>
      <x:c r="M271" s="21" t="str"/>
      <x:c r="N271" s="21" t="str">
        <x:v>source_and_lexicon_matched</x:v>
      </x:c>
      <x:c r="O271" s="21" t="str">
        <x:v>rule_generated_from_official_table</x:v>
      </x:c>
      <x:c r="P271" s="21" t="n">
        <x:v>5</x:v>
      </x:c>
      <x:c r="Q271" s="21" t="str">
        <x:v>https://doxa.billmounce.com/Flashcards%20%28BBG%29.pdf</x:v>
      </x:c>
      <x:c r="R271" s="16" t="str"/>
    </x:row>
    <x:row r="272" ht="28" customHeight="1">
      <x:c r="A272" s="21" t="n">
        <x:v>268</x:v>
      </x:c>
      <x:c r="B272" s="21" t="n">
        <x:f>ROUNDUP(A272/50,0)</x:f>
        <x:v>6</x:v>
      </x:c>
      <x:c r="C272" s="21" t="n">
        <x:f>MOD(A272-1,50)+1</x:f>
        <x:v>18</x:v>
      </x:c>
      <x:c r="D272" s="29" t="str">
        <x:v>ὑπάγω</x:v>
      </x:c>
      <x:c r="E272" s="29" t="str">
        <x:v>ὑπάγω</x:v>
      </x:c>
      <x:c r="F272" s="27" t="str">
        <x:v>hupagō</x:v>
      </x:c>
      <x:c r="G272" s="20" t="str">
        <x:v>to lead (oneself) under, i.e. withdraw or retire (as if sinking out of sight), literally or figuratively</x:v>
      </x:c>
      <x:c r="H272" s="20" t="str"/>
      <x:c r="I272" s="21" t="n">
        <x:v>24</x:v>
      </x:c>
      <x:c r="J272" s="21" t="str">
        <x:v>BBG 課序</x:v>
      </x:c>
      <x:c r="K272" s="21" t="str">
        <x:v>G5217</x:v>
      </x:c>
      <x:c r="L272" s="21" t="str">
        <x:v>否</x:v>
      </x:c>
      <x:c r="M272" s="21" t="str"/>
      <x:c r="N272" s="21" t="str">
        <x:v>source_and_lexicon_matched</x:v>
      </x:c>
      <x:c r="O272" s="21" t="str">
        <x:v>rule_generated_from_official_table</x:v>
      </x:c>
      <x:c r="P272" s="21" t="n">
        <x:v>5</x:v>
      </x:c>
      <x:c r="Q272" s="21" t="str">
        <x:v>https://doxa.billmounce.com/Flashcards%20%28BBG%29.pdf</x:v>
      </x:c>
      <x:c r="R272" s="16" t="str"/>
    </x:row>
    <x:row r="273" ht="28" customHeight="1">
      <x:c r="A273" s="21" t="n">
        <x:v>269</x:v>
      </x:c>
      <x:c r="B273" s="21" t="n">
        <x:f>ROUNDUP(A273/50,0)</x:f>
        <x:v>6</x:v>
      </x:c>
      <x:c r="C273" s="21" t="n">
        <x:f>MOD(A273-1,50)+1</x:f>
        <x:v>19</x:v>
      </x:c>
      <x:c r="D273" s="29" t="str">
        <x:v>φοβέομαι</x:v>
      </x:c>
      <x:c r="E273" s="29" t="str">
        <x:v>φοβέομαι</x:v>
      </x:c>
      <x:c r="F273" s="27" t="str">
        <x:v>phobeomai</x:v>
      </x:c>
      <x:c r="G273" s="20" t="str"/>
      <x:c r="H273" s="20" t="str"/>
      <x:c r="I273" s="21" t="n">
        <x:v>24</x:v>
      </x:c>
      <x:c r="J273" s="21" t="str">
        <x:v>BBG 課序</x:v>
      </x:c>
      <x:c r="K273" s="21" t="str"/>
      <x:c r="L273" s="21" t="str">
        <x:v>否</x:v>
      </x:c>
      <x:c r="M273" s="21" t="str"/>
      <x:c r="N273" s="21" t="str">
        <x:v>source_verified_lexicon_pending</x:v>
      </x:c>
      <x:c r="O273" s="21" t="str">
        <x:v>rule_generated_from_official_table</x:v>
      </x:c>
      <x:c r="P273" s="21" t="n">
        <x:v>5</x:v>
      </x:c>
      <x:c r="Q273" s="21" t="str">
        <x:v>https://doxa.billmounce.com/Flashcards%20%28BBG%29.pdf</x:v>
      </x:c>
      <x:c r="R273" s="16" t="str"/>
    </x:row>
    <x:row r="274" ht="28" customHeight="1">
      <x:c r="A274" s="21" t="n">
        <x:v>270</x:v>
      </x:c>
      <x:c r="B274" s="21" t="n">
        <x:f>ROUNDUP(A274/50,0)</x:f>
        <x:v>6</x:v>
      </x:c>
      <x:c r="C274" s="21" t="n">
        <x:f>MOD(A274-1,50)+1</x:f>
        <x:v>20</x:v>
      </x:c>
      <x:c r="D274" s="29" t="str">
        <x:v>χαίρω</x:v>
      </x:c>
      <x:c r="E274" s="29" t="str">
        <x:v>χαίρω</x:v>
      </x:c>
      <x:c r="F274" s="27" t="str">
        <x:v>chairō</x:v>
      </x:c>
      <x:c r="G274" s="20" t="str">
        <x:v>to be "cheer"ful, i.e. calmly happy or well-off; impersonally, especially as salutation (on meeting or parting), be well</x:v>
      </x:c>
      <x:c r="H274" s="20" t="str"/>
      <x:c r="I274" s="21" t="n">
        <x:v>24</x:v>
      </x:c>
      <x:c r="J274" s="21" t="str">
        <x:v>BBG 課序</x:v>
      </x:c>
      <x:c r="K274" s="21" t="str">
        <x:v>G5463</x:v>
      </x:c>
      <x:c r="L274" s="21" t="str">
        <x:v>否</x:v>
      </x:c>
      <x:c r="M274" s="21" t="str"/>
      <x:c r="N274" s="21" t="str">
        <x:v>source_and_lexicon_matched</x:v>
      </x:c>
      <x:c r="O274" s="21" t="str">
        <x:v>rule_generated_from_official_table</x:v>
      </x:c>
      <x:c r="P274" s="21" t="n">
        <x:v>5</x:v>
      </x:c>
      <x:c r="Q274" s="21" t="str">
        <x:v>https://doxa.billmounce.com/Flashcards%20%28BBG%29.pdf</x:v>
      </x:c>
      <x:c r="R274" s="16" t="str"/>
    </x:row>
    <x:row r="275" ht="28" customHeight="1">
      <x:c r="A275" s="21" t="n">
        <x:v>271</x:v>
      </x:c>
      <x:c r="B275" s="21" t="n">
        <x:f>ROUNDUP(A275/50,0)</x:f>
        <x:v>6</x:v>
      </x:c>
      <x:c r="C275" s="21" t="n">
        <x:f>MOD(A275-1,50)+1</x:f>
        <x:v>21</x:v>
      </x:c>
      <x:c r="D275" s="29" t="str">
        <x:v>αἰτέω</x:v>
      </x:c>
      <x:c r="E275" s="29" t="str">
        <x:v>αἰτέω</x:v>
      </x:c>
      <x:c r="F275" s="27" t="str">
        <x:v>aiteō</x:v>
      </x:c>
      <x:c r="G275" s="20" t="str">
        <x:v>to ask (in genitive case)</x:v>
      </x:c>
      <x:c r="H275" s="20" t="str"/>
      <x:c r="I275" s="21" t="n">
        <x:v>25</x:v>
      </x:c>
      <x:c r="J275" s="21" t="str">
        <x:v>BBG 課序</x:v>
      </x:c>
      <x:c r="K275" s="21" t="str">
        <x:v>G154</x:v>
      </x:c>
      <x:c r="L275" s="21" t="str">
        <x:v>否</x:v>
      </x:c>
      <x:c r="M275" s="21" t="str"/>
      <x:c r="N275" s="21" t="str">
        <x:v>source_and_lexicon_matched</x:v>
      </x:c>
      <x:c r="O275" s="21" t="str">
        <x:v>rule_generated_from_official_table</x:v>
      </x:c>
      <x:c r="P275" s="21" t="n">
        <x:v>5</x:v>
      </x:c>
      <x:c r="Q275" s="21" t="str">
        <x:v>https://doxa.billmounce.com/Flashcards%20%28BBG%29.pdf</x:v>
      </x:c>
      <x:c r="R275" s="16" t="str"/>
    </x:row>
    <x:row r="276" ht="28" customHeight="1">
      <x:c r="A276" s="21" t="n">
        <x:v>272</x:v>
      </x:c>
      <x:c r="B276" s="21" t="n">
        <x:f>ROUNDUP(A276/50,0)</x:f>
        <x:v>6</x:v>
      </x:c>
      <x:c r="C276" s="21" t="n">
        <x:f>MOD(A276-1,50)+1</x:f>
        <x:v>22</x:v>
      </x:c>
      <x:c r="D276" s="29" t="str">
        <x:v>μᾶλλον</x:v>
      </x:c>
      <x:c r="E276" s="29" t="str">
        <x:v>μᾶλλον</x:v>
      </x:c>
      <x:c r="F276" s="27" t="str">
        <x:v>mallon</x:v>
      </x:c>
      <x:c r="G276" s="20" t="str">
        <x:v>(adverbially) more (in a greater degree)) or rather</x:v>
      </x:c>
      <x:c r="H276" s="20" t="str"/>
      <x:c r="I276" s="21" t="n">
        <x:v>25</x:v>
      </x:c>
      <x:c r="J276" s="21" t="str">
        <x:v>BBG 課序</x:v>
      </x:c>
      <x:c r="K276" s="21" t="str">
        <x:v>G3123</x:v>
      </x:c>
      <x:c r="L276" s="21" t="str">
        <x:v>否</x:v>
      </x:c>
      <x:c r="M276" s="21" t="str"/>
      <x:c r="N276" s="21" t="str">
        <x:v>source_and_lexicon_matched</x:v>
      </x:c>
      <x:c r="O276" s="21" t="str">
        <x:v>rule_generated_from_official_table</x:v>
      </x:c>
      <x:c r="P276" s="21" t="n">
        <x:v>5</x:v>
      </x:c>
      <x:c r="Q276" s="21" t="str">
        <x:v>https://doxa.billmounce.com/Flashcards%20%28BBG%29.pdf</x:v>
      </x:c>
      <x:c r="R276" s="16" t="str"/>
    </x:row>
    <x:row r="277" ht="28" customHeight="1">
      <x:c r="A277" s="21" t="n">
        <x:v>273</x:v>
      </x:c>
      <x:c r="B277" s="21" t="n">
        <x:f>ROUNDUP(A277/50,0)</x:f>
        <x:v>6</x:v>
      </x:c>
      <x:c r="C277" s="21" t="n">
        <x:f>MOD(A277-1,50)+1</x:f>
        <x:v>23</x:v>
      </x:c>
      <x:c r="D277" s="29" t="str">
        <x:v>μαρτυρέω</x:v>
      </x:c>
      <x:c r="E277" s="29" t="str">
        <x:v>μαρτυρέω</x:v>
      </x:c>
      <x:c r="F277" s="27" t="str">
        <x:v>martureō</x:v>
      </x:c>
      <x:c r="G277" s="20" t="str">
        <x:v>to be a witness, i.e. testify (literally or figuratively)</x:v>
      </x:c>
      <x:c r="H277" s="20" t="str"/>
      <x:c r="I277" s="21" t="n">
        <x:v>25</x:v>
      </x:c>
      <x:c r="J277" s="21" t="str">
        <x:v>BBG 課序</x:v>
      </x:c>
      <x:c r="K277" s="21" t="str">
        <x:v>G3140</x:v>
      </x:c>
      <x:c r="L277" s="21" t="str">
        <x:v>否</x:v>
      </x:c>
      <x:c r="M277" s="21" t="str"/>
      <x:c r="N277" s="21" t="str">
        <x:v>source_and_lexicon_matched</x:v>
      </x:c>
      <x:c r="O277" s="21" t="str">
        <x:v>rule_generated_from_official_table</x:v>
      </x:c>
      <x:c r="P277" s="21" t="n">
        <x:v>5</x:v>
      </x:c>
      <x:c r="Q277" s="21" t="str">
        <x:v>https://doxa.billmounce.com/Flashcards%20%28BBG%29.pdf</x:v>
      </x:c>
      <x:c r="R277" s="16" t="str"/>
    </x:row>
    <x:row r="278" ht="28" customHeight="1">
      <x:c r="A278" s="21" t="n">
        <x:v>274</x:v>
      </x:c>
      <x:c r="B278" s="21" t="n">
        <x:f>ROUNDUP(A278/50,0)</x:f>
        <x:v>6</x:v>
      </x:c>
      <x:c r="C278" s="21" t="n">
        <x:f>MOD(A278-1,50)+1</x:f>
        <x:v>24</x:v>
      </x:c>
      <x:c r="D278" s="29" t="str">
        <x:v>ἀναβαίνω</x:v>
      </x:c>
      <x:c r="E278" s="29" t="str">
        <x:v>ἀναβαίνω</x:v>
      </x:c>
      <x:c r="F278" s="27" t="str">
        <x:v>anabainō</x:v>
      </x:c>
      <x:c r="G278" s="20" t="str">
        <x:v>to go up (literally or figuratively)</x:v>
      </x:c>
      <x:c r="H278" s="20" t="str"/>
      <x:c r="I278" s="21" t="n">
        <x:v>27</x:v>
      </x:c>
      <x:c r="J278" s="21" t="str">
        <x:v>BBG 課序</x:v>
      </x:c>
      <x:c r="K278" s="21" t="str">
        <x:v>G305</x:v>
      </x:c>
      <x:c r="L278" s="21" t="str">
        <x:v>否</x:v>
      </x:c>
      <x:c r="M278" s="21" t="str"/>
      <x:c r="N278" s="21" t="str">
        <x:v>source_and_lexicon_matched</x:v>
      </x:c>
      <x:c r="O278" s="21" t="str">
        <x:v>rule_generated_from_official_table</x:v>
      </x:c>
      <x:c r="P278" s="21" t="n">
        <x:v>5</x:v>
      </x:c>
      <x:c r="Q278" s="21" t="str">
        <x:v>https://doxa.billmounce.com/Flashcards%20%28BBG%29.pdf</x:v>
      </x:c>
      <x:c r="R278" s="16" t="str"/>
    </x:row>
    <x:row r="279" ht="28" customHeight="1">
      <x:c r="A279" s="21" t="n">
        <x:v>275</x:v>
      </x:c>
      <x:c r="B279" s="21" t="n">
        <x:f>ROUNDUP(A279/50,0)</x:f>
        <x:v>6</x:v>
      </x:c>
      <x:c r="C279" s="21" t="n">
        <x:f>MOD(A279-1,50)+1</x:f>
        <x:v>25</x:v>
      </x:c>
      <x:c r="D279" s="29" t="str">
        <x:v>ἀρχιερεύς, -έως, ὁ</x:v>
      </x:c>
      <x:c r="E279" s="29" t="str">
        <x:v>ἀρχιερεύς</x:v>
      </x:c>
      <x:c r="F279" s="27" t="str">
        <x:v>archiereus</x:v>
      </x:c>
      <x:c r="G279" s="20" t="str">
        <x:v>the high-priest (literally, of the Jews, typically, Christ); by extension a chief priest</x:v>
      </x:c>
      <x:c r="H279" s="20" t="str"/>
      <x:c r="I279" s="21" t="n">
        <x:v>27</x:v>
      </x:c>
      <x:c r="J279" s="21" t="str">
        <x:v>BBG 課序</x:v>
      </x:c>
      <x:c r="K279" s="21" t="str">
        <x:v>G749</x:v>
      </x:c>
      <x:c r="L279" s="21" t="str">
        <x:v>否</x:v>
      </x:c>
      <x:c r="M279" s="21" t="str"/>
      <x:c r="N279" s="21" t="str">
        <x:v>source_and_lexicon_matched</x:v>
      </x:c>
      <x:c r="O279" s="21" t="str">
        <x:v>rule_generated_from_official_table</x:v>
      </x:c>
      <x:c r="P279" s="21" t="n">
        <x:v>5</x:v>
      </x:c>
      <x:c r="Q279" s="21" t="str">
        <x:v>https://doxa.billmounce.com/Flashcards%20%28BBG%29.pdf</x:v>
      </x:c>
      <x:c r="R279" s="16" t="str"/>
    </x:row>
    <x:row r="280" ht="28" customHeight="1">
      <x:c r="A280" s="21" t="n">
        <x:v>276</x:v>
      </x:c>
      <x:c r="B280" s="21" t="n">
        <x:f>ROUNDUP(A280/50,0)</x:f>
        <x:v>6</x:v>
      </x:c>
      <x:c r="C280" s="21" t="n">
        <x:f>MOD(A280-1,50)+1</x:f>
        <x:v>26</x:v>
      </x:c>
      <x:c r="D280" s="29" t="str">
        <x:v>δεξιός, -ά, -όν</x:v>
      </x:c>
      <x:c r="E280" s="29" t="str">
        <x:v>δεξιός</x:v>
      </x:c>
      <x:c r="F280" s="27" t="str">
        <x:v>dexios</x:v>
      </x:c>
      <x:c r="G280" s="20" t="str">
        <x:v>the right side or (feminine) hand (as that which usually takes)</x:v>
      </x:c>
      <x:c r="H280" s="20" t="str"/>
      <x:c r="I280" s="21" t="n">
        <x:v>27</x:v>
      </x:c>
      <x:c r="J280" s="21" t="str">
        <x:v>BBG 課序</x:v>
      </x:c>
      <x:c r="K280" s="21" t="str">
        <x:v>G1188</x:v>
      </x:c>
      <x:c r="L280" s="21" t="str">
        <x:v>否</x:v>
      </x:c>
      <x:c r="M280" s="21" t="str"/>
      <x:c r="N280" s="21" t="str">
        <x:v>source_and_lexicon_matched</x:v>
      </x:c>
      <x:c r="O280" s="21" t="str">
        <x:v>rule_generated_from_official_table</x:v>
      </x:c>
      <x:c r="P280" s="21" t="n">
        <x:v>5</x:v>
      </x:c>
      <x:c r="Q280" s="21" t="str">
        <x:v>https://doxa.billmounce.com/Flashcards%20%28BBG%29.pdf</x:v>
      </x:c>
      <x:c r="R280" s="16" t="str"/>
    </x:row>
    <x:row r="281" ht="28" customHeight="1">
      <x:c r="A281" s="21" t="n">
        <x:v>277</x:v>
      </x:c>
      <x:c r="B281" s="21" t="n">
        <x:f>ROUNDUP(A281/50,0)</x:f>
        <x:v>6</x:v>
      </x:c>
      <x:c r="C281" s="21" t="n">
        <x:f>MOD(A281-1,50)+1</x:f>
        <x:v>27</x:v>
      </x:c>
      <x:c r="D281" s="29" t="str">
        <x:v>δύο</x:v>
      </x:c>
      <x:c r="E281" s="29" t="str">
        <x:v>δύο</x:v>
      </x:c>
      <x:c r="F281" s="27" t="str">
        <x:v>duo</x:v>
      </x:c>
      <x:c r="G281" s="20" t="str">
        <x:v>"two"</x:v>
      </x:c>
      <x:c r="H281" s="20" t="str"/>
      <x:c r="I281" s="21" t="n">
        <x:v>27</x:v>
      </x:c>
      <x:c r="J281" s="21" t="str">
        <x:v>BBG 課序</x:v>
      </x:c>
      <x:c r="K281" s="21" t="str">
        <x:v>G1417</x:v>
      </x:c>
      <x:c r="L281" s="21" t="str">
        <x:v>否</x:v>
      </x:c>
      <x:c r="M281" s="21" t="str"/>
      <x:c r="N281" s="21" t="str">
        <x:v>source_and_lexicon_matched</x:v>
      </x:c>
      <x:c r="O281" s="21" t="str">
        <x:v>rule_generated_from_official_table</x:v>
      </x:c>
      <x:c r="P281" s="21" t="n">
        <x:v>5</x:v>
      </x:c>
      <x:c r="Q281" s="21" t="str">
        <x:v>https://doxa.billmounce.com/Flashcards%20%28BBG%29.pdf</x:v>
      </x:c>
      <x:c r="R281" s="16" t="str"/>
    </x:row>
    <x:row r="282" ht="28" customHeight="1">
      <x:c r="A282" s="21" t="n">
        <x:v>278</x:v>
      </x:c>
      <x:c r="B282" s="21" t="n">
        <x:f>ROUNDUP(A282/50,0)</x:f>
        <x:v>6</x:v>
      </x:c>
      <x:c r="C282" s="21" t="n">
        <x:f>MOD(A282-1,50)+1</x:f>
        <x:v>28</x:v>
      </x:c>
      <x:c r="D282" s="29" t="str">
        <x:v>ἕτερος, -α, -ον</x:v>
      </x:c>
      <x:c r="E282" s="29" t="str">
        <x:v>ἕτερος</x:v>
      </x:c>
      <x:c r="F282" s="27" t="str">
        <x:v>heteros</x:v>
      </x:c>
      <x:c r="G282" s="20" t="str">
        <x:v>(an-, the) other or different</x:v>
      </x:c>
      <x:c r="H282" s="20" t="str"/>
      <x:c r="I282" s="21" t="n">
        <x:v>27</x:v>
      </x:c>
      <x:c r="J282" s="21" t="str">
        <x:v>BBG 課序</x:v>
      </x:c>
      <x:c r="K282" s="21" t="str">
        <x:v>G2087</x:v>
      </x:c>
      <x:c r="L282" s="21" t="str">
        <x:v>否</x:v>
      </x:c>
      <x:c r="M282" s="21" t="str"/>
      <x:c r="N282" s="21" t="str">
        <x:v>source_and_lexicon_matched</x:v>
      </x:c>
      <x:c r="O282" s="21" t="str">
        <x:v>rule_generated_from_official_table</x:v>
      </x:c>
      <x:c r="P282" s="21" t="n">
        <x:v>5</x:v>
      </x:c>
      <x:c r="Q282" s="21" t="str">
        <x:v>https://doxa.billmounce.com/Flashcards%20%28BBG%29.pdf</x:v>
      </x:c>
      <x:c r="R282" s="16" t="str"/>
    </x:row>
    <x:row r="283" ht="28" customHeight="1">
      <x:c r="A283" s="21" t="n">
        <x:v>279</x:v>
      </x:c>
      <x:c r="B283" s="21" t="n">
        <x:f>ROUNDUP(A283/50,0)</x:f>
        <x:v>6</x:v>
      </x:c>
      <x:c r="C283" s="21" t="n">
        <x:f>MOD(A283-1,50)+1</x:f>
        <x:v>29</x:v>
      </x:c>
      <x:c r="D283" s="29" t="str">
        <x:v>εὐαγγελίζω</x:v>
      </x:c>
      <x:c r="E283" s="29" t="str">
        <x:v>εὐαγγελίζω</x:v>
      </x:c>
      <x:c r="F283" s="27" t="str">
        <x:v>euangelizō</x:v>
      </x:c>
      <x:c r="G283" s="20" t="str">
        <x:v>to announce good news ("evangelize") especially the gospel</x:v>
      </x:c>
      <x:c r="H283" s="20" t="str"/>
      <x:c r="I283" s="21" t="n">
        <x:v>27</x:v>
      </x:c>
      <x:c r="J283" s="21" t="str">
        <x:v>BBG 課序</x:v>
      </x:c>
      <x:c r="K283" s="21" t="str">
        <x:v>G2097</x:v>
      </x:c>
      <x:c r="L283" s="21" t="str">
        <x:v>否</x:v>
      </x:c>
      <x:c r="M283" s="21" t="str"/>
      <x:c r="N283" s="21" t="str">
        <x:v>source_and_lexicon_matched</x:v>
      </x:c>
      <x:c r="O283" s="21" t="str">
        <x:v>rule_generated_from_official_table</x:v>
      </x:c>
      <x:c r="P283" s="21" t="n">
        <x:v>5</x:v>
      </x:c>
      <x:c r="Q283" s="21" t="str">
        <x:v>https://doxa.billmounce.com/Flashcards%20%28BBG%29.pdf</x:v>
      </x:c>
      <x:c r="R283" s="16" t="str"/>
    </x:row>
    <x:row r="284" ht="28" customHeight="1">
      <x:c r="A284" s="21" t="n">
        <x:v>280</x:v>
      </x:c>
      <x:c r="B284" s="21" t="n">
        <x:f>ROUNDUP(A284/50,0)</x:f>
        <x:v>6</x:v>
      </x:c>
      <x:c r="C284" s="21" t="n">
        <x:f>MOD(A284-1,50)+1</x:f>
        <x:v>30</x:v>
      </x:c>
      <x:c r="D284" s="29" t="str">
        <x:v>θεωρέω</x:v>
      </x:c>
      <x:c r="E284" s="29" t="str">
        <x:v>θεωρέω</x:v>
      </x:c>
      <x:c r="F284" s="27" t="str">
        <x:v>theōreō</x:v>
      </x:c>
      <x:c r="G284" s="20" t="str">
        <x:v>to be a spectator of, i.e. discern, (literally, figuratively (experience) or intensively (acknowledge))</x:v>
      </x:c>
      <x:c r="H284" s="20" t="str"/>
      <x:c r="I284" s="21" t="n">
        <x:v>27</x:v>
      </x:c>
      <x:c r="J284" s="21" t="str">
        <x:v>BBG 課序</x:v>
      </x:c>
      <x:c r="K284" s="21" t="str">
        <x:v>G2334</x:v>
      </x:c>
      <x:c r="L284" s="21" t="str">
        <x:v>否</x:v>
      </x:c>
      <x:c r="M284" s="21" t="str"/>
      <x:c r="N284" s="21" t="str">
        <x:v>source_and_lexicon_matched</x:v>
      </x:c>
      <x:c r="O284" s="21" t="str">
        <x:v>rule_generated_from_official_table</x:v>
      </x:c>
      <x:c r="P284" s="21" t="n">
        <x:v>5</x:v>
      </x:c>
      <x:c r="Q284" s="21" t="str">
        <x:v>https://doxa.billmounce.com/Flashcards%20%28BBG%29.pdf</x:v>
      </x:c>
      <x:c r="R284" s="16" t="str"/>
    </x:row>
    <x:row r="285" ht="28" customHeight="1">
      <x:c r="A285" s="21" t="n">
        <x:v>281</x:v>
      </x:c>
      <x:c r="B285" s="21" t="n">
        <x:f>ROUNDUP(A285/50,0)</x:f>
        <x:v>6</x:v>
      </x:c>
      <x:c r="C285" s="21" t="n">
        <x:f>MOD(A285-1,50)+1</x:f>
        <x:v>31</x:v>
      </x:c>
      <x:c r="D285" s="29" t="str">
        <x:v>Ἱεροσόλυμα, τά</x:v>
      </x:c>
      <x:c r="E285" s="29" t="str">
        <x:v>Ἱεροσόλυμα</x:v>
      </x:c>
      <x:c r="F285" s="27" t="str">
        <x:v>Hierosoluma</x:v>
      </x:c>
      <x:c r="G285" s="20" t="str">
        <x:v>Hierosolyma (i.e. Jerushalaim), the capitol of Palestine</x:v>
      </x:c>
      <x:c r="H285" s="20" t="str"/>
      <x:c r="I285" s="21" t="n">
        <x:v>27</x:v>
      </x:c>
      <x:c r="J285" s="21" t="str">
        <x:v>BBG 課序</x:v>
      </x:c>
      <x:c r="K285" s="21" t="str">
        <x:v>G2414</x:v>
      </x:c>
      <x:c r="L285" s="21" t="str">
        <x:v>是</x:v>
      </x:c>
      <x:c r="M285" s="21" t="str">
        <x:v>地名</x:v>
      </x:c>
      <x:c r="N285" s="21" t="str">
        <x:v>source_and_lexicon_matched</x:v>
      </x:c>
      <x:c r="O285" s="21" t="str">
        <x:v>rule_generated_from_official_table</x:v>
      </x:c>
      <x:c r="P285" s="21" t="n">
        <x:v>5</x:v>
      </x:c>
      <x:c r="Q285" s="21" t="str">
        <x:v>https://doxa.billmounce.com/Flashcards%20%28BBG%29.pdf</x:v>
      </x:c>
      <x:c r="R285" s="16" t="str"/>
    </x:row>
    <x:row r="286" ht="28" customHeight="1">
      <x:c r="A286" s="21" t="n">
        <x:v>282</x:v>
      </x:c>
      <x:c r="B286" s="21" t="n">
        <x:f>ROUNDUP(A286/50,0)</x:f>
        <x:v>6</x:v>
      </x:c>
      <x:c r="C286" s="21" t="n">
        <x:f>MOD(A286-1,50)+1</x:f>
        <x:v>32</x:v>
      </x:c>
      <x:c r="D286" s="29" t="str">
        <x:v>κάθημαι</x:v>
      </x:c>
      <x:c r="E286" s="29" t="str">
        <x:v>κάθημαι</x:v>
      </x:c>
      <x:c r="F286" s="27" t="str">
        <x:v>kathēmai</x:v>
      </x:c>
      <x:c r="G286" s="20" t="str">
        <x:v>and (to sit; akin to the base of G1476 (ἑδραῖος)); to sit down; figuratively, to remain, reside</x:v>
      </x:c>
      <x:c r="H286" s="20" t="str"/>
      <x:c r="I286" s="21" t="n">
        <x:v>27</x:v>
      </x:c>
      <x:c r="J286" s="21" t="str">
        <x:v>BBG 課序</x:v>
      </x:c>
      <x:c r="K286" s="21" t="str">
        <x:v>G2521</x:v>
      </x:c>
      <x:c r="L286" s="21" t="str">
        <x:v>否</x:v>
      </x:c>
      <x:c r="M286" s="21" t="str"/>
      <x:c r="N286" s="21" t="str">
        <x:v>source_and_lexicon_matched</x:v>
      </x:c>
      <x:c r="O286" s="21" t="str">
        <x:v>rule_generated_from_official_table</x:v>
      </x:c>
      <x:c r="P286" s="21" t="n">
        <x:v>5</x:v>
      </x:c>
      <x:c r="Q286" s="21" t="str">
        <x:v>https://doxa.billmounce.com/Flashcards%20%28BBG%29.pdf</x:v>
      </x:c>
      <x:c r="R286" s="16" t="str"/>
    </x:row>
    <x:row r="287" ht="28" customHeight="1">
      <x:c r="A287" s="21" t="n">
        <x:v>283</x:v>
      </x:c>
      <x:c r="B287" s="21" t="n">
        <x:f>ROUNDUP(A287/50,0)</x:f>
        <x:v>6</x:v>
      </x:c>
      <x:c r="C287" s="21" t="n">
        <x:f>MOD(A287-1,50)+1</x:f>
        <x:v>33</x:v>
      </x:c>
      <x:c r="D287" s="29" t="str">
        <x:v>καταβαίνω</x:v>
      </x:c>
      <x:c r="E287" s="29" t="str">
        <x:v>καταβαίνω</x:v>
      </x:c>
      <x:c r="F287" s="27" t="str">
        <x:v>katabainō</x:v>
      </x:c>
      <x:c r="G287" s="20" t="str">
        <x:v>to descend (literally or figuratively)</x:v>
      </x:c>
      <x:c r="H287" s="20" t="str"/>
      <x:c r="I287" s="21" t="n">
        <x:v>27</x:v>
      </x:c>
      <x:c r="J287" s="21" t="str">
        <x:v>BBG 課序</x:v>
      </x:c>
      <x:c r="K287" s="21" t="str">
        <x:v>G2597</x:v>
      </x:c>
      <x:c r="L287" s="21" t="str">
        <x:v>否</x:v>
      </x:c>
      <x:c r="M287" s="21" t="str"/>
      <x:c r="N287" s="21" t="str">
        <x:v>source_and_lexicon_matched</x:v>
      </x:c>
      <x:c r="O287" s="21" t="str">
        <x:v>rule_generated_from_official_table</x:v>
      </x:c>
      <x:c r="P287" s="21" t="n">
        <x:v>5</x:v>
      </x:c>
      <x:c r="Q287" s="21" t="str">
        <x:v>https://doxa.billmounce.com/Flashcards%20%28BBG%29.pdf</x:v>
      </x:c>
      <x:c r="R287" s="16" t="str"/>
    </x:row>
    <x:row r="288" ht="28" customHeight="1">
      <x:c r="A288" s="21" t="n">
        <x:v>284</x:v>
      </x:c>
      <x:c r="B288" s="21" t="n">
        <x:f>ROUNDUP(A288/50,0)</x:f>
        <x:v>6</x:v>
      </x:c>
      <x:c r="C288" s="21" t="n">
        <x:f>MOD(A288-1,50)+1</x:f>
        <x:v>34</x:v>
      </x:c>
      <x:c r="D288" s="29" t="str">
        <x:v>οὗ</x:v>
      </x:c>
      <x:c r="E288" s="29" t="str">
        <x:v>οὗ</x:v>
      </x:c>
      <x:c r="F288" s="27" t="str">
        <x:v>hou</x:v>
      </x:c>
      <x:c r="G288" s="20" t="str">
        <x:v>at which place, i.e. where</x:v>
      </x:c>
      <x:c r="H288" s="20" t="str"/>
      <x:c r="I288" s="21" t="n">
        <x:v>27</x:v>
      </x:c>
      <x:c r="J288" s="21" t="str">
        <x:v>BBG 課序</x:v>
      </x:c>
      <x:c r="K288" s="21" t="str">
        <x:v>G3757</x:v>
      </x:c>
      <x:c r="L288" s="21" t="str">
        <x:v>否</x:v>
      </x:c>
      <x:c r="M288" s="21" t="str"/>
      <x:c r="N288" s="21" t="str">
        <x:v>source_and_lexicon_matched</x:v>
      </x:c>
      <x:c r="O288" s="21" t="str">
        <x:v>rule_generated_from_official_table</x:v>
      </x:c>
      <x:c r="P288" s="21" t="n">
        <x:v>5</x:v>
      </x:c>
      <x:c r="Q288" s="21" t="str">
        <x:v>https://doxa.billmounce.com/Flashcards%20%28BBG%29.pdf</x:v>
      </x:c>
      <x:c r="R288" s="16" t="str"/>
    </x:row>
    <x:row r="289" ht="28" customHeight="1">
      <x:c r="A289" s="21" t="n">
        <x:v>285</x:v>
      </x:c>
      <x:c r="B289" s="21" t="n">
        <x:f>ROUNDUP(A289/50,0)</x:f>
        <x:v>6</x:v>
      </x:c>
      <x:c r="C289" s="21" t="n">
        <x:f>MOD(A289-1,50)+1</x:f>
        <x:v>35</x:v>
      </x:c>
      <x:c r="D289" s="29" t="str">
        <x:v>παρακαλέω</x:v>
      </x:c>
      <x:c r="E289" s="29" t="str">
        <x:v>παρακαλέω</x:v>
      </x:c>
      <x:c r="F289" s="27" t="str">
        <x:v>parakaleō</x:v>
      </x:c>
      <x:c r="G289" s="20" t="str">
        <x:v>to call near, i.e. invite, invoke (by imploration, hortation or consolation)</x:v>
      </x:c>
      <x:c r="H289" s="20" t="str"/>
      <x:c r="I289" s="21" t="n">
        <x:v>27</x:v>
      </x:c>
      <x:c r="J289" s="21" t="str">
        <x:v>BBG 課序</x:v>
      </x:c>
      <x:c r="K289" s="21" t="str">
        <x:v>G3870</x:v>
      </x:c>
      <x:c r="L289" s="21" t="str">
        <x:v>否</x:v>
      </x:c>
      <x:c r="M289" s="21" t="str"/>
      <x:c r="N289" s="21" t="str">
        <x:v>source_and_lexicon_matched</x:v>
      </x:c>
      <x:c r="O289" s="21" t="str">
        <x:v>rule_generated_from_official_table</x:v>
      </x:c>
      <x:c r="P289" s="21" t="n">
        <x:v>5</x:v>
      </x:c>
      <x:c r="Q289" s="21" t="str">
        <x:v>https://doxa.billmounce.com/Flashcards%20%28BBG%29.pdf</x:v>
      </x:c>
      <x:c r="R289" s="16" t="str"/>
    </x:row>
    <x:row r="290" ht="28" customHeight="1">
      <x:c r="A290" s="21" t="n">
        <x:v>286</x:v>
      </x:c>
      <x:c r="B290" s="21" t="n">
        <x:f>ROUNDUP(A290/50,0)</x:f>
        <x:v>6</x:v>
      </x:c>
      <x:c r="C290" s="21" t="n">
        <x:f>MOD(A290-1,50)+1</x:f>
        <x:v>36</x:v>
      </x:c>
      <x:c r="D290" s="29" t="str">
        <x:v>πείθω</x:v>
      </x:c>
      <x:c r="E290" s="29" t="str">
        <x:v>πείθω</x:v>
      </x:c>
      <x:c r="F290" s="27" t="str">
        <x:v>peithō</x:v>
      </x:c>
      <x:c r="G290" s="20" t="str">
        <x:v>to convince (by argument, true or false); by analogy, to pacify or conciliate (by other fair means); reflexively or passively, to assent (to evidence or authority), to rely (by inward certainty)</x:v>
      </x:c>
      <x:c r="H290" s="20" t="str"/>
      <x:c r="I290" s="21" t="n">
        <x:v>27</x:v>
      </x:c>
      <x:c r="J290" s="21" t="str">
        <x:v>BBG 課序</x:v>
      </x:c>
      <x:c r="K290" s="21" t="str">
        <x:v>G3982</x:v>
      </x:c>
      <x:c r="L290" s="21" t="str">
        <x:v>否</x:v>
      </x:c>
      <x:c r="M290" s="21" t="str"/>
      <x:c r="N290" s="21" t="str">
        <x:v>source_and_lexicon_matched</x:v>
      </x:c>
      <x:c r="O290" s="21" t="str">
        <x:v>rule_generated_from_official_table</x:v>
      </x:c>
      <x:c r="P290" s="21" t="n">
        <x:v>5</x:v>
      </x:c>
      <x:c r="Q290" s="21" t="str">
        <x:v>https://doxa.billmounce.com/Flashcards%20%28BBG%29.pdf</x:v>
      </x:c>
      <x:c r="R290" s="16" t="str"/>
    </x:row>
    <x:row r="291" ht="28" customHeight="1">
      <x:c r="A291" s="21" t="n">
        <x:v>287</x:v>
      </x:c>
      <x:c r="B291" s="21" t="n">
        <x:f>ROUNDUP(A291/50,0)</x:f>
        <x:v>6</x:v>
      </x:c>
      <x:c r="C291" s="21" t="n">
        <x:f>MOD(A291-1,50)+1</x:f>
        <x:v>37</x:v>
      </x:c>
      <x:c r="D291" s="29" t="str">
        <x:v>τρεῖς, τρία</x:v>
      </x:c>
      <x:c r="E291" s="29" t="str">
        <x:v>τρεῖς</x:v>
      </x:c>
      <x:c r="F291" s="27" t="str">
        <x:v>treis</x:v>
      </x:c>
      <x:c r="G291" s="20" t="str">
        <x:v>"three"</x:v>
      </x:c>
      <x:c r="H291" s="20" t="str"/>
      <x:c r="I291" s="21" t="n">
        <x:v>27</x:v>
      </x:c>
      <x:c r="J291" s="21" t="str">
        <x:v>BBG 課序</x:v>
      </x:c>
      <x:c r="K291" s="21" t="str">
        <x:v>G5140</x:v>
      </x:c>
      <x:c r="L291" s="21" t="str">
        <x:v>否</x:v>
      </x:c>
      <x:c r="M291" s="21" t="str"/>
      <x:c r="N291" s="21" t="str">
        <x:v>source_and_lexicon_matched</x:v>
      </x:c>
      <x:c r="O291" s="21" t="str">
        <x:v>rule_generated_from_official_table</x:v>
      </x:c>
      <x:c r="P291" s="21" t="n">
        <x:v>5</x:v>
      </x:c>
      <x:c r="Q291" s="21" t="str">
        <x:v>https://doxa.billmounce.com/Flashcards%20%28BBG%29.pdf</x:v>
      </x:c>
      <x:c r="R291" s="16" t="str"/>
    </x:row>
    <x:row r="292" ht="28" customHeight="1">
      <x:c r="A292" s="21" t="n">
        <x:v>288</x:v>
      </x:c>
      <x:c r="B292" s="21" t="n">
        <x:f>ROUNDUP(A292/50,0)</x:f>
        <x:v>6</x:v>
      </x:c>
      <x:c r="C292" s="21" t="n">
        <x:f>MOD(A292-1,50)+1</x:f>
        <x:v>38</x:v>
      </x:c>
      <x:c r="D292" s="29" t="str">
        <x:v>ἀσπάζομαι</x:v>
      </x:c>
      <x:c r="E292" s="29" t="str">
        <x:v>ἀσπάζομαι</x:v>
      </x:c>
      <x:c r="F292" s="27" t="str">
        <x:v>aspazomai</x:v>
      </x:c>
      <x:c r="G292" s="20" t="str">
        <x:v>to enfold in the arms, i.e. (by implication) to salute, (figuratively) to welcome</x:v>
      </x:c>
      <x:c r="H292" s="20" t="str"/>
      <x:c r="I292" s="21" t="n">
        <x:v>28</x:v>
      </x:c>
      <x:c r="J292" s="21" t="str">
        <x:v>BBG 課序</x:v>
      </x:c>
      <x:c r="K292" s="21" t="str">
        <x:v>G782</x:v>
      </x:c>
      <x:c r="L292" s="21" t="str">
        <x:v>否</x:v>
      </x:c>
      <x:c r="M292" s="21" t="str"/>
      <x:c r="N292" s="21" t="str">
        <x:v>source_and_lexicon_matched</x:v>
      </x:c>
      <x:c r="O292" s="21" t="str">
        <x:v>rule_generated_from_official_table</x:v>
      </x:c>
      <x:c r="P292" s="21" t="n">
        <x:v>5</x:v>
      </x:c>
      <x:c r="Q292" s="21" t="str">
        <x:v>https://doxa.billmounce.com/Flashcards%20%28BBG%29.pdf</x:v>
      </x:c>
      <x:c r="R292" s="16" t="str"/>
    </x:row>
    <x:row r="293" ht="28" customHeight="1">
      <x:c r="A293" s="21" t="n">
        <x:v>289</x:v>
      </x:c>
      <x:c r="B293" s="21" t="n">
        <x:f>ROUNDUP(A293/50,0)</x:f>
        <x:v>6</x:v>
      </x:c>
      <x:c r="C293" s="21" t="n">
        <x:f>MOD(A293-1,50)+1</x:f>
        <x:v>39</x:v>
      </x:c>
      <x:c r="D293" s="29" t="str">
        <x:v>γραμματεύς, -έως, ὁ</x:v>
      </x:c>
      <x:c r="E293" s="29" t="str">
        <x:v>γραμματεύς</x:v>
      </x:c>
      <x:c r="F293" s="27" t="str">
        <x:v>grammateus</x:v>
      </x:c>
      <x:c r="G293" s="20" t="str"/>
      <x:c r="H293" s="20" t="str"/>
      <x:c r="I293" s="21" t="n">
        <x:v>28</x:v>
      </x:c>
      <x:c r="J293" s="21" t="str">
        <x:v>BBG 課序</x:v>
      </x:c>
      <x:c r="K293" s="21" t="str">
        <x:v>G1122</x:v>
      </x:c>
      <x:c r="L293" s="21" t="str">
        <x:v>否</x:v>
      </x:c>
      <x:c r="M293" s="21" t="str"/>
      <x:c r="N293" s="21" t="str">
        <x:v>source_and_lexicon_matched</x:v>
      </x:c>
      <x:c r="O293" s="21" t="str">
        <x:v>rule_generated_from_official_table</x:v>
      </x:c>
      <x:c r="P293" s="21" t="n">
        <x:v>5</x:v>
      </x:c>
      <x:c r="Q293" s="21" t="str">
        <x:v>https://doxa.billmounce.com/Flashcards%20%28BBG%29.pdf</x:v>
      </x:c>
      <x:c r="R293" s="16" t="str"/>
    </x:row>
    <x:row r="294" ht="28" customHeight="1">
      <x:c r="A294" s="21" t="n">
        <x:v>290</x:v>
      </x:c>
      <x:c r="B294" s="21" t="n">
        <x:f>ROUNDUP(A294/50,0)</x:f>
        <x:v>6</x:v>
      </x:c>
      <x:c r="C294" s="21" t="n">
        <x:f>MOD(A294-1,50)+1</x:f>
        <x:v>40</x:v>
      </x:c>
      <x:c r="D294" s="29" t="str">
        <x:v>ἔφη</x:v>
      </x:c>
      <x:c r="E294" s="29" t="str">
        <x:v>ἔφη</x:v>
      </x:c>
      <x:c r="F294" s="27" t="str">
        <x:v>ephē</x:v>
      </x:c>
      <x:c r="G294" s="20" t="str"/>
      <x:c r="H294" s="20" t="str"/>
      <x:c r="I294" s="21" t="n">
        <x:v>28</x:v>
      </x:c>
      <x:c r="J294" s="21" t="str">
        <x:v>BBG 課序</x:v>
      </x:c>
      <x:c r="K294" s="21" t="str"/>
      <x:c r="L294" s="21" t="str">
        <x:v>否</x:v>
      </x:c>
      <x:c r="M294" s="21" t="str"/>
      <x:c r="N294" s="21" t="str">
        <x:v>source_verified_lexicon_pending</x:v>
      </x:c>
      <x:c r="O294" s="21" t="str">
        <x:v>rule_generated_from_official_table</x:v>
      </x:c>
      <x:c r="P294" s="21" t="n">
        <x:v>5</x:v>
      </x:c>
      <x:c r="Q294" s="21" t="str">
        <x:v>https://doxa.billmounce.com/Flashcards%20%28BBG%29.pdf</x:v>
      </x:c>
      <x:c r="R294" s="16" t="str"/>
    </x:row>
    <x:row r="295" ht="28" customHeight="1">
      <x:c r="A295" s="21" t="n">
        <x:v>291</x:v>
      </x:c>
      <x:c r="B295" s="21" t="n">
        <x:f>ROUNDUP(A295/50,0)</x:f>
        <x:v>6</x:v>
      </x:c>
      <x:c r="C295" s="21" t="n">
        <x:f>MOD(A295-1,50)+1</x:f>
        <x:v>41</x:v>
      </x:c>
      <x:c r="D295" s="29" t="str">
        <x:v>ἱερόν, -οῦ, τό</x:v>
      </x:c>
      <x:c r="E295" s="29" t="str">
        <x:v>ἱερόν</x:v>
      </x:c>
      <x:c r="F295" s="27" t="str">
        <x:v>hieron</x:v>
      </x:c>
      <x:c r="G295" s="20" t="str">
        <x:v>a sacred place, i.e. the entire precincts (whereas G3485 (ναός) denotes the central sanctuary itself) of the Temple (at Jerusalem or elsewhere)</x:v>
      </x:c>
      <x:c r="H295" s="20" t="str"/>
      <x:c r="I295" s="21" t="n">
        <x:v>28</x:v>
      </x:c>
      <x:c r="J295" s="21" t="str">
        <x:v>BBG 課序</x:v>
      </x:c>
      <x:c r="K295" s="21" t="str">
        <x:v>G2411</x:v>
      </x:c>
      <x:c r="L295" s="21" t="str">
        <x:v>否</x:v>
      </x:c>
      <x:c r="M295" s="21" t="str"/>
      <x:c r="N295" s="21" t="str">
        <x:v>source_and_lexicon_matched</x:v>
      </x:c>
      <x:c r="O295" s="21" t="str">
        <x:v>rule_generated_from_official_table</x:v>
      </x:c>
      <x:c r="P295" s="21" t="n">
        <x:v>5</x:v>
      </x:c>
      <x:c r="Q295" s="21" t="str">
        <x:v>https://doxa.billmounce.com/Flashcards%20%28BBG%29.pdf</x:v>
      </x:c>
      <x:c r="R295" s="16" t="str"/>
    </x:row>
    <x:row r="296" ht="28" customHeight="1">
      <x:c r="A296" s="21" t="n">
        <x:v>292</x:v>
      </x:c>
      <x:c r="B296" s="21" t="n">
        <x:f>ROUNDUP(A296/50,0)</x:f>
        <x:v>6</x:v>
      </x:c>
      <x:c r="C296" s="21" t="n">
        <x:f>MOD(A296-1,50)+1</x:f>
        <x:v>42</x:v>
      </x:c>
      <x:c r="D296" s="29" t="str">
        <x:v>κράζω</x:v>
      </x:c>
      <x:c r="E296" s="29" t="str">
        <x:v>κράζω</x:v>
      </x:c>
      <x:c r="F296" s="27" t="str">
        <x:v>krazō</x:v>
      </x:c>
      <x:c r="G296" s="20" t="str">
        <x:v>properly, to "croak" (as a raven) or scream, i.e. (genitive case) to call aloud (shriek, exclaim, intreat)</x:v>
      </x:c>
      <x:c r="H296" s="20" t="str"/>
      <x:c r="I296" s="21" t="n">
        <x:v>28</x:v>
      </x:c>
      <x:c r="J296" s="21" t="str">
        <x:v>BBG 課序</x:v>
      </x:c>
      <x:c r="K296" s="21" t="str">
        <x:v>G2896</x:v>
      </x:c>
      <x:c r="L296" s="21" t="str">
        <x:v>否</x:v>
      </x:c>
      <x:c r="M296" s="21" t="str"/>
      <x:c r="N296" s="21" t="str">
        <x:v>source_and_lexicon_matched</x:v>
      </x:c>
      <x:c r="O296" s="21" t="str">
        <x:v>rule_generated_from_official_table</x:v>
      </x:c>
      <x:c r="P296" s="21" t="n">
        <x:v>5</x:v>
      </x:c>
      <x:c r="Q296" s="21" t="str">
        <x:v>https://doxa.billmounce.com/Flashcards%20%28BBG%29.pdf</x:v>
      </x:c>
      <x:c r="R296" s="16" t="str"/>
    </x:row>
    <x:row r="297" ht="28" customHeight="1">
      <x:c r="A297" s="21" t="n">
        <x:v>293</x:v>
      </x:c>
      <x:c r="B297" s="21" t="n">
        <x:f>ROUNDUP(A297/50,0)</x:f>
        <x:v>6</x:v>
      </x:c>
      <x:c r="C297" s="21" t="n">
        <x:f>MOD(A297-1,50)+1</x:f>
        <x:v>43</x:v>
      </x:c>
      <x:c r="D297" s="29" t="str">
        <x:v>οὐχί</x:v>
      </x:c>
      <x:c r="E297" s="29" t="str">
        <x:v>οὐχί</x:v>
      </x:c>
      <x:c r="F297" s="27" t="str">
        <x:v>ouchi</x:v>
      </x:c>
      <x:c r="G297" s="20" t="str">
        <x:v>not indeed</x:v>
      </x:c>
      <x:c r="H297" s="20" t="str"/>
      <x:c r="I297" s="21" t="n">
        <x:v>28</x:v>
      </x:c>
      <x:c r="J297" s="21" t="str">
        <x:v>BBG 課序</x:v>
      </x:c>
      <x:c r="K297" s="21" t="str">
        <x:v>G3780</x:v>
      </x:c>
      <x:c r="L297" s="21" t="str">
        <x:v>否</x:v>
      </x:c>
      <x:c r="M297" s="21" t="str"/>
      <x:c r="N297" s="21" t="str">
        <x:v>source_and_lexicon_matched</x:v>
      </x:c>
      <x:c r="O297" s="21" t="str">
        <x:v>rule_generated_from_official_table</x:v>
      </x:c>
      <x:c r="P297" s="21" t="n">
        <x:v>5</x:v>
      </x:c>
      <x:c r="Q297" s="21" t="str">
        <x:v>https://doxa.billmounce.com/Flashcards%20%28BBG%29.pdf</x:v>
      </x:c>
      <x:c r="R297" s="16" t="str"/>
    </x:row>
    <x:row r="298" ht="28" customHeight="1">
      <x:c r="A298" s="21" t="n">
        <x:v>294</x:v>
      </x:c>
      <x:c r="B298" s="21" t="n">
        <x:f>ROUNDUP(A298/50,0)</x:f>
        <x:v>6</x:v>
      </x:c>
      <x:c r="C298" s="21" t="n">
        <x:f>MOD(A298-1,50)+1</x:f>
        <x:v>44</x:v>
      </x:c>
      <x:c r="D298" s="29" t="str">
        <x:v>παιδίον, -ου, τό</x:v>
      </x:c>
      <x:c r="E298" s="29" t="str">
        <x:v>παιδίον</x:v>
      </x:c>
      <x:c r="F298" s="27" t="str">
        <x:v>paidion</x:v>
      </x:c>
      <x:c r="G298" s="20" t="str">
        <x:v>a childling (of either sex), i.e. (properly), an infant, or (by extension) a half-grown boy or girl; figuratively, an immature Christian</x:v>
      </x:c>
      <x:c r="H298" s="20" t="str"/>
      <x:c r="I298" s="21" t="n">
        <x:v>28</x:v>
      </x:c>
      <x:c r="J298" s="21" t="str">
        <x:v>BBG 課序</x:v>
      </x:c>
      <x:c r="K298" s="21" t="str">
        <x:v>G3813</x:v>
      </x:c>
      <x:c r="L298" s="21" t="str">
        <x:v>否</x:v>
      </x:c>
      <x:c r="M298" s="21" t="str"/>
      <x:c r="N298" s="21" t="str">
        <x:v>source_and_lexicon_matched</x:v>
      </x:c>
      <x:c r="O298" s="21" t="str">
        <x:v>rule_generated_from_official_table</x:v>
      </x:c>
      <x:c r="P298" s="21" t="n">
        <x:v>5</x:v>
      </x:c>
      <x:c r="Q298" s="21" t="str">
        <x:v>https://doxa.billmounce.com/Flashcards%20%28BBG%29.pdf</x:v>
      </x:c>
      <x:c r="R298" s="16" t="str"/>
    </x:row>
    <x:row r="299" ht="28" customHeight="1">
      <x:c r="A299" s="21" t="n">
        <x:v>295</x:v>
      </x:c>
      <x:c r="B299" s="21" t="n">
        <x:f>ROUNDUP(A299/50,0)</x:f>
        <x:v>6</x:v>
      </x:c>
      <x:c r="C299" s="21" t="n">
        <x:f>MOD(A299-1,50)+1</x:f>
        <x:v>45</x:v>
      </x:c>
      <x:c r="D299" s="29" t="str">
        <x:v>σπείρω</x:v>
      </x:c>
      <x:c r="E299" s="29" t="str">
        <x:v>σπείρω</x:v>
      </x:c>
      <x:c r="F299" s="27" t="str">
        <x:v>speirō</x:v>
      </x:c>
      <x:c r="G299" s="20" t="str">
        <x:v>to scatter, i.e. sow (literally or figuratively)</x:v>
      </x:c>
      <x:c r="H299" s="20" t="str"/>
      <x:c r="I299" s="21" t="n">
        <x:v>28</x:v>
      </x:c>
      <x:c r="J299" s="21" t="str">
        <x:v>BBG 課序</x:v>
      </x:c>
      <x:c r="K299" s="21" t="str">
        <x:v>G4687</x:v>
      </x:c>
      <x:c r="L299" s="21" t="str">
        <x:v>否</x:v>
      </x:c>
      <x:c r="M299" s="21" t="str"/>
      <x:c r="N299" s="21" t="str">
        <x:v>source_and_lexicon_matched</x:v>
      </x:c>
      <x:c r="O299" s="21" t="str">
        <x:v>rule_generated_from_official_table</x:v>
      </x:c>
      <x:c r="P299" s="21" t="n">
        <x:v>5</x:v>
      </x:c>
      <x:c r="Q299" s="21" t="str">
        <x:v>https://doxa.billmounce.com/Flashcards%20%28BBG%29.pdf</x:v>
      </x:c>
      <x:c r="R299" s="16" t="str"/>
    </x:row>
    <x:row r="300" ht="28" customHeight="1">
      <x:c r="A300" s="21" t="n">
        <x:v>296</x:v>
      </x:c>
      <x:c r="B300" s="21" t="n">
        <x:f>ROUNDUP(A300/50,0)</x:f>
        <x:v>6</x:v>
      </x:c>
      <x:c r="C300" s="21" t="n">
        <x:f>MOD(A300-1,50)+1</x:f>
        <x:v>46</x:v>
      </x:c>
      <x:c r="D300" s="29" t="str">
        <x:v>δέχομαι</x:v>
      </x:c>
      <x:c r="E300" s="29" t="str">
        <x:v>δέχομαι</x:v>
      </x:c>
      <x:c r="F300" s="27" t="str">
        <x:v>dechomai</x:v>
      </x:c>
      <x:c r="G300" s="20" t="str">
        <x:v>to receive (in various applications, literally or figuratively)</x:v>
      </x:c>
      <x:c r="H300" s="20" t="str"/>
      <x:c r="I300" s="21" t="n">
        <x:v>29</x:v>
      </x:c>
      <x:c r="J300" s="21" t="str">
        <x:v>BBG 課序</x:v>
      </x:c>
      <x:c r="K300" s="21" t="str">
        <x:v>G1209</x:v>
      </x:c>
      <x:c r="L300" s="21" t="str">
        <x:v>否</x:v>
      </x:c>
      <x:c r="M300" s="21" t="str"/>
      <x:c r="N300" s="21" t="str">
        <x:v>source_and_lexicon_matched</x:v>
      </x:c>
      <x:c r="O300" s="21" t="str">
        <x:v>rule_generated_from_official_table</x:v>
      </x:c>
      <x:c r="P300" s="21" t="n">
        <x:v>5</x:v>
      </x:c>
      <x:c r="Q300" s="21" t="str">
        <x:v>https://doxa.billmounce.com/Flashcards%20%28BBG%29.pdf</x:v>
      </x:c>
      <x:c r="R300" s="16" t="str"/>
    </x:row>
    <x:row r="301" ht="28" customHeight="1">
      <x:c r="A301" s="21" t="n">
        <x:v>297</x:v>
      </x:c>
      <x:c r="B301" s="21" t="n">
        <x:f>ROUNDUP(A301/50,0)</x:f>
        <x:v>6</x:v>
      </x:c>
      <x:c r="C301" s="21" t="n">
        <x:f>MOD(A301-1,50)+1</x:f>
        <x:v>47</x:v>
      </x:c>
      <x:c r="D301" s="29" t="str">
        <x:v>δοκέω</x:v>
      </x:c>
      <x:c r="E301" s="29" t="str">
        <x:v>δοκέω</x:v>
      </x:c>
      <x:c r="F301" s="27" t="str">
        <x:v>dokeō</x:v>
      </x:c>
      <x:c r="G301" s="20" t="str">
        <x:v>compare the base of G1166 (δεικνύω)) of the same meaning; to think; by implication, to seem (truthfully or uncertainly)</x:v>
      </x:c>
      <x:c r="H301" s="20" t="str"/>
      <x:c r="I301" s="21" t="n">
        <x:v>29</x:v>
      </x:c>
      <x:c r="J301" s="21" t="str">
        <x:v>BBG 課序</x:v>
      </x:c>
      <x:c r="K301" s="21" t="str">
        <x:v>G1380</x:v>
      </x:c>
      <x:c r="L301" s="21" t="str">
        <x:v>否</x:v>
      </x:c>
      <x:c r="M301" s="21" t="str"/>
      <x:c r="N301" s="21" t="str">
        <x:v>source_and_lexicon_matched</x:v>
      </x:c>
      <x:c r="O301" s="21" t="str">
        <x:v>rule_generated_from_official_table</x:v>
      </x:c>
      <x:c r="P301" s="21" t="n">
        <x:v>5</x:v>
      </x:c>
      <x:c r="Q301" s="21" t="str">
        <x:v>https://doxa.billmounce.com/Flashcards%20%28BBG%29.pdf</x:v>
      </x:c>
      <x:c r="R301" s="16" t="str"/>
    </x:row>
    <x:row r="302" ht="28" customHeight="1">
      <x:c r="A302" s="21" t="n">
        <x:v>298</x:v>
      </x:c>
      <x:c r="B302" s="21" t="n">
        <x:f>ROUNDUP(A302/50,0)</x:f>
        <x:v>6</x:v>
      </x:c>
      <x:c r="C302" s="21" t="n">
        <x:f>MOD(A302-1,50)+1</x:f>
        <x:v>48</x:v>
      </x:c>
      <x:c r="D302" s="29" t="str">
        <x:v>ἐσθίω</x:v>
      </x:c>
      <x:c r="E302" s="29" t="str">
        <x:v>ἐσθίω</x:v>
      </x:c>
      <x:c r="F302" s="27" t="str">
        <x:v>esthiō</x:v>
      </x:c>
      <x:c r="G302" s="20" t="str">
        <x:v>used only in certain tenses, the rest being supplied by G5315 (φάγω); to eat (usually literal)</x:v>
      </x:c>
      <x:c r="H302" s="20" t="str"/>
      <x:c r="I302" s="21" t="n">
        <x:v>29</x:v>
      </x:c>
      <x:c r="J302" s="21" t="str">
        <x:v>BBG 課序</x:v>
      </x:c>
      <x:c r="K302" s="21" t="str">
        <x:v>G2068</x:v>
      </x:c>
      <x:c r="L302" s="21" t="str">
        <x:v>否</x:v>
      </x:c>
      <x:c r="M302" s="21" t="str"/>
      <x:c r="N302" s="21" t="str">
        <x:v>source_and_lexicon_matched</x:v>
      </x:c>
      <x:c r="O302" s="21" t="str">
        <x:v>rule_generated_from_official_table</x:v>
      </x:c>
      <x:c r="P302" s="21" t="n">
        <x:v>5</x:v>
      </x:c>
      <x:c r="Q302" s="21" t="str">
        <x:v>https://doxa.billmounce.com/Flashcards%20%28BBG%29.pdf</x:v>
      </x:c>
      <x:c r="R302" s="16" t="str"/>
    </x:row>
    <x:row r="303" ht="28" customHeight="1">
      <x:c r="A303" s="21" t="n">
        <x:v>299</x:v>
      </x:c>
      <x:c r="B303" s="21" t="n">
        <x:f>ROUNDUP(A303/50,0)</x:f>
        <x:v>6</x:v>
      </x:c>
      <x:c r="C303" s="21" t="n">
        <x:f>MOD(A303-1,50)+1</x:f>
        <x:v>49</x:v>
      </x:c>
      <x:c r="D303" s="29" t="str">
        <x:v>πέμπω</x:v>
      </x:c>
      <x:c r="E303" s="29" t="str">
        <x:v>πέμπω</x:v>
      </x:c>
      <x:c r="F303" s="27" t="str">
        <x:v>pempō</x:v>
      </x:c>
      <x:c r="G303" s="20" t="str">
        <x:v>to dispatch (from the subjective view or point of departure, whereas (as a stronger form of ) refers rather to the objective point or terminus ad quem, and G4724 (στέλλω) denotes properly, the orderly motion involved), especially on a temporary errand; also to transmit, bestow, or wield</x:v>
      </x:c>
      <x:c r="H303" s="20" t="str"/>
      <x:c r="I303" s="21" t="n">
        <x:v>29</x:v>
      </x:c>
      <x:c r="J303" s="21" t="str">
        <x:v>BBG 課序</x:v>
      </x:c>
      <x:c r="K303" s="21" t="str">
        <x:v>G3992</x:v>
      </x:c>
      <x:c r="L303" s="21" t="str">
        <x:v>否</x:v>
      </x:c>
      <x:c r="M303" s="21" t="str"/>
      <x:c r="N303" s="21" t="str">
        <x:v>source_and_lexicon_matched</x:v>
      </x:c>
      <x:c r="O303" s="21" t="str">
        <x:v>rule_generated_from_official_table</x:v>
      </x:c>
      <x:c r="P303" s="21" t="n">
        <x:v>5</x:v>
      </x:c>
      <x:c r="Q303" s="21" t="str">
        <x:v>https://doxa.billmounce.com/Flashcards%20%28BBG%29.pdf</x:v>
      </x:c>
      <x:c r="R303" s="16" t="str"/>
    </x:row>
    <x:row r="304" ht="28" customHeight="1">
      <x:c r="A304" s="21" t="n">
        <x:v>300</x:v>
      </x:c>
      <x:c r="B304" s="21" t="n">
        <x:f>ROUNDUP(A304/50,0)</x:f>
        <x:v>6</x:v>
      </x:c>
      <x:c r="C304" s="21" t="n">
        <x:f>MOD(A304-1,50)+1</x:f>
        <x:v>50</x:v>
      </x:c>
      <x:c r="D304" s="29" t="str">
        <x:v>φέρω</x:v>
      </x:c>
      <x:c r="E304" s="29" t="str">
        <x:v>φέρω</x:v>
      </x:c>
      <x:c r="F304" s="27" t="str">
        <x:v>pherō</x:v>
      </x:c>
      <x:c r="G304" s="20" t="str">
        <x:v>to "bear" or carry (in a very wide application, literally and figuratively, as follows)</x:v>
      </x:c>
      <x:c r="H304" s="20" t="str"/>
      <x:c r="I304" s="21" t="n">
        <x:v>29</x:v>
      </x:c>
      <x:c r="J304" s="21" t="str">
        <x:v>BBG 課序</x:v>
      </x:c>
      <x:c r="K304" s="21" t="str">
        <x:v>G5342</x:v>
      </x:c>
      <x:c r="L304" s="21" t="str">
        <x:v>否</x:v>
      </x:c>
      <x:c r="M304" s="21" t="str"/>
      <x:c r="N304" s="21" t="str">
        <x:v>source_and_lexicon_matched</x:v>
      </x:c>
      <x:c r="O304" s="21" t="str">
        <x:v>rule_generated_from_official_table</x:v>
      </x:c>
      <x:c r="P304" s="21" t="n">
        <x:v>5</x:v>
      </x:c>
      <x:c r="Q304" s="21" t="str">
        <x:v>https://doxa.billmounce.com/Flashcards%20%28BBG%29.pdf</x:v>
      </x:c>
      <x:c r="R304" s="16" t="str"/>
    </x:row>
    <x:row r="305" ht="28" customHeight="1">
      <x:c r="A305" s="21" t="n">
        <x:v>301</x:v>
      </x:c>
      <x:c r="B305" s="21" t="n">
        <x:f>ROUNDUP(A305/50,0)</x:f>
        <x:v>7</x:v>
      </x:c>
      <x:c r="C305" s="21" t="n">
        <x:f>MOD(A305-1,50)+1</x:f>
        <x:v>1</x:v>
      </x:c>
      <x:c r="D305" s="29" t="str">
        <x:v>μηδέ</x:v>
      </x:c>
      <x:c r="E305" s="29" t="str">
        <x:v>μηδέ</x:v>
      </x:c>
      <x:c r="F305" s="27" t="str">
        <x:v>mēde</x:v>
      </x:c>
      <x:c r="G305" s="20" t="str">
        <x:v>but not, not even; in a continued negation, nor</x:v>
      </x:c>
      <x:c r="H305" s="20" t="str"/>
      <x:c r="I305" s="21" t="n">
        <x:v>30</x:v>
      </x:c>
      <x:c r="J305" s="21" t="str">
        <x:v>BBG 課序</x:v>
      </x:c>
      <x:c r="K305" s="21" t="str">
        <x:v>G3366</x:v>
      </x:c>
      <x:c r="L305" s="21" t="str">
        <x:v>否</x:v>
      </x:c>
      <x:c r="M305" s="21" t="str"/>
      <x:c r="N305" s="21" t="str">
        <x:v>source_and_lexicon_matched</x:v>
      </x:c>
      <x:c r="O305" s="21" t="str">
        <x:v>rule_generated_from_official_table</x:v>
      </x:c>
      <x:c r="P305" s="21" t="n">
        <x:v>6</x:v>
      </x:c>
      <x:c r="Q305" s="21" t="str">
        <x:v>https://doxa.billmounce.com/Flashcards%20%28BBG%29.pdf</x:v>
      </x:c>
      <x:c r="R305" s="16" t="str"/>
    </x:row>
    <x:row r="306" ht="28" customHeight="1">
      <x:c r="A306" s="21" t="n">
        <x:v>302</x:v>
      </x:c>
      <x:c r="B306" s="21" t="n">
        <x:f>ROUNDUP(A306/50,0)</x:f>
        <x:v>7</x:v>
      </x:c>
      <x:c r="C306" s="21" t="n">
        <x:f>MOD(A306-1,50)+1</x:f>
        <x:v>2</x:v>
      </x:c>
      <x:c r="D306" s="29" t="str">
        <x:v>πρεσβύτερος, -α, -ον</x:v>
      </x:c>
      <x:c r="E306" s="29" t="str">
        <x:v>πρεσβύτερος</x:v>
      </x:c>
      <x:c r="F306" s="27" t="str">
        <x:v>presbuteros</x:v>
      </x:c>
      <x:c r="G306" s="20" t="str">
        <x:v>older; as noun, a senior; specially, an Israelite Sanhedrist (also figuratively, member of the celestial council) or Christian "presbyter"</x:v>
      </x:c>
      <x:c r="H306" s="20" t="str"/>
      <x:c r="I306" s="21" t="n">
        <x:v>30</x:v>
      </x:c>
      <x:c r="J306" s="21" t="str">
        <x:v>BBG 課序</x:v>
      </x:c>
      <x:c r="K306" s="21" t="str">
        <x:v>G4245</x:v>
      </x:c>
      <x:c r="L306" s="21" t="str">
        <x:v>否</x:v>
      </x:c>
      <x:c r="M306" s="21" t="str"/>
      <x:c r="N306" s="21" t="str">
        <x:v>source_and_lexicon_matched</x:v>
      </x:c>
      <x:c r="O306" s="21" t="str">
        <x:v>rule_generated_from_official_table</x:v>
      </x:c>
      <x:c r="P306" s="21" t="n">
        <x:v>6</x:v>
      </x:c>
      <x:c r="Q306" s="21" t="str">
        <x:v>https://doxa.billmounce.com/Flashcards%20%28BBG%29.pdf</x:v>
      </x:c>
      <x:c r="R306" s="16" t="str"/>
    </x:row>
    <x:row r="307" ht="28" customHeight="1">
      <x:c r="A307" s="21" t="n">
        <x:v>303</x:v>
      </x:c>
      <x:c r="B307" s="21" t="n">
        <x:f>ROUNDUP(A307/50,0)</x:f>
        <x:v>7</x:v>
      </x:c>
      <x:c r="C307" s="21" t="n">
        <x:f>MOD(A307-1,50)+1</x:f>
        <x:v>3</x:v>
      </x:c>
      <x:c r="D307" s="29" t="str">
        <x:v>λίθος, -ου, ὁ</x:v>
      </x:c>
      <x:c r="E307" s="29" t="str">
        <x:v>λίθος</x:v>
      </x:c>
      <x:c r="F307" s="27" t="str">
        <x:v>lithos</x:v>
      </x:c>
      <x:c r="G307" s="20" t="str">
        <x:v>a stone (literally or figuratively)</x:v>
      </x:c>
      <x:c r="H307" s="20" t="str"/>
      <x:c r="I307" s="21" t="n">
        <x:v>31</x:v>
      </x:c>
      <x:c r="J307" s="21" t="str">
        <x:v>BBG 課序</x:v>
      </x:c>
      <x:c r="K307" s="21" t="str">
        <x:v>G3037</x:v>
      </x:c>
      <x:c r="L307" s="21" t="str">
        <x:v>否</x:v>
      </x:c>
      <x:c r="M307" s="21" t="str"/>
      <x:c r="N307" s="21" t="str">
        <x:v>source_and_lexicon_matched</x:v>
      </x:c>
      <x:c r="O307" s="21" t="str">
        <x:v>rule_generated_from_official_table</x:v>
      </x:c>
      <x:c r="P307" s="21" t="n">
        <x:v>6</x:v>
      </x:c>
      <x:c r="Q307" s="21" t="str">
        <x:v>https://doxa.billmounce.com/Flashcards%20%28BBG%29.pdf</x:v>
      </x:c>
      <x:c r="R307" s="16" t="str"/>
    </x:row>
    <x:row r="308" ht="28" customHeight="1">
      <x:c r="A308" s="21" t="n">
        <x:v>304</x:v>
      </x:c>
      <x:c r="B308" s="21" t="n">
        <x:f>ROUNDUP(A308/50,0)</x:f>
        <x:v>7</x:v>
      </x:c>
      <x:c r="C308" s="21" t="n">
        <x:f>MOD(A308-1,50)+1</x:f>
        <x:v>4</x:v>
      </x:c>
      <x:c r="D308" s="29" t="str">
        <x:v>τοιοῦτος, -αύτη, -οῦτον</x:v>
      </x:c>
      <x:c r="E308" s="29" t="str">
        <x:v>τοιοῦτος</x:v>
      </x:c>
      <x:c r="F308" s="27" t="str">
        <x:v>toioutos</x:v>
      </x:c>
      <x:c r="G308" s="20" t="str">
        <x:v>truly this, i.e. of this sort (to denote character or individuality)</x:v>
      </x:c>
      <x:c r="H308" s="20" t="str"/>
      <x:c r="I308" s="21" t="n">
        <x:v>31</x:v>
      </x:c>
      <x:c r="J308" s="21" t="str">
        <x:v>BBG 課序</x:v>
      </x:c>
      <x:c r="K308" s="21" t="str">
        <x:v>G5108</x:v>
      </x:c>
      <x:c r="L308" s="21" t="str">
        <x:v>否</x:v>
      </x:c>
      <x:c r="M308" s="21" t="str"/>
      <x:c r="N308" s="21" t="str">
        <x:v>source_and_lexicon_matched</x:v>
      </x:c>
      <x:c r="O308" s="21" t="str">
        <x:v>rule_generated_from_official_table</x:v>
      </x:c>
      <x:c r="P308" s="21" t="n">
        <x:v>6</x:v>
      </x:c>
      <x:c r="Q308" s="21" t="str">
        <x:v>https://doxa.billmounce.com/Flashcards%20%28BBG%29.pdf</x:v>
      </x:c>
      <x:c r="R308" s="16" t="str"/>
    </x:row>
    <x:row r="309" ht="28" customHeight="1">
      <x:c r="A309" s="21" t="n">
        <x:v>305</x:v>
      </x:c>
      <x:c r="B309" s="21" t="n">
        <x:f>ROUNDUP(A309/50,0)</x:f>
        <x:v>7</x:v>
      </x:c>
      <x:c r="C309" s="21" t="n">
        <x:f>MOD(A309-1,50)+1</x:f>
        <x:v>5</x:v>
      </x:c>
      <x:c r="D309" s="29" t="str">
        <x:v>δίκαιος, -αία, -αιον</x:v>
      </x:c>
      <x:c r="E309" s="29" t="str">
        <x:v>δίκαιος</x:v>
      </x:c>
      <x:c r="F309" s="27" t="str">
        <x:v>dikaios</x:v>
      </x:c>
      <x:c r="G309" s="20" t="str">
        <x:v>equitable (in character or act); by implication, innocent, holy (absolutely or relatively)</x:v>
      </x:c>
      <x:c r="H309" s="20" t="str"/>
      <x:c r="I309" s="21" t="n">
        <x:v>32</x:v>
      </x:c>
      <x:c r="J309" s="21" t="str">
        <x:v>BBG 課序</x:v>
      </x:c>
      <x:c r="K309" s="21" t="str">
        <x:v>G1342</x:v>
      </x:c>
      <x:c r="L309" s="21" t="str">
        <x:v>否</x:v>
      </x:c>
      <x:c r="M309" s="21" t="str"/>
      <x:c r="N309" s="21" t="str">
        <x:v>source_and_lexicon_matched</x:v>
      </x:c>
      <x:c r="O309" s="21" t="str">
        <x:v>rule_generated_from_official_table</x:v>
      </x:c>
      <x:c r="P309" s="21" t="n">
        <x:v>6</x:v>
      </x:c>
      <x:c r="Q309" s="21" t="str">
        <x:v>https://doxa.billmounce.com/Flashcards%20%28BBG%29.pdf</x:v>
      </x:c>
      <x:c r="R309" s="16" t="str"/>
    </x:row>
    <x:row r="310" ht="28" customHeight="1">
      <x:c r="A310" s="21" t="n">
        <x:v>306</x:v>
      </x:c>
      <x:c r="B310" s="21" t="n">
        <x:f>ROUNDUP(A310/50,0)</x:f>
        <x:v>7</x:v>
      </x:c>
      <x:c r="C310" s="21" t="n">
        <x:f>MOD(A310-1,50)+1</x:f>
        <x:v>6</x:v>
      </x:c>
      <x:c r="D310" s="29" t="str">
        <x:v>μέλλω</x:v>
      </x:c>
      <x:c r="E310" s="29" t="str">
        <x:v>μέλλω</x:v>
      </x:c>
      <x:c r="F310" s="27" t="str">
        <x:v>mellō</x:v>
      </x:c>
      <x:c r="G310" s="20" t="str">
        <x:v>to intend, i.e. be about to be, do, or suffer something (of persons or things, especially events; in the sense of purpose, duty, necessity, probability, possibility, or hesitation)</x:v>
      </x:c>
      <x:c r="H310" s="20" t="str"/>
      <x:c r="I310" s="21" t="n">
        <x:v>32</x:v>
      </x:c>
      <x:c r="J310" s="21" t="str">
        <x:v>BBG 課序</x:v>
      </x:c>
      <x:c r="K310" s="21" t="str">
        <x:v>G3195</x:v>
      </x:c>
      <x:c r="L310" s="21" t="str">
        <x:v>否</x:v>
      </x:c>
      <x:c r="M310" s="21" t="str"/>
      <x:c r="N310" s="21" t="str">
        <x:v>source_and_lexicon_matched</x:v>
      </x:c>
      <x:c r="O310" s="21" t="str">
        <x:v>rule_generated_from_official_table</x:v>
      </x:c>
      <x:c r="P310" s="21" t="n">
        <x:v>6</x:v>
      </x:c>
      <x:c r="Q310" s="21" t="str">
        <x:v>https://doxa.billmounce.com/Flashcards%20%28BBG%29.pdf</x:v>
      </x:c>
      <x:c r="R310" s="16" t="str"/>
    </x:row>
    <x:row r="311" ht="28" customHeight="1">
      <x:c r="A311" s="21" t="n">
        <x:v>307</x:v>
      </x:c>
      <x:c r="B311" s="21" t="n">
        <x:f>ROUNDUP(A311/50,0)</x:f>
        <x:v>7</x:v>
      </x:c>
      <x:c r="C311" s="21" t="n">
        <x:f>MOD(A311-1,50)+1</x:f>
        <x:v>7</x:v>
      </x:c>
      <x:c r="D311" s="29" t="str">
        <x:v>ἀπόλλυμι</x:v>
      </x:c>
      <x:c r="E311" s="29" t="str">
        <x:v>ἀπόλλυμι</x:v>
      </x:c>
      <x:c r="F311" s="27" t="str">
        <x:v>apollumi</x:v>
      </x:c>
      <x:c r="G311" s="20" t="str">
        <x:v>to destroy fully (reflexively, to perish, or lose), literally or figuratively</x:v>
      </x:c>
      <x:c r="H311" s="20" t="str"/>
      <x:c r="I311" s="21" t="n">
        <x:v>33</x:v>
      </x:c>
      <x:c r="J311" s="21" t="str">
        <x:v>BBG 課序</x:v>
      </x:c>
      <x:c r="K311" s="21" t="str">
        <x:v>G622</x:v>
      </x:c>
      <x:c r="L311" s="21" t="str">
        <x:v>否</x:v>
      </x:c>
      <x:c r="M311" s="21" t="str"/>
      <x:c r="N311" s="21" t="str">
        <x:v>source_and_lexicon_matched</x:v>
      </x:c>
      <x:c r="O311" s="21" t="str">
        <x:v>rule_generated_from_official_table</x:v>
      </x:c>
      <x:c r="P311" s="21" t="n">
        <x:v>6</x:v>
      </x:c>
      <x:c r="Q311" s="21" t="str">
        <x:v>https://doxa.billmounce.com/Flashcards%20%28BBG%29.pdf</x:v>
      </x:c>
      <x:c r="R311" s="16" t="str"/>
    </x:row>
    <x:row r="312" ht="28" customHeight="1">
      <x:c r="A312" s="21" t="n">
        <x:v>308</x:v>
      </x:c>
      <x:c r="B312" s="21" t="n">
        <x:f>ROUNDUP(A312/50,0)</x:f>
        <x:v>7</x:v>
      </x:c>
      <x:c r="C312" s="21" t="n">
        <x:f>MOD(A312-1,50)+1</x:f>
        <x:v>8</x:v>
      </x:c>
      <x:c r="D312" s="29" t="str">
        <x:v>ἀπολύω</x:v>
      </x:c>
      <x:c r="E312" s="29" t="str">
        <x:v>ἀπολύω</x:v>
      </x:c>
      <x:c r="F312" s="27" t="str">
        <x:v>apoluō</x:v>
      </x:c>
      <x:c r="G312" s="20" t="str">
        <x:v>to free fully, i.e. (literally) relieve, release, dismiss (reflexively, depart), or (figuratively) let die, pardon or (specially) divorce</x:v>
      </x:c>
      <x:c r="H312" s="20" t="str"/>
      <x:c r="I312" s="21" t="n">
        <x:v>33</x:v>
      </x:c>
      <x:c r="J312" s="21" t="str">
        <x:v>BBG 課序</x:v>
      </x:c>
      <x:c r="K312" s="21" t="str">
        <x:v>G630</x:v>
      </x:c>
      <x:c r="L312" s="21" t="str">
        <x:v>否</x:v>
      </x:c>
      <x:c r="M312" s="21" t="str"/>
      <x:c r="N312" s="21" t="str">
        <x:v>source_and_lexicon_matched</x:v>
      </x:c>
      <x:c r="O312" s="21" t="str">
        <x:v>rule_generated_from_official_table</x:v>
      </x:c>
      <x:c r="P312" s="21" t="n">
        <x:v>6</x:v>
      </x:c>
      <x:c r="Q312" s="21" t="str">
        <x:v>https://doxa.billmounce.com/Flashcards%20%28BBG%29.pdf</x:v>
      </x:c>
      <x:c r="R312" s="16" t="str"/>
    </x:row>
    <x:row r="313" ht="28" customHeight="1">
      <x:c r="A313" s="21" t="n">
        <x:v>309</x:v>
      </x:c>
      <x:c r="B313" s="21" t="n">
        <x:f>ROUNDUP(A313/50,0)</x:f>
        <x:v>7</x:v>
      </x:c>
      <x:c r="C313" s="21" t="n">
        <x:f>MOD(A313-1,50)+1</x:f>
        <x:v>9</x:v>
      </x:c>
      <x:c r="D313" s="29" t="str">
        <x:v>εἴτε</x:v>
      </x:c>
      <x:c r="E313" s="29" t="str">
        <x:v>εἴτε</x:v>
      </x:c>
      <x:c r="F313" s="27" t="str">
        <x:v>eite</x:v>
      </x:c>
      <x:c r="G313" s="20" t="str">
        <x:v>if too</x:v>
      </x:c>
      <x:c r="H313" s="20" t="str"/>
      <x:c r="I313" s="21" t="n">
        <x:v>33</x:v>
      </x:c>
      <x:c r="J313" s="21" t="str">
        <x:v>BBG 課序</x:v>
      </x:c>
      <x:c r="K313" s="21" t="str">
        <x:v>G1535</x:v>
      </x:c>
      <x:c r="L313" s="21" t="str">
        <x:v>否</x:v>
      </x:c>
      <x:c r="M313" s="21" t="str"/>
      <x:c r="N313" s="21" t="str">
        <x:v>source_and_lexicon_matched</x:v>
      </x:c>
      <x:c r="O313" s="21" t="str">
        <x:v>rule_generated_from_official_table</x:v>
      </x:c>
      <x:c r="P313" s="21" t="n">
        <x:v>6</x:v>
      </x:c>
      <x:c r="Q313" s="21" t="str">
        <x:v>https://doxa.billmounce.com/Flashcards%20%28BBG%29.pdf</x:v>
      </x:c>
      <x:c r="R313" s="16" t="str"/>
    </x:row>
    <x:row r="314" ht="28" customHeight="1">
      <x:c r="A314" s="21" t="n">
        <x:v>310</x:v>
      </x:c>
      <x:c r="B314" s="21" t="n">
        <x:f>ROUNDUP(A314/50,0)</x:f>
        <x:v>7</x:v>
      </x:c>
      <x:c r="C314" s="21" t="n">
        <x:f>MOD(A314-1,50)+1</x:f>
        <x:v>10</x:v>
      </x:c>
      <x:c r="D314" s="29" t="str">
        <x:v>δίδωμι</x:v>
      </x:c>
      <x:c r="E314" s="29" t="str">
        <x:v>δίδωμι</x:v>
      </x:c>
      <x:c r="F314" s="27" t="str">
        <x:v>didōmi</x:v>
      </x:c>
      <x:c r="G314" s="20" t="str">
        <x:v>to give (used in a very wide application, properly, or by implication, literally or figuratively; greatly modified by the connection)</x:v>
      </x:c>
      <x:c r="H314" s="20" t="str"/>
      <x:c r="I314" s="21" t="n">
        <x:v>34</x:v>
      </x:c>
      <x:c r="J314" s="21" t="str">
        <x:v>BBG 課序</x:v>
      </x:c>
      <x:c r="K314" s="21" t="str">
        <x:v>G1325</x:v>
      </x:c>
      <x:c r="L314" s="21" t="str">
        <x:v>否</x:v>
      </x:c>
      <x:c r="M314" s="21" t="str"/>
      <x:c r="N314" s="21" t="str">
        <x:v>source_and_lexicon_matched</x:v>
      </x:c>
      <x:c r="O314" s="21" t="str">
        <x:v>rule_generated_from_official_table</x:v>
      </x:c>
      <x:c r="P314" s="21" t="n">
        <x:v>6</x:v>
      </x:c>
      <x:c r="Q314" s="21" t="str">
        <x:v>https://doxa.billmounce.com/Flashcards%20%28BBG%29.pdf</x:v>
      </x:c>
      <x:c r="R314" s="16" t="str"/>
    </x:row>
    <x:row r="315" ht="28" customHeight="1">
      <x:c r="A315" s="21" t="n">
        <x:v>311</x:v>
      </x:c>
      <x:c r="B315" s="21" t="n">
        <x:f>ROUNDUP(A315/50,0)</x:f>
        <x:v>7</x:v>
      </x:c>
      <x:c r="C315" s="21" t="n">
        <x:f>MOD(A315-1,50)+1</x:f>
        <x:v>11</x:v>
      </x:c>
      <x:c r="D315" s="29" t="str">
        <x:v>ἔθνος, -ους, τό</x:v>
      </x:c>
      <x:c r="E315" s="29" t="str">
        <x:v>ἔθνος</x:v>
      </x:c>
      <x:c r="F315" s="27" t="str">
        <x:v>ethnos</x:v>
      </x:c>
      <x:c r="G315" s="20" t="str">
        <x:v>a race (as of the same habit), i.e. a tribe; specially, a foreign (non-Jewish) one (usually, by implication, pagan)</x:v>
      </x:c>
      <x:c r="H315" s="20" t="str"/>
      <x:c r="I315" s="21" t="n">
        <x:v>34</x:v>
      </x:c>
      <x:c r="J315" s="21" t="str">
        <x:v>BBG 課序</x:v>
      </x:c>
      <x:c r="K315" s="21" t="str">
        <x:v>G1484</x:v>
      </x:c>
      <x:c r="L315" s="21" t="str">
        <x:v>否</x:v>
      </x:c>
      <x:c r="M315" s="21" t="str"/>
      <x:c r="N315" s="21" t="str">
        <x:v>source_and_lexicon_matched</x:v>
      </x:c>
      <x:c r="O315" s="21" t="str">
        <x:v>rule_generated_from_official_table</x:v>
      </x:c>
      <x:c r="P315" s="21" t="n">
        <x:v>6</x:v>
      </x:c>
      <x:c r="Q315" s="21" t="str">
        <x:v>https://doxa.billmounce.com/Flashcards%20%28BBG%29.pdf</x:v>
      </x:c>
      <x:c r="R315" s="16" t="str"/>
    </x:row>
    <x:row r="316" ht="28" customHeight="1">
      <x:c r="A316" s="21" t="n">
        <x:v>312</x:v>
      </x:c>
      <x:c r="B316" s="21" t="n">
        <x:f>ROUNDUP(A316/50,0)</x:f>
        <x:v>7</x:v>
      </x:c>
      <x:c r="C316" s="21" t="n">
        <x:f>MOD(A316-1,50)+1</x:f>
        <x:v>12</x:v>
      </x:c>
      <x:c r="D316" s="29" t="str">
        <x:v>λοιπός, -ή, -όν</x:v>
      </x:c>
      <x:c r="E316" s="29" t="str">
        <x:v>λοιπός</x:v>
      </x:c>
      <x:c r="F316" s="27" t="str">
        <x:v>loipos</x:v>
      </x:c>
      <x:c r="G316" s="20" t="str"/>
      <x:c r="H316" s="20" t="str"/>
      <x:c r="I316" s="21" t="n">
        <x:v>34</x:v>
      </x:c>
      <x:c r="J316" s="21" t="str">
        <x:v>BBG 課序</x:v>
      </x:c>
      <x:c r="K316" s="21" t="str"/>
      <x:c r="L316" s="21" t="str">
        <x:v>否</x:v>
      </x:c>
      <x:c r="M316" s="21" t="str"/>
      <x:c r="N316" s="21" t="str">
        <x:v>source_verified_lexicon_pending</x:v>
      </x:c>
      <x:c r="O316" s="21" t="str">
        <x:v>rule_generated_from_official_table</x:v>
      </x:c>
      <x:c r="P316" s="21" t="n">
        <x:v>6</x:v>
      </x:c>
      <x:c r="Q316" s="21" t="str">
        <x:v>https://doxa.billmounce.com/Flashcards%20%28BBG%29.pdf</x:v>
      </x:c>
      <x:c r="R316" s="16" t="str"/>
    </x:row>
    <x:row r="317" ht="28" customHeight="1">
      <x:c r="A317" s="21" t="n">
        <x:v>313</x:v>
      </x:c>
      <x:c r="B317" s="21" t="n">
        <x:f>ROUNDUP(A317/50,0)</x:f>
        <x:v>7</x:v>
      </x:c>
      <x:c r="C317" s="21" t="n">
        <x:f>MOD(A317-1,50)+1</x:f>
        <x:v>13</x:v>
      </x:c>
      <x:c r="D317" s="29" t="str">
        <x:v>Μωϋσῆς, -έως, ὁ</x:v>
      </x:c>
      <x:c r="E317" s="29" t="str">
        <x:v>Μωϋσῆς</x:v>
      </x:c>
      <x:c r="F317" s="27" t="str">
        <x:v>Mōusēs</x:v>
      </x:c>
      <x:c r="G317" s="20" t="str"/>
      <x:c r="H317" s="20" t="str"/>
      <x:c r="I317" s="21" t="n">
        <x:v>34</x:v>
      </x:c>
      <x:c r="J317" s="21" t="str">
        <x:v>BBG 課序</x:v>
      </x:c>
      <x:c r="K317" s="21" t="str"/>
      <x:c r="L317" s="21" t="str">
        <x:v>是</x:v>
      </x:c>
      <x:c r="M317" s="21" t="str">
        <x:v>人名</x:v>
      </x:c>
      <x:c r="N317" s="21" t="str">
        <x:v>source_verified_lexicon_pending</x:v>
      </x:c>
      <x:c r="O317" s="21" t="str">
        <x:v>rule_generated_from_official_table</x:v>
      </x:c>
      <x:c r="P317" s="21" t="n">
        <x:v>6</x:v>
      </x:c>
      <x:c r="Q317" s="21" t="str">
        <x:v>https://doxa.billmounce.com/Flashcards%20%28BBG%29.pdf</x:v>
      </x:c>
      <x:c r="R317" s="16" t="str"/>
    </x:row>
    <x:row r="318" ht="28" customHeight="1">
      <x:c r="A318" s="21" t="n">
        <x:v>314</x:v>
      </x:c>
      <x:c r="B318" s="21" t="n">
        <x:f>ROUNDUP(A318/50,0)</x:f>
        <x:v>7</x:v>
      </x:c>
      <x:c r="C318" s="21" t="n">
        <x:f>MOD(A318-1,50)+1</x:f>
        <x:v>14</x:v>
      </x:c>
      <x:c r="D318" s="29" t="str">
        <x:v>παραδίδωμι</x:v>
      </x:c>
      <x:c r="E318" s="29" t="str">
        <x:v>παραδίδωμι</x:v>
      </x:c>
      <x:c r="F318" s="27" t="str">
        <x:v>paradidōmi</x:v>
      </x:c>
      <x:c r="G318" s="20" t="str">
        <x:v>to surrender, i.e yield up, intrust, transmit</x:v>
      </x:c>
      <x:c r="H318" s="20" t="str"/>
      <x:c r="I318" s="21" t="n">
        <x:v>34</x:v>
      </x:c>
      <x:c r="J318" s="21" t="str">
        <x:v>BBG 課序</x:v>
      </x:c>
      <x:c r="K318" s="21" t="str">
        <x:v>G3860</x:v>
      </x:c>
      <x:c r="L318" s="21" t="str">
        <x:v>否</x:v>
      </x:c>
      <x:c r="M318" s="21" t="str"/>
      <x:c r="N318" s="21" t="str">
        <x:v>source_and_lexicon_matched</x:v>
      </x:c>
      <x:c r="O318" s="21" t="str">
        <x:v>rule_generated_from_official_table</x:v>
      </x:c>
      <x:c r="P318" s="21" t="n">
        <x:v>6</x:v>
      </x:c>
      <x:c r="Q318" s="21" t="str">
        <x:v>https://doxa.billmounce.com/Flashcards%20%28BBG%29.pdf</x:v>
      </x:c>
      <x:c r="R318" s="16" t="str"/>
    </x:row>
    <x:row r="319" ht="28" customHeight="1">
      <x:c r="A319" s="21" t="n">
        <x:v>315</x:v>
      </x:c>
      <x:c r="B319" s="21" t="n">
        <x:f>ROUNDUP(A319/50,0)</x:f>
        <x:v>7</x:v>
      </x:c>
      <x:c r="C319" s="21" t="n">
        <x:f>MOD(A319-1,50)+1</x:f>
        <x:v>15</x:v>
      </x:c>
      <x:c r="D319" s="29" t="str">
        <x:v>πίπτω</x:v>
      </x:c>
      <x:c r="E319" s="29" t="str">
        <x:v>πίπτω</x:v>
      </x:c>
      <x:c r="F319" s="27" t="str">
        <x:v>piptō</x:v>
      </x:c>
      <x:c r="G319" s="20" t="str">
        <x:v>to fall (literally or figuratively)</x:v>
      </x:c>
      <x:c r="H319" s="20" t="str"/>
      <x:c r="I319" s="21" t="n">
        <x:v>34</x:v>
      </x:c>
      <x:c r="J319" s="21" t="str">
        <x:v>BBG 課序</x:v>
      </x:c>
      <x:c r="K319" s="21" t="str">
        <x:v>G4098</x:v>
      </x:c>
      <x:c r="L319" s="21" t="str">
        <x:v>否</x:v>
      </x:c>
      <x:c r="M319" s="21" t="str"/>
      <x:c r="N319" s="21" t="str">
        <x:v>source_and_lexicon_matched</x:v>
      </x:c>
      <x:c r="O319" s="21" t="str">
        <x:v>rule_generated_from_official_table</x:v>
      </x:c>
      <x:c r="P319" s="21" t="n">
        <x:v>6</x:v>
      </x:c>
      <x:c r="Q319" s="21" t="str">
        <x:v>https://doxa.billmounce.com/Flashcards%20%28BBG%29.pdf</x:v>
      </x:c>
      <x:c r="R319" s="16" t="str"/>
    </x:row>
    <x:row r="320" ht="28" customHeight="1">
      <x:c r="A320" s="21" t="n">
        <x:v>316</x:v>
      </x:c>
      <x:c r="B320" s="21" t="n">
        <x:f>ROUNDUP(A320/50,0)</x:f>
        <x:v>7</x:v>
      </x:c>
      <x:c r="C320" s="21" t="n">
        <x:f>MOD(A320-1,50)+1</x:f>
        <x:v>16</x:v>
      </x:c>
      <x:c r="D320" s="29" t="str">
        <x:v>ὑπάρχω</x:v>
      </x:c>
      <x:c r="E320" s="29" t="str">
        <x:v>ὑπάρχω</x:v>
      </x:c>
      <x:c r="F320" s="27" t="str">
        <x:v>huparchō</x:v>
      </x:c>
      <x:c r="G320" s="20" t="str">
        <x:v>to begin under (quietly), i.e. come into existence (be present or at hand); expletively, to exist (as copula or subordinate to an adjective, participle, adverb or preposition, or as an auxiliary to a principal (verb)</x:v>
      </x:c>
      <x:c r="H320" s="20" t="str"/>
      <x:c r="I320" s="21" t="n">
        <x:v>34</x:v>
      </x:c>
      <x:c r="J320" s="21" t="str">
        <x:v>BBG 課序</x:v>
      </x:c>
      <x:c r="K320" s="21" t="str">
        <x:v>G5225</x:v>
      </x:c>
      <x:c r="L320" s="21" t="str">
        <x:v>否</x:v>
      </x:c>
      <x:c r="M320" s="21" t="str"/>
      <x:c r="N320" s="21" t="str">
        <x:v>source_and_lexicon_matched</x:v>
      </x:c>
      <x:c r="O320" s="21" t="str">
        <x:v>rule_generated_from_official_table</x:v>
      </x:c>
      <x:c r="P320" s="21" t="n">
        <x:v>6</x:v>
      </x:c>
      <x:c r="Q320" s="21" t="str">
        <x:v>https://doxa.billmounce.com/Flashcards%20%28BBG%29.pdf</x:v>
      </x:c>
      <x:c r="R320" s="16" t="str"/>
    </x:row>
    <x:row r="321" ht="28" customHeight="1">
      <x:c r="A321" s="21" t="n">
        <x:v>317</x:v>
      </x:c>
      <x:c r="B321" s="21" t="n">
        <x:f>ROUNDUP(A321/50,0)</x:f>
        <x:v>7</x:v>
      </x:c>
      <x:c r="C321" s="21" t="n">
        <x:f>MOD(A321-1,50)+1</x:f>
        <x:v>17</x:v>
      </x:c>
      <x:c r="D321" s="29" t="str">
        <x:v>ἁγιάζω</x:v>
      </x:c>
      <x:c r="E321" s="29" t="str">
        <x:v>ἁγιάζω</x:v>
      </x:c>
      <x:c r="F321" s="27" t="str">
        <x:v>hagiazō</x:v>
      </x:c>
      <x:c r="G321" s="20" t="str">
        <x:v>to make holy, i.e. (ceremonially) purify or consecrate; (mentally) to venerate</x:v>
      </x:c>
      <x:c r="H321" s="20" t="str"/>
      <x:c r="I321" s="21" t="n">
        <x:v>35</x:v>
      </x:c>
      <x:c r="J321" s="21" t="str">
        <x:v>BBG 課序</x:v>
      </x:c>
      <x:c r="K321" s="21" t="str">
        <x:v>G37</x:v>
      </x:c>
      <x:c r="L321" s="21" t="str">
        <x:v>否</x:v>
      </x:c>
      <x:c r="M321" s="21" t="str"/>
      <x:c r="N321" s="21" t="str">
        <x:v>source_and_lexicon_matched</x:v>
      </x:c>
      <x:c r="O321" s="21" t="str">
        <x:v>rule_generated_from_official_table</x:v>
      </x:c>
      <x:c r="P321" s="21" t="n">
        <x:v>6</x:v>
      </x:c>
      <x:c r="Q321" s="21" t="str">
        <x:v>https://doxa.billmounce.com/Flashcards%20%28BBG%29.pdf</x:v>
      </x:c>
      <x:c r="R321" s="16" t="str"/>
    </x:row>
    <x:row r="322" ht="28" customHeight="1">
      <x:c r="A322" s="21" t="n">
        <x:v>318</x:v>
      </x:c>
      <x:c r="B322" s="21" t="n">
        <x:f>ROUNDUP(A322/50,0)</x:f>
        <x:v>7</x:v>
      </x:c>
      <x:c r="C322" s="21" t="n">
        <x:f>MOD(A322-1,50)+1</x:f>
        <x:v>18</x:v>
      </x:c>
      <x:c r="D322" s="29" t="str">
        <x:v>ἁμαρτάνω</x:v>
      </x:c>
      <x:c r="E322" s="29" t="str">
        <x:v>ἁμαρτάνω</x:v>
      </x:c>
      <x:c r="F322" s="27" t="str">
        <x:v>hamartanō</x:v>
      </x:c>
      <x:c r="G322" s="20" t="str">
        <x:v>properly, to miss the mark (and so not share in the prize), i.e. (figuratively) to err, especially (morally) to sin</x:v>
      </x:c>
      <x:c r="H322" s="20" t="str"/>
      <x:c r="I322" s="21" t="n">
        <x:v>35</x:v>
      </x:c>
      <x:c r="J322" s="21" t="str">
        <x:v>BBG 課序</x:v>
      </x:c>
      <x:c r="K322" s="21" t="str">
        <x:v>G264</x:v>
      </x:c>
      <x:c r="L322" s="21" t="str">
        <x:v>否</x:v>
      </x:c>
      <x:c r="M322" s="21" t="str"/>
      <x:c r="N322" s="21" t="str">
        <x:v>source_and_lexicon_matched</x:v>
      </x:c>
      <x:c r="O322" s="21" t="str">
        <x:v>rule_generated_from_official_table</x:v>
      </x:c>
      <x:c r="P322" s="21" t="n">
        <x:v>6</x:v>
      </x:c>
      <x:c r="Q322" s="21" t="str">
        <x:v>https://doxa.billmounce.com/Flashcards%20%28BBG%29.pdf</x:v>
      </x:c>
      <x:c r="R322" s="16" t="str"/>
    </x:row>
    <x:row r="323" ht="28" customHeight="1">
      <x:c r="A323" s="21" t="n">
        <x:v>319</x:v>
      </x:c>
      <x:c r="B323" s="21" t="n">
        <x:f>ROUNDUP(A323/50,0)</x:f>
        <x:v>7</x:v>
      </x:c>
      <x:c r="C323" s="21" t="n">
        <x:f>MOD(A323-1,50)+1</x:f>
        <x:v>19</x:v>
      </x:c>
      <x:c r="D323" s="29" t="str">
        <x:v>ἁμαρτωλός, -όν</x:v>
      </x:c>
      <x:c r="E323" s="29" t="str">
        <x:v>ἁμαρτωλός</x:v>
      </x:c>
      <x:c r="F323" s="27" t="str">
        <x:v>hamartōlos</x:v>
      </x:c>
      <x:c r="G323" s="20" t="str">
        <x:v>sinful, i.e. a sinner</x:v>
      </x:c>
      <x:c r="H323" s="20" t="str"/>
      <x:c r="I323" s="21" t="n">
        <x:v>35</x:v>
      </x:c>
      <x:c r="J323" s="21" t="str">
        <x:v>BBG 課序</x:v>
      </x:c>
      <x:c r="K323" s="21" t="str">
        <x:v>G268</x:v>
      </x:c>
      <x:c r="L323" s="21" t="str">
        <x:v>否</x:v>
      </x:c>
      <x:c r="M323" s="21" t="str"/>
      <x:c r="N323" s="21" t="str">
        <x:v>source_and_lexicon_matched</x:v>
      </x:c>
      <x:c r="O323" s="21" t="str">
        <x:v>rule_generated_from_official_table</x:v>
      </x:c>
      <x:c r="P323" s="21" t="n">
        <x:v>6</x:v>
      </x:c>
      <x:c r="Q323" s="21" t="str">
        <x:v>https://doxa.billmounce.com/Flashcards%20%28BBG%29.pdf</x:v>
      </x:c>
      <x:c r="R323" s="16" t="str"/>
    </x:row>
    <x:row r="324" ht="28" customHeight="1">
      <x:c r="A324" s="21" t="n">
        <x:v>320</x:v>
      </x:c>
      <x:c r="B324" s="21" t="n">
        <x:f>ROUNDUP(A324/50,0)</x:f>
        <x:v>7</x:v>
      </x:c>
      <x:c r="C324" s="21" t="n">
        <x:f>MOD(A324-1,50)+1</x:f>
        <x:v>20</x:v>
      </x:c>
      <x:c r="D324" s="29" t="str">
        <x:v>ἀνάστασις, -εως, ἡ</x:v>
      </x:c>
      <x:c r="E324" s="29" t="str">
        <x:v>ἀνάστασις</x:v>
      </x:c>
      <x:c r="F324" s="27" t="str">
        <x:v>anastasis</x:v>
      </x:c>
      <x:c r="G324" s="20" t="str">
        <x:v>a standing up again, i.e. (literally) a resurrection from death (individual, genitive case or by implication, (its author)), or (figuratively) a (moral) recovery (of spiritual truth)</x:v>
      </x:c>
      <x:c r="H324" s="20" t="str"/>
      <x:c r="I324" s="21" t="n">
        <x:v>35</x:v>
      </x:c>
      <x:c r="J324" s="21" t="str">
        <x:v>BBG 課序</x:v>
      </x:c>
      <x:c r="K324" s="21" t="str">
        <x:v>G386</x:v>
      </x:c>
      <x:c r="L324" s="21" t="str">
        <x:v>否</x:v>
      </x:c>
      <x:c r="M324" s="21" t="str"/>
      <x:c r="N324" s="21" t="str">
        <x:v>source_and_lexicon_matched</x:v>
      </x:c>
      <x:c r="O324" s="21" t="str">
        <x:v>rule_generated_from_official_table</x:v>
      </x:c>
      <x:c r="P324" s="21" t="n">
        <x:v>6</x:v>
      </x:c>
      <x:c r="Q324" s="21" t="str">
        <x:v>https://doxa.billmounce.com/Flashcards%20%28BBG%29.pdf</x:v>
      </x:c>
      <x:c r="R324" s="16" t="str"/>
    </x:row>
    <x:row r="325" ht="28" customHeight="1">
      <x:c r="A325" s="21" t="n">
        <x:v>321</x:v>
      </x:c>
      <x:c r="B325" s="21" t="n">
        <x:f>ROUNDUP(A325/50,0)</x:f>
        <x:v>7</x:v>
      </x:c>
      <x:c r="C325" s="21" t="n">
        <x:f>MOD(A325-1,50)+1</x:f>
        <x:v>21</x:v>
      </x:c>
      <x:c r="D325" s="29" t="str">
        <x:v>ἀπαγγέλλω</x:v>
      </x:c>
      <x:c r="E325" s="29" t="str">
        <x:v>ἀπαγγέλλω</x:v>
      </x:c>
      <x:c r="F325" s="27" t="str">
        <x:v>apangellō</x:v>
      </x:c>
      <x:c r="G325" s="20" t="str">
        <x:v>to announce</x:v>
      </x:c>
      <x:c r="H325" s="20" t="str"/>
      <x:c r="I325" s="21" t="n">
        <x:v>35</x:v>
      </x:c>
      <x:c r="J325" s="21" t="str">
        <x:v>BBG 課序</x:v>
      </x:c>
      <x:c r="K325" s="21" t="str">
        <x:v>G518</x:v>
      </x:c>
      <x:c r="L325" s="21" t="str">
        <x:v>否</x:v>
      </x:c>
      <x:c r="M325" s="21" t="str"/>
      <x:c r="N325" s="21" t="str">
        <x:v>source_and_lexicon_matched</x:v>
      </x:c>
      <x:c r="O325" s="21" t="str">
        <x:v>rule_generated_from_official_table</x:v>
      </x:c>
      <x:c r="P325" s="21" t="n">
        <x:v>6</x:v>
      </x:c>
      <x:c r="Q325" s="21" t="str">
        <x:v>https://doxa.billmounce.com/Flashcards%20%28BBG%29.pdf</x:v>
      </x:c>
      <x:c r="R325" s="16" t="str"/>
    </x:row>
    <x:row r="326" ht="28" customHeight="1">
      <x:c r="A326" s="21" t="n">
        <x:v>322</x:v>
      </x:c>
      <x:c r="B326" s="21" t="n">
        <x:f>ROUNDUP(A326/50,0)</x:f>
        <x:v>7</x:v>
      </x:c>
      <x:c r="C326" s="21" t="n">
        <x:f>MOD(A326-1,50)+1</x:f>
        <x:v>22</x:v>
      </x:c>
      <x:c r="D326" s="29" t="str">
        <x:v>διακονέω</x:v>
      </x:c>
      <x:c r="E326" s="29" t="str">
        <x:v>διακονέω</x:v>
      </x:c>
      <x:c r="F326" s="27" t="str">
        <x:v>diakoneō</x:v>
      </x:c>
      <x:c r="G326" s="20" t="str">
        <x:v>to be an attendant, i.e. wait upon (menially or as a host, friend, or (figuratively) teacher); technically, to act as a Christian deacon</x:v>
      </x:c>
      <x:c r="H326" s="20" t="str"/>
      <x:c r="I326" s="21" t="n">
        <x:v>35</x:v>
      </x:c>
      <x:c r="J326" s="21" t="str">
        <x:v>BBG 課序</x:v>
      </x:c>
      <x:c r="K326" s="21" t="str">
        <x:v>G1247</x:v>
      </x:c>
      <x:c r="L326" s="21" t="str">
        <x:v>否</x:v>
      </x:c>
      <x:c r="M326" s="21" t="str"/>
      <x:c r="N326" s="21" t="str">
        <x:v>source_and_lexicon_matched</x:v>
      </x:c>
      <x:c r="O326" s="21" t="str">
        <x:v>rule_generated_from_official_table</x:v>
      </x:c>
      <x:c r="P326" s="21" t="n">
        <x:v>6</x:v>
      </x:c>
      <x:c r="Q326" s="21" t="str">
        <x:v>https://doxa.billmounce.com/Flashcards%20%28BBG%29.pdf</x:v>
      </x:c>
      <x:c r="R326" s="16" t="str"/>
    </x:row>
    <x:row r="327" ht="28" customHeight="1">
      <x:c r="A327" s="21" t="n">
        <x:v>323</x:v>
      </x:c>
      <x:c r="B327" s="21" t="n">
        <x:f>ROUNDUP(A327/50,0)</x:f>
        <x:v>7</x:v>
      </x:c>
      <x:c r="C327" s="21" t="n">
        <x:f>MOD(A327-1,50)+1</x:f>
        <x:v>23</x:v>
      </x:c>
      <x:c r="D327" s="29" t="str">
        <x:v>διακονία, -ας, ἡ</x:v>
      </x:c>
      <x:c r="E327" s="29" t="str">
        <x:v>διακονία</x:v>
      </x:c>
      <x:c r="F327" s="27" t="str">
        <x:v>diakonia</x:v>
      </x:c>
      <x:c r="G327" s="20" t="str">
        <x:v>attendance (as a servant, etc.); figuratively (eleemosynary) aid, (official) service (especially of the Christian teacher, or technically of the diaconate)</x:v>
      </x:c>
      <x:c r="H327" s="20" t="str"/>
      <x:c r="I327" s="21" t="n">
        <x:v>35</x:v>
      </x:c>
      <x:c r="J327" s="21" t="str">
        <x:v>BBG 課序</x:v>
      </x:c>
      <x:c r="K327" s="21" t="str">
        <x:v>G1248</x:v>
      </x:c>
      <x:c r="L327" s="21" t="str">
        <x:v>否</x:v>
      </x:c>
      <x:c r="M327" s="21" t="str"/>
      <x:c r="N327" s="21" t="str">
        <x:v>source_and_lexicon_matched</x:v>
      </x:c>
      <x:c r="O327" s="21" t="str">
        <x:v>rule_generated_from_official_table</x:v>
      </x:c>
      <x:c r="P327" s="21" t="n">
        <x:v>6</x:v>
      </x:c>
      <x:c r="Q327" s="21" t="str">
        <x:v>https://doxa.billmounce.com/Flashcards%20%28BBG%29.pdf</x:v>
      </x:c>
      <x:c r="R327" s="16" t="str"/>
    </x:row>
    <x:row r="328" ht="28" customHeight="1">
      <x:c r="A328" s="21" t="n">
        <x:v>324</x:v>
      </x:c>
      <x:c r="B328" s="21" t="n">
        <x:f>ROUNDUP(A328/50,0)</x:f>
        <x:v>7</x:v>
      </x:c>
      <x:c r="C328" s="21" t="n">
        <x:f>MOD(A328-1,50)+1</x:f>
        <x:v>24</x:v>
      </x:c>
      <x:c r="D328" s="29" t="str">
        <x:v>δικαιόω</x:v>
      </x:c>
      <x:c r="E328" s="29" t="str">
        <x:v>δικαιόω</x:v>
      </x:c>
      <x:c r="F328" s="27" t="str">
        <x:v>dikaioō</x:v>
      </x:c>
      <x:c r="G328" s="20" t="str">
        <x:v>to render (i.e. show or regard as) just or innocent</x:v>
      </x:c>
      <x:c r="H328" s="20" t="str"/>
      <x:c r="I328" s="21" t="n">
        <x:v>35</x:v>
      </x:c>
      <x:c r="J328" s="21" t="str">
        <x:v>BBG 課序</x:v>
      </x:c>
      <x:c r="K328" s="21" t="str">
        <x:v>G1344</x:v>
      </x:c>
      <x:c r="L328" s="21" t="str">
        <x:v>否</x:v>
      </x:c>
      <x:c r="M328" s="21" t="str"/>
      <x:c r="N328" s="21" t="str">
        <x:v>source_and_lexicon_matched</x:v>
      </x:c>
      <x:c r="O328" s="21" t="str">
        <x:v>rule_generated_from_official_table</x:v>
      </x:c>
      <x:c r="P328" s="21" t="n">
        <x:v>6</x:v>
      </x:c>
      <x:c r="Q328" s="21" t="str">
        <x:v>https://doxa.billmounce.com/Flashcards%20%28BBG%29.pdf</x:v>
      </x:c>
      <x:c r="R328" s="16" t="str"/>
    </x:row>
    <x:row r="329" ht="28" customHeight="1">
      <x:c r="A329" s="21" t="n">
        <x:v>325</x:v>
      </x:c>
      <x:c r="B329" s="21" t="n">
        <x:f>ROUNDUP(A329/50,0)</x:f>
        <x:v>7</x:v>
      </x:c>
      <x:c r="C329" s="21" t="n">
        <x:f>MOD(A329-1,50)+1</x:f>
        <x:v>25</x:v>
      </x:c>
      <x:c r="D329" s="29" t="str">
        <x:v>θλῖψις, -εως, ἡ</x:v>
      </x:c>
      <x:c r="E329" s="29" t="str">
        <x:v>θλῖψις</x:v>
      </x:c>
      <x:c r="F329" s="27" t="str">
        <x:v>thlipsis</x:v>
      </x:c>
      <x:c r="G329" s="20" t="str">
        <x:v>pressure (literally or figuratively)</x:v>
      </x:c>
      <x:c r="H329" s="20" t="str"/>
      <x:c r="I329" s="21" t="n">
        <x:v>35</x:v>
      </x:c>
      <x:c r="J329" s="21" t="str">
        <x:v>BBG 課序</x:v>
      </x:c>
      <x:c r="K329" s="21" t="str">
        <x:v>G2347</x:v>
      </x:c>
      <x:c r="L329" s="21" t="str">
        <x:v>否</x:v>
      </x:c>
      <x:c r="M329" s="21" t="str"/>
      <x:c r="N329" s="21" t="str">
        <x:v>source_and_lexicon_matched</x:v>
      </x:c>
      <x:c r="O329" s="21" t="str">
        <x:v>rule_generated_from_official_table</x:v>
      </x:c>
      <x:c r="P329" s="21" t="n">
        <x:v>6</x:v>
      </x:c>
      <x:c r="Q329" s="21" t="str">
        <x:v>https://doxa.billmounce.com/Flashcards%20%28BBG%29.pdf</x:v>
      </x:c>
      <x:c r="R329" s="16" t="str"/>
    </x:row>
    <x:row r="330" ht="28" customHeight="1">
      <x:c r="A330" s="21" t="n">
        <x:v>326</x:v>
      </x:c>
      <x:c r="B330" s="21" t="n">
        <x:f>ROUNDUP(A330/50,0)</x:f>
        <x:v>7</x:v>
      </x:c>
      <x:c r="C330" s="21" t="n">
        <x:f>MOD(A330-1,50)+1</x:f>
        <x:v>26</x:v>
      </x:c>
      <x:c r="D330" s="29" t="str">
        <x:v>ἱλαστήριον, -ου, τό</x:v>
      </x:c>
      <x:c r="E330" s="29" t="str">
        <x:v>ἱλαστήριον</x:v>
      </x:c>
      <x:c r="F330" s="27" t="str">
        <x:v>hilastērion</x:v>
      </x:c>
      <x:c r="G330" s="20" t="str">
        <x:v>an expiatory (place or thing), i.e. (concretely) an atoning victim, or (specially) the lid of the Ark (in the Temple)</x:v>
      </x:c>
      <x:c r="H330" s="20" t="str"/>
      <x:c r="I330" s="21" t="n">
        <x:v>35</x:v>
      </x:c>
      <x:c r="J330" s="21" t="str">
        <x:v>BBG 課序</x:v>
      </x:c>
      <x:c r="K330" s="21" t="str">
        <x:v>G2435</x:v>
      </x:c>
      <x:c r="L330" s="21" t="str">
        <x:v>否</x:v>
      </x:c>
      <x:c r="M330" s="21" t="str"/>
      <x:c r="N330" s="21" t="str">
        <x:v>source_and_lexicon_matched</x:v>
      </x:c>
      <x:c r="O330" s="21" t="str">
        <x:v>rule_generated_from_official_table</x:v>
      </x:c>
      <x:c r="P330" s="21" t="n">
        <x:v>6</x:v>
      </x:c>
      <x:c r="Q330" s="21" t="str">
        <x:v>https://doxa.billmounce.com/Flashcards%20%28BBG%29.pdf</x:v>
      </x:c>
      <x:c r="R330" s="16" t="str"/>
    </x:row>
    <x:row r="331" ht="28" customHeight="1">
      <x:c r="A331" s="21" t="n">
        <x:v>327</x:v>
      </x:c>
      <x:c r="B331" s="21" t="n">
        <x:f>ROUNDUP(A331/50,0)</x:f>
        <x:v>7</x:v>
      </x:c>
      <x:c r="C331" s="21" t="n">
        <x:f>MOD(A331-1,50)+1</x:f>
        <x:v>27</x:v>
      </x:c>
      <x:c r="D331" s="29" t="str">
        <x:v>σταυρόω</x:v>
      </x:c>
      <x:c r="E331" s="29" t="str">
        <x:v>σταυρόω</x:v>
      </x:c>
      <x:c r="F331" s="27" t="str">
        <x:v>stauroō</x:v>
      </x:c>
      <x:c r="G331" s="20" t="str">
        <x:v>to impale on the cross; figuratively, to extinguish (subdue) passion or selfishness</x:v>
      </x:c>
      <x:c r="H331" s="20" t="str"/>
      <x:c r="I331" s="21" t="n">
        <x:v>35</x:v>
      </x:c>
      <x:c r="J331" s="21" t="str">
        <x:v>BBG 課序</x:v>
      </x:c>
      <x:c r="K331" s="21" t="str">
        <x:v>G4717</x:v>
      </x:c>
      <x:c r="L331" s="21" t="str">
        <x:v>否</x:v>
      </x:c>
      <x:c r="M331" s="21" t="str"/>
      <x:c r="N331" s="21" t="str">
        <x:v>source_and_lexicon_matched</x:v>
      </x:c>
      <x:c r="O331" s="21" t="str">
        <x:v>rule_generated_from_official_table</x:v>
      </x:c>
      <x:c r="P331" s="21" t="n">
        <x:v>6</x:v>
      </x:c>
      <x:c r="Q331" s="21" t="str">
        <x:v>https://doxa.billmounce.com/Flashcards%20%28BBG%29.pdf</x:v>
      </x:c>
      <x:c r="R331" s="16" t="str"/>
    </x:row>
    <x:row r="332" ht="28" customHeight="1">
      <x:c r="A332" s="21" t="n">
        <x:v>328</x:v>
      </x:c>
      <x:c r="B332" s="21" t="n">
        <x:f>ROUNDUP(A332/50,0)</x:f>
        <x:v>7</x:v>
      </x:c>
      <x:c r="C332" s="21" t="n">
        <x:f>MOD(A332-1,50)+1</x:f>
        <x:v>28</x:v>
      </x:c>
      <x:c r="D332" s="29" t="str">
        <x:v>σωτήρ, -ῆρος, ὁ</x:v>
      </x:c>
      <x:c r="E332" s="29" t="str">
        <x:v>σωτήρ</x:v>
      </x:c>
      <x:c r="F332" s="27" t="str">
        <x:v>sōtēr</x:v>
      </x:c>
      <x:c r="G332" s="20" t="str">
        <x:v>a deliverer, i.e. God or Christ</x:v>
      </x:c>
      <x:c r="H332" s="20" t="str"/>
      <x:c r="I332" s="21" t="n">
        <x:v>35</x:v>
      </x:c>
      <x:c r="J332" s="21" t="str">
        <x:v>BBG 課序</x:v>
      </x:c>
      <x:c r="K332" s="21" t="str">
        <x:v>G4990</x:v>
      </x:c>
      <x:c r="L332" s="21" t="str">
        <x:v>否</x:v>
      </x:c>
      <x:c r="M332" s="21" t="str"/>
      <x:c r="N332" s="21" t="str">
        <x:v>source_and_lexicon_matched</x:v>
      </x:c>
      <x:c r="O332" s="21" t="str">
        <x:v>rule_generated_from_official_table</x:v>
      </x:c>
      <x:c r="P332" s="21" t="n">
        <x:v>6</x:v>
      </x:c>
      <x:c r="Q332" s="21" t="str">
        <x:v>https://doxa.billmounce.com/Flashcards%20%28BBG%29.pdf</x:v>
      </x:c>
      <x:c r="R332" s="16" t="str"/>
    </x:row>
    <x:row r="333" ht="28" customHeight="1">
      <x:c r="A333" s="21" t="n">
        <x:v>329</x:v>
      </x:c>
      <x:c r="B333" s="21" t="n">
        <x:f>ROUNDUP(A333/50,0)</x:f>
        <x:v>7</x:v>
      </x:c>
      <x:c r="C333" s="21" t="n">
        <x:f>MOD(A333-1,50)+1</x:f>
        <x:v>29</x:v>
      </x:c>
      <x:c r="D333" s="29" t="str">
        <x:v>σωτηρία, -ας, ἡ</x:v>
      </x:c>
      <x:c r="E333" s="29" t="str">
        <x:v>σωτηρία</x:v>
      </x:c>
      <x:c r="F333" s="27" t="str">
        <x:v>sōtēria</x:v>
      </x:c>
      <x:c r="G333" s="20" t="str">
        <x:v>rescue or safety (physically or morally)</x:v>
      </x:c>
      <x:c r="H333" s="20" t="str"/>
      <x:c r="I333" s="21" t="n">
        <x:v>35</x:v>
      </x:c>
      <x:c r="J333" s="21" t="str">
        <x:v>BBG 課序</x:v>
      </x:c>
      <x:c r="K333" s="21" t="str">
        <x:v>G4991</x:v>
      </x:c>
      <x:c r="L333" s="21" t="str">
        <x:v>否</x:v>
      </x:c>
      <x:c r="M333" s="21" t="str"/>
      <x:c r="N333" s="21" t="str">
        <x:v>source_and_lexicon_matched</x:v>
      </x:c>
      <x:c r="O333" s="21" t="str">
        <x:v>rule_generated_from_official_table</x:v>
      </x:c>
      <x:c r="P333" s="21" t="n">
        <x:v>6</x:v>
      </x:c>
      <x:c r="Q333" s="21" t="str">
        <x:v>https://doxa.billmounce.com/Flashcards%20%28BBG%29.pdf</x:v>
      </x:c>
      <x:c r="R333" s="16" t="str"/>
    </x:row>
    <x:row r="334" ht="28" customHeight="1">
      <x:c r="A334" s="21" t="n">
        <x:v>330</x:v>
      </x:c>
      <x:c r="B334" s="21" t="n">
        <x:f>ROUNDUP(A334/50,0)</x:f>
        <x:v>7</x:v>
      </x:c>
      <x:c r="C334" s="21" t="n">
        <x:f>MOD(A334-1,50)+1</x:f>
        <x:v>30</x:v>
      </x:c>
      <x:c r="D334" s="29" t="str">
        <x:v>φανερόω</x:v>
      </x:c>
      <x:c r="E334" s="29" t="str">
        <x:v>φανερόω</x:v>
      </x:c>
      <x:c r="F334" s="27" t="str">
        <x:v>phaneroō</x:v>
      </x:c>
      <x:c r="G334" s="20" t="str">
        <x:v>to render apparent (literally or figuratively)</x:v>
      </x:c>
      <x:c r="H334" s="20" t="str"/>
      <x:c r="I334" s="21" t="n">
        <x:v>35</x:v>
      </x:c>
      <x:c r="J334" s="21" t="str">
        <x:v>BBG 課序</x:v>
      </x:c>
      <x:c r="K334" s="21" t="str">
        <x:v>G5319</x:v>
      </x:c>
      <x:c r="L334" s="21" t="str">
        <x:v>否</x:v>
      </x:c>
      <x:c r="M334" s="21" t="str"/>
      <x:c r="N334" s="21" t="str">
        <x:v>source_and_lexicon_matched</x:v>
      </x:c>
      <x:c r="O334" s="21" t="str">
        <x:v>rule_generated_from_official_table</x:v>
      </x:c>
      <x:c r="P334" s="21" t="n">
        <x:v>6</x:v>
      </x:c>
      <x:c r="Q334" s="21" t="str">
        <x:v>https://doxa.billmounce.com/Flashcards%20%28BBG%29.pdf</x:v>
      </x:c>
      <x:c r="R334" s="16" t="str"/>
    </x:row>
    <x:row r="335" ht="28" customHeight="1">
      <x:c r="A335" s="21" t="n">
        <x:v>331</x:v>
      </x:c>
      <x:c r="B335" s="21" t="n">
        <x:f>ROUNDUP(A335/50,0)</x:f>
        <x:v>7</x:v>
      </x:c>
      <x:c r="C335" s="21" t="n">
        <x:f>MOD(A335-1,50)+1</x:f>
        <x:v>31</x:v>
      </x:c>
      <x:c r="D335" s="29" t="str">
        <x:v>φόβος, -ου, ὁ</x:v>
      </x:c>
      <x:c r="E335" s="29" t="str">
        <x:v>φόβος</x:v>
      </x:c>
      <x:c r="F335" s="27" t="str">
        <x:v>phobos</x:v>
      </x:c>
      <x:c r="G335" s="20" t="str">
        <x:v>alarm or fright</x:v>
      </x:c>
      <x:c r="H335" s="20" t="str"/>
      <x:c r="I335" s="21" t="n">
        <x:v>35</x:v>
      </x:c>
      <x:c r="J335" s="21" t="str">
        <x:v>BBG 課序</x:v>
      </x:c>
      <x:c r="K335" s="21" t="str">
        <x:v>G5401</x:v>
      </x:c>
      <x:c r="L335" s="21" t="str">
        <x:v>否</x:v>
      </x:c>
      <x:c r="M335" s="21" t="str"/>
      <x:c r="N335" s="21" t="str">
        <x:v>source_and_lexicon_matched</x:v>
      </x:c>
      <x:c r="O335" s="21" t="str">
        <x:v>rule_generated_from_official_table</x:v>
      </x:c>
      <x:c r="P335" s="21" t="n">
        <x:v>6</x:v>
      </x:c>
      <x:c r="Q335" s="21" t="str">
        <x:v>https://doxa.billmounce.com/Flashcards%20%28BBG%29.pdf</x:v>
      </x:c>
      <x:c r="R335" s="16" t="str"/>
    </x:row>
    <x:row r="336" ht="28" customHeight="1">
      <x:c r="A336" s="21" t="n">
        <x:v>332</x:v>
      </x:c>
      <x:c r="B336" s="21" t="n">
        <x:f>ROUNDUP(A336/50,0)</x:f>
        <x:v>7</x:v>
      </x:c>
      <x:c r="C336" s="21" t="n">
        <x:f>MOD(A336-1,50)+1</x:f>
        <x:v>32</x:v>
      </x:c>
      <x:c r="D336" s="29" t="str">
        <x:v>ἀνίστημι</x:v>
      </x:c>
      <x:c r="E336" s="29" t="str">
        <x:v>ἀνίστημι</x:v>
      </x:c>
      <x:c r="F336" s="27" t="str">
        <x:v>anistēmi</x:v>
      </x:c>
      <x:c r="G336" s="20" t="str">
        <x:v>to stand up (literal or figurative, transitive or intransitive)</x:v>
      </x:c>
      <x:c r="H336" s="20" t="str"/>
      <x:c r="I336" s="21" t="n">
        <x:v>36</x:v>
      </x:c>
      <x:c r="J336" s="21" t="str">
        <x:v>BBG 課序</x:v>
      </x:c>
      <x:c r="K336" s="21" t="str">
        <x:v>G450</x:v>
      </x:c>
      <x:c r="L336" s="21" t="str">
        <x:v>否</x:v>
      </x:c>
      <x:c r="M336" s="21" t="str"/>
      <x:c r="N336" s="21" t="str">
        <x:v>source_and_lexicon_matched</x:v>
      </x:c>
      <x:c r="O336" s="21" t="str">
        <x:v>rule_generated_from_official_table</x:v>
      </x:c>
      <x:c r="P336" s="21" t="n">
        <x:v>6</x:v>
      </x:c>
      <x:c r="Q336" s="21" t="str">
        <x:v>https://doxa.billmounce.com/Flashcards%20%28BBG%29.pdf</x:v>
      </x:c>
      <x:c r="R336" s="16" t="str"/>
    </x:row>
    <x:row r="337" ht="28" customHeight="1">
      <x:c r="A337" s="21" t="n">
        <x:v>333</x:v>
      </x:c>
      <x:c r="B337" s="21" t="n">
        <x:f>ROUNDUP(A337/50,0)</x:f>
        <x:v>7</x:v>
      </x:c>
      <x:c r="C337" s="21" t="n">
        <x:f>MOD(A337-1,50)+1</x:f>
        <x:v>33</x:v>
      </x:c>
      <x:c r="D337" s="29" t="str">
        <x:v>ἀνοίγω</x:v>
      </x:c>
      <x:c r="E337" s="29" t="str">
        <x:v>ἀνοίγω</x:v>
      </x:c>
      <x:c r="F337" s="27" t="str">
        <x:v>anoigō</x:v>
      </x:c>
      <x:c r="G337" s="20" t="str">
        <x:v>to open up (literally or figuratively, in various applications)</x:v>
      </x:c>
      <x:c r="H337" s="20" t="str"/>
      <x:c r="I337" s="21" t="n">
        <x:v>36</x:v>
      </x:c>
      <x:c r="J337" s="21" t="str">
        <x:v>BBG 課序</x:v>
      </x:c>
      <x:c r="K337" s="21" t="str">
        <x:v>G455</x:v>
      </x:c>
      <x:c r="L337" s="21" t="str">
        <x:v>否</x:v>
      </x:c>
      <x:c r="M337" s="21" t="str"/>
      <x:c r="N337" s="21" t="str">
        <x:v>source_and_lexicon_matched</x:v>
      </x:c>
      <x:c r="O337" s="21" t="str">
        <x:v>rule_generated_from_official_table</x:v>
      </x:c>
      <x:c r="P337" s="21" t="n">
        <x:v>6</x:v>
      </x:c>
      <x:c r="Q337" s="21" t="str">
        <x:v>https://doxa.billmounce.com/Flashcards%20%28BBG%29.pdf</x:v>
      </x:c>
      <x:c r="R337" s="16" t="str"/>
    </x:row>
    <x:row r="338" ht="28" customHeight="1">
      <x:c r="A338" s="21" t="n">
        <x:v>334</x:v>
      </x:c>
      <x:c r="B338" s="21" t="n">
        <x:f>ROUNDUP(A338/50,0)</x:f>
        <x:v>7</x:v>
      </x:c>
      <x:c r="C338" s="21" t="n">
        <x:f>MOD(A338-1,50)+1</x:f>
        <x:v>34</x:v>
      </x:c>
      <x:c r="D338" s="29" t="str">
        <x:v>ἀφίημι</x:v>
      </x:c>
      <x:c r="E338" s="29" t="str">
        <x:v>ἀφίημι</x:v>
      </x:c>
      <x:c r="F338" s="27" t="str">
        <x:v>aphiēmi</x:v>
      </x:c>
      <x:c r="G338" s="20" t="str">
        <x:v>an intensive form of , to go); to send forth, in various applications (as follow)</x:v>
      </x:c>
      <x:c r="H338" s="20" t="str"/>
      <x:c r="I338" s="21" t="n">
        <x:v>36</x:v>
      </x:c>
      <x:c r="J338" s="21" t="str">
        <x:v>BBG 課序</x:v>
      </x:c>
      <x:c r="K338" s="21" t="str">
        <x:v>G863</x:v>
      </x:c>
      <x:c r="L338" s="21" t="str">
        <x:v>否</x:v>
      </x:c>
      <x:c r="M338" s="21" t="str"/>
      <x:c r="N338" s="21" t="str">
        <x:v>source_and_lexicon_matched</x:v>
      </x:c>
      <x:c r="O338" s="21" t="str">
        <x:v>rule_generated_from_official_table</x:v>
      </x:c>
      <x:c r="P338" s="21" t="n">
        <x:v>6</x:v>
      </x:c>
      <x:c r="Q338" s="21" t="str">
        <x:v>https://doxa.billmounce.com/Flashcards%20%28BBG%29.pdf</x:v>
      </x:c>
      <x:c r="R338" s="16" t="str"/>
    </x:row>
    <x:row r="339" ht="28" customHeight="1">
      <x:c r="A339" s="21" t="n">
        <x:v>335</x:v>
      </x:c>
      <x:c r="B339" s="21" t="n">
        <x:f>ROUNDUP(A339/50,0)</x:f>
        <x:v>7</x:v>
      </x:c>
      <x:c r="C339" s="21" t="n">
        <x:f>MOD(A339-1,50)+1</x:f>
        <x:v>35</x:v>
      </x:c>
      <x:c r="D339" s="29" t="str">
        <x:v>δείκνυμι</x:v>
      </x:c>
      <x:c r="E339" s="29" t="str">
        <x:v>δείκνυμι</x:v>
      </x:c>
      <x:c r="F339" s="27" t="str">
        <x:v>deiknumi</x:v>
      </x:c>
      <x:c r="G339" s="20" t="str"/>
      <x:c r="H339" s="20" t="str"/>
      <x:c r="I339" s="21" t="n">
        <x:v>36</x:v>
      </x:c>
      <x:c r="J339" s="21" t="str">
        <x:v>BBG 課序</x:v>
      </x:c>
      <x:c r="K339" s="21" t="str"/>
      <x:c r="L339" s="21" t="str">
        <x:v>否</x:v>
      </x:c>
      <x:c r="M339" s="21" t="str"/>
      <x:c r="N339" s="21" t="str">
        <x:v>source_verified_lexicon_pending</x:v>
      </x:c>
      <x:c r="O339" s="21" t="str">
        <x:v>rule_generated_from_official_table</x:v>
      </x:c>
      <x:c r="P339" s="21" t="n">
        <x:v>6</x:v>
      </x:c>
      <x:c r="Q339" s="21" t="str">
        <x:v>https://doxa.billmounce.com/Flashcards%20%28BBG%29.pdf</x:v>
      </x:c>
      <x:c r="R339" s="16" t="str"/>
    </x:row>
    <x:row r="340" ht="28" customHeight="1">
      <x:c r="A340" s="21" t="n">
        <x:v>336</x:v>
      </x:c>
      <x:c r="B340" s="21" t="n">
        <x:f>ROUNDUP(A340/50,0)</x:f>
        <x:v>7</x:v>
      </x:c>
      <x:c r="C340" s="21" t="n">
        <x:f>MOD(A340-1,50)+1</x:f>
        <x:v>36</x:v>
      </x:c>
      <x:c r="D340" s="29" t="str">
        <x:v>ἴδιος, ἴδια, ἴδιον</x:v>
      </x:c>
      <x:c r="E340" s="29" t="str">
        <x:v>ἴδιος</x:v>
      </x:c>
      <x:c r="F340" s="27" t="str">
        <x:v>idios</x:v>
      </x:c>
      <x:c r="G340" s="20" t="str">
        <x:v>pertaining to self, i.e. one's own; by implication, private or separate</x:v>
      </x:c>
      <x:c r="H340" s="20" t="str"/>
      <x:c r="I340" s="21" t="n">
        <x:v>36</x:v>
      </x:c>
      <x:c r="J340" s="21" t="str">
        <x:v>BBG 課序</x:v>
      </x:c>
      <x:c r="K340" s="21" t="str">
        <x:v>G2398</x:v>
      </x:c>
      <x:c r="L340" s="21" t="str">
        <x:v>否</x:v>
      </x:c>
      <x:c r="M340" s="21" t="str"/>
      <x:c r="N340" s="21" t="str">
        <x:v>source_and_lexicon_matched</x:v>
      </x:c>
      <x:c r="O340" s="21" t="str">
        <x:v>rule_generated_from_official_table</x:v>
      </x:c>
      <x:c r="P340" s="21" t="n">
        <x:v>6</x:v>
      </x:c>
      <x:c r="Q340" s="21" t="str">
        <x:v>https://doxa.billmounce.com/Flashcards%20%28BBG%29.pdf</x:v>
      </x:c>
      <x:c r="R340" s="16" t="str"/>
    </x:row>
    <x:row r="341" ht="28" customHeight="1">
      <x:c r="A341" s="21" t="n">
        <x:v>337</x:v>
      </x:c>
      <x:c r="B341" s="21" t="n">
        <x:f>ROUNDUP(A341/50,0)</x:f>
        <x:v>7</x:v>
      </x:c>
      <x:c r="C341" s="21" t="n">
        <x:f>MOD(A341-1,50)+1</x:f>
        <x:v>37</x:v>
      </x:c>
      <x:c r="D341" s="29" t="str">
        <x:v>ἵστημι</x:v>
      </x:c>
      <x:c r="E341" s="29" t="str">
        <x:v>ἵστημι</x:v>
      </x:c>
      <x:c r="F341" s="27" t="str">
        <x:v>histēmi</x:v>
      </x:c>
      <x:c r="G341" s="20" t="str">
        <x:v>to stand (transitively or intransitively), used in various applications (literally or figuratively)</x:v>
      </x:c>
      <x:c r="H341" s="20" t="str"/>
      <x:c r="I341" s="21" t="n">
        <x:v>36</x:v>
      </x:c>
      <x:c r="J341" s="21" t="str">
        <x:v>BBG 課序</x:v>
      </x:c>
      <x:c r="K341" s="21" t="str">
        <x:v>G2476</x:v>
      </x:c>
      <x:c r="L341" s="21" t="str">
        <x:v>否</x:v>
      </x:c>
      <x:c r="M341" s="21" t="str"/>
      <x:c r="N341" s="21" t="str">
        <x:v>source_and_lexicon_matched</x:v>
      </x:c>
      <x:c r="O341" s="21" t="str">
        <x:v>rule_generated_from_official_table</x:v>
      </x:c>
      <x:c r="P341" s="21" t="n">
        <x:v>6</x:v>
      </x:c>
      <x:c r="Q341" s="21" t="str">
        <x:v>https://doxa.billmounce.com/Flashcards%20%28BBG%29.pdf</x:v>
      </x:c>
      <x:c r="R341" s="16" t="str"/>
    </x:row>
    <x:row r="342" ht="28" customHeight="1">
      <x:c r="A342" s="21" t="n">
        <x:v>338</x:v>
      </x:c>
      <x:c r="B342" s="21" t="n">
        <x:f>ROUNDUP(A342/50,0)</x:f>
        <x:v>7</x:v>
      </x:c>
      <x:c r="C342" s="21" t="n">
        <x:f>MOD(A342-1,50)+1</x:f>
        <x:v>38</x:v>
      </x:c>
      <x:c r="D342" s="29" t="str">
        <x:v>μέσος, -η, -ον</x:v>
      </x:c>
      <x:c r="E342" s="29" t="str">
        <x:v>μέσος</x:v>
      </x:c>
      <x:c r="F342" s="27" t="str">
        <x:v>mesos</x:v>
      </x:c>
      <x:c r="G342" s="20" t="str">
        <x:v>middle (as an adjective or (neuter) noun)</x:v>
      </x:c>
      <x:c r="H342" s="20" t="str"/>
      <x:c r="I342" s="21" t="n">
        <x:v>36</x:v>
      </x:c>
      <x:c r="J342" s="21" t="str">
        <x:v>BBG 課序</x:v>
      </x:c>
      <x:c r="K342" s="21" t="str">
        <x:v>G3319</x:v>
      </x:c>
      <x:c r="L342" s="21" t="str">
        <x:v>否</x:v>
      </x:c>
      <x:c r="M342" s="21" t="str"/>
      <x:c r="N342" s="21" t="str">
        <x:v>source_and_lexicon_matched</x:v>
      </x:c>
      <x:c r="O342" s="21" t="str">
        <x:v>rule_generated_from_official_table</x:v>
      </x:c>
      <x:c r="P342" s="21" t="n">
        <x:v>6</x:v>
      </x:c>
      <x:c r="Q342" s="21" t="str">
        <x:v>https://doxa.billmounce.com/Flashcards%20%28BBG%29.pdf</x:v>
      </x:c>
      <x:c r="R342" s="16" t="str"/>
    </x:row>
    <x:row r="343" ht="28" customHeight="1">
      <x:c r="A343" s="21" t="n">
        <x:v>339</x:v>
      </x:c>
      <x:c r="B343" s="21" t="n">
        <x:f>ROUNDUP(A343/50,0)</x:f>
        <x:v>7</x:v>
      </x:c>
      <x:c r="C343" s="21" t="n">
        <x:f>MOD(A343-1,50)+1</x:f>
        <x:v>39</x:v>
      </x:c>
      <x:c r="D343" s="29" t="str">
        <x:v>τίθημι</x:v>
      </x:c>
      <x:c r="E343" s="29" t="str">
        <x:v>τίθημι</x:v>
      </x:c>
      <x:c r="F343" s="27" t="str">
        <x:v>tithēmi</x:v>
      </x:c>
      <x:c r="G343" s="20" t="str">
        <x:v>to place (in the widest application, literally and figuratively; properly, in a passive or horizontal posture, and thus different from G2476 (ἵστημι), which properly denotes an upright and active position, while G2749 (κεῖμαι) is properly reflexive and utterly prostrate)</x:v>
      </x:c>
      <x:c r="H343" s="20" t="str"/>
      <x:c r="I343" s="21" t="n">
        <x:v>36</x:v>
      </x:c>
      <x:c r="J343" s="21" t="str">
        <x:v>BBG 課序</x:v>
      </x:c>
      <x:c r="K343" s="21" t="str">
        <x:v>G5087</x:v>
      </x:c>
      <x:c r="L343" s="21" t="str">
        <x:v>否</x:v>
      </x:c>
      <x:c r="M343" s="21" t="str"/>
      <x:c r="N343" s="21" t="str">
        <x:v>source_and_lexicon_matched</x:v>
      </x:c>
      <x:c r="O343" s="21" t="str">
        <x:v>rule_generated_from_official_table</x:v>
      </x:c>
      <x:c r="P343" s="21" t="n">
        <x:v>6</x:v>
      </x:c>
      <x:c r="Q343" s="21" t="str">
        <x:v>https://doxa.billmounce.com/Flashcards%20%28BBG%29.pdf</x:v>
      </x:c>
      <x:c r="R343" s="16" t="str"/>
    </x:row>
    <x:row r="344" ht="28" customHeight="1">
      <x:c r="A344" s="21" t="n">
        <x:v>340</x:v>
      </x:c>
      <x:c r="B344" s="21" t="n">
        <x:f>ROUNDUP(A344/50,0)</x:f>
        <x:v>7</x:v>
      </x:c>
      <x:c r="C344" s="21" t="n">
        <x:f>MOD(A344-1,50)+1</x:f>
        <x:v>40</x:v>
      </x:c>
      <x:c r="D344" s="29" t="str">
        <x:v>φημί</x:v>
      </x:c>
      <x:c r="E344" s="29" t="str">
        <x:v>φημί</x:v>
      </x:c>
      <x:c r="F344" s="27" t="str">
        <x:v>phēmi</x:v>
      </x:c>
      <x:c r="G344" s="20" t="str">
        <x:v>to show or make known one's thoughts, i.e. speak or say</x:v>
      </x:c>
      <x:c r="H344" s="20" t="str"/>
      <x:c r="I344" s="21" t="n">
        <x:v>36</x:v>
      </x:c>
      <x:c r="J344" s="21" t="str">
        <x:v>BBG 課序</x:v>
      </x:c>
      <x:c r="K344" s="21" t="str">
        <x:v>G5346</x:v>
      </x:c>
      <x:c r="L344" s="21" t="str">
        <x:v>否</x:v>
      </x:c>
      <x:c r="M344" s="21" t="str"/>
      <x:c r="N344" s="21" t="str">
        <x:v>source_and_lexicon_matched</x:v>
      </x:c>
      <x:c r="O344" s="21" t="str">
        <x:v>rule_generated_from_official_table</x:v>
      </x:c>
      <x:c r="P344" s="21" t="n">
        <x:v>6</x:v>
      </x:c>
      <x:c r="Q344" s="21" t="str">
        <x:v>https://doxa.billmounce.com/Flashcards%20%28BBG%29.pdf</x:v>
      </x:c>
      <x:c r="R344" s="16" t="str"/>
    </x:row>
    <x:row r="345" ht="28" customHeight="1">
      <x:c r="A345" s="21" t="n">
        <x:v>341</x:v>
      </x:c>
      <x:c r="B345" s="21" t="n">
        <x:f>ROUNDUP(A345/50,0)</x:f>
        <x:v>7</x:v>
      </x:c>
      <x:c r="C345" s="21" t="n">
        <x:f>MOD(A345-1,50)+1</x:f>
        <x:v>41</x:v>
      </x:c>
      <x:c r="D345" s="29" t="str">
        <x:v>ἄρα</x:v>
      </x:c>
      <x:c r="E345" s="29" t="str">
        <x:v>ἄρα</x:v>
      </x:c>
      <x:c r="F345" s="27" t="str">
        <x:v>ara</x:v>
      </x:c>
      <x:c r="G345" s="20" t="str">
        <x:v>a particle denoting an inference more or less decisive (as follows)</x:v>
      </x:c>
      <x:c r="H345" s="20" t="str"/>
      <x:c r="I345" s="21"/>
      <x:c r="J345" s="21" t="str">
        <x:v>Mounce 頻率延伸</x:v>
      </x:c>
      <x:c r="K345" s="21" t="str">
        <x:v>G686</x:v>
      </x:c>
      <x:c r="L345" s="21" t="str">
        <x:v>否</x:v>
      </x:c>
      <x:c r="M345" s="21" t="str"/>
      <x:c r="N345" s="21" t="str">
        <x:v>source_and_lexicon_matched</x:v>
      </x:c>
      <x:c r="O345" s="21" t="str">
        <x:v>rule_generated_from_official_table</x:v>
      </x:c>
      <x:c r="P345" s="21" t="n">
        <x:v>6</x:v>
      </x:c>
      <x:c r="Q345" s="21" t="str">
        <x:v>https://doxa.billmounce.com/Flashcards%20%28BBG%29.pdf</x:v>
      </x:c>
      <x:c r="R345" s="16" t="str"/>
    </x:row>
    <x:row r="346" ht="28" customHeight="1">
      <x:c r="A346" s="21" t="n">
        <x:v>342</x:v>
      </x:c>
      <x:c r="B346" s="21" t="n">
        <x:f>ROUNDUP(A346/50,0)</x:f>
        <x:v>7</x:v>
      </x:c>
      <x:c r="C346" s="21" t="n">
        <x:f>MOD(A346-1,50)+1</x:f>
        <x:v>42</x:v>
      </x:c>
      <x:c r="D346" s="29" t="str">
        <x:v>ἄχρι, ἄχρις</x:v>
      </x:c>
      <x:c r="E346" s="29" t="str">
        <x:v>ἄχρι</x:v>
      </x:c>
      <x:c r="F346" s="27" t="str">
        <x:v>achri</x:v>
      </x:c>
      <x:c r="G346" s="20" t="str">
        <x:v>(of time) until or (of place) up to</x:v>
      </x:c>
      <x:c r="H346" s="20" t="str"/>
      <x:c r="I346" s="21"/>
      <x:c r="J346" s="21" t="str">
        <x:v>Mounce 頻率延伸</x:v>
      </x:c>
      <x:c r="K346" s="21" t="str">
        <x:v>G891</x:v>
      </x:c>
      <x:c r="L346" s="21" t="str">
        <x:v>否</x:v>
      </x:c>
      <x:c r="M346" s="21" t="str"/>
      <x:c r="N346" s="21" t="str">
        <x:v>source_and_lexicon_matched</x:v>
      </x:c>
      <x:c r="O346" s="21" t="str">
        <x:v>rule_generated_from_official_table</x:v>
      </x:c>
      <x:c r="P346" s="21" t="n">
        <x:v>6</x:v>
      </x:c>
      <x:c r="Q346" s="21" t="str">
        <x:v>https://doxa.billmounce.com/Flashcards%20%28BBG%29.pdf</x:v>
      </x:c>
      <x:c r="R346" s="16" t="str"/>
    </x:row>
    <x:row r="347" ht="28" customHeight="1">
      <x:c r="A347" s="21" t="n">
        <x:v>343</x:v>
      </x:c>
      <x:c r="B347" s="21" t="n">
        <x:f>ROUNDUP(A347/50,0)</x:f>
        <x:v>7</x:v>
      </x:c>
      <x:c r="C347" s="21" t="n">
        <x:f>MOD(A347-1,50)+1</x:f>
        <x:v>43</x:v>
      </x:c>
      <x:c r="D347" s="29" t="str">
        <x:v>ἔτος, -ους, τό</x:v>
      </x:c>
      <x:c r="E347" s="29" t="str">
        <x:v>ἔτος</x:v>
      </x:c>
      <x:c r="F347" s="27" t="str">
        <x:v>etos</x:v>
      </x:c>
      <x:c r="G347" s="20" t="str">
        <x:v>a year</x:v>
      </x:c>
      <x:c r="H347" s="20" t="str"/>
      <x:c r="I347" s="21"/>
      <x:c r="J347" s="21" t="str">
        <x:v>Mounce 頻率延伸</x:v>
      </x:c>
      <x:c r="K347" s="21" t="str">
        <x:v>G2094</x:v>
      </x:c>
      <x:c r="L347" s="21" t="str">
        <x:v>否</x:v>
      </x:c>
      <x:c r="M347" s="21" t="str"/>
      <x:c r="N347" s="21" t="str">
        <x:v>source_and_lexicon_matched</x:v>
      </x:c>
      <x:c r="O347" s="21" t="str">
        <x:v>rule_generated_from_official_table</x:v>
      </x:c>
      <x:c r="P347" s="21" t="n">
        <x:v>6</x:v>
      </x:c>
      <x:c r="Q347" s="21" t="str">
        <x:v>https://doxa.billmounce.com/Flashcards%20%28BBG%29.pdf</x:v>
      </x:c>
      <x:c r="R347" s="16" t="str"/>
    </x:row>
    <x:row r="348" ht="28" customHeight="1">
      <x:c r="A348" s="21" t="n">
        <x:v>344</x:v>
      </x:c>
      <x:c r="B348" s="21" t="n">
        <x:f>ROUNDUP(A348/50,0)</x:f>
        <x:v>7</x:v>
      </x:c>
      <x:c r="C348" s="21" t="n">
        <x:f>MOD(A348-1,50)+1</x:f>
        <x:v>44</x:v>
      </x:c>
      <x:c r="D348" s="29" t="str">
        <x:v>παραλαμβάνω</x:v>
      </x:c>
      <x:c r="E348" s="29" t="str">
        <x:v>παραλαμβάνω</x:v>
      </x:c>
      <x:c r="F348" s="27" t="str">
        <x:v>paralambanō</x:v>
      </x:c>
      <x:c r="G348" s="20" t="str">
        <x:v>to receive near, i.e. associate with oneself (in any familiar or intimate act or relation); by analogy, to assume an office; figuratively, to learn</x:v>
      </x:c>
      <x:c r="H348" s="20" t="str"/>
      <x:c r="I348" s="21"/>
      <x:c r="J348" s="21" t="str">
        <x:v>Mounce 頻率延伸</x:v>
      </x:c>
      <x:c r="K348" s="21" t="str">
        <x:v>G3880</x:v>
      </x:c>
      <x:c r="L348" s="21" t="str">
        <x:v>否</x:v>
      </x:c>
      <x:c r="M348" s="21" t="str"/>
      <x:c r="N348" s="21" t="str">
        <x:v>source_and_lexicon_matched</x:v>
      </x:c>
      <x:c r="O348" s="21" t="str">
        <x:v>rule_generated_from_official_table</x:v>
      </x:c>
      <x:c r="P348" s="21" t="n">
        <x:v>6</x:v>
      </x:c>
      <x:c r="Q348" s="21" t="str">
        <x:v>https://doxa.billmounce.com/Flashcards%20%28BBG%29.pdf</x:v>
      </x:c>
      <x:c r="R348" s="16" t="str"/>
    </x:row>
    <x:row r="349" ht="28" customHeight="1">
      <x:c r="A349" s="21" t="n">
        <x:v>345</x:v>
      </x:c>
      <x:c r="B349" s="21" t="n">
        <x:f>ROUNDUP(A349/50,0)</x:f>
        <x:v>7</x:v>
      </x:c>
      <x:c r="C349" s="21" t="n">
        <x:f>MOD(A349-1,50)+1</x:f>
        <x:v>45</x:v>
      </x:c>
      <x:c r="D349" s="29" t="str">
        <x:v>χρεία, -ας, ἡ</x:v>
      </x:c>
      <x:c r="E349" s="29" t="str">
        <x:v>χρεία</x:v>
      </x:c>
      <x:c r="F349" s="27" t="str">
        <x:v>chreia</x:v>
      </x:c>
      <x:c r="G349" s="20" t="str">
        <x:v>employment, i.e. an affair; also (by implication) occasion, demand, requirement or destitution</x:v>
      </x:c>
      <x:c r="H349" s="20" t="str"/>
      <x:c r="I349" s="21"/>
      <x:c r="J349" s="21" t="str">
        <x:v>Mounce 頻率延伸</x:v>
      </x:c>
      <x:c r="K349" s="21" t="str">
        <x:v>G5532</x:v>
      </x:c>
      <x:c r="L349" s="21" t="str">
        <x:v>否</x:v>
      </x:c>
      <x:c r="M349" s="21" t="str"/>
      <x:c r="N349" s="21" t="str">
        <x:v>source_and_lexicon_matched</x:v>
      </x:c>
      <x:c r="O349" s="21" t="str">
        <x:v>rule_generated_from_official_table</x:v>
      </x:c>
      <x:c r="P349" s="21" t="n">
        <x:v>6</x:v>
      </x:c>
      <x:c r="Q349" s="21" t="str">
        <x:v>https://doxa.billmounce.com/Flashcards%20%28BBG%29.pdf</x:v>
      </x:c>
      <x:c r="R349" s="16" t="str"/>
    </x:row>
    <x:row r="350" ht="28" customHeight="1">
      <x:c r="A350" s="21" t="n">
        <x:v>346</x:v>
      </x:c>
      <x:c r="B350" s="21" t="n">
        <x:f>ROUNDUP(A350/50,0)</x:f>
        <x:v>7</x:v>
      </x:c>
      <x:c r="C350" s="21" t="n">
        <x:f>MOD(A350-1,50)+1</x:f>
        <x:v>46</x:v>
      </x:c>
      <x:c r="D350" s="29" t="str">
        <x:v>ἀποδίδωμι</x:v>
      </x:c>
      <x:c r="E350" s="29" t="str">
        <x:v>ἀποδίδωμι</x:v>
      </x:c>
      <x:c r="F350" s="27" t="str">
        <x:v>apodidōmi</x:v>
      </x:c>
      <x:c r="G350" s="20" t="str">
        <x:v>to give away, i.e. up, over, back, etc. (in various applications)</x:v>
      </x:c>
      <x:c r="H350" s="20" t="str"/>
      <x:c r="I350" s="21"/>
      <x:c r="J350" s="21" t="str">
        <x:v>Mounce 頻率延伸</x:v>
      </x:c>
      <x:c r="K350" s="21" t="str">
        <x:v>G591</x:v>
      </x:c>
      <x:c r="L350" s="21" t="str">
        <x:v>否</x:v>
      </x:c>
      <x:c r="M350" s="21" t="str"/>
      <x:c r="N350" s="21" t="str">
        <x:v>source_and_lexicon_matched</x:v>
      </x:c>
      <x:c r="O350" s="21" t="str">
        <x:v>rule_generated_from_official_table</x:v>
      </x:c>
      <x:c r="P350" s="21" t="n">
        <x:v>6</x:v>
      </x:c>
      <x:c r="Q350" s="21" t="str">
        <x:v>https://doxa.billmounce.com/Flashcards%20%28BBG%29.pdf</x:v>
      </x:c>
      <x:c r="R350" s="16" t="str"/>
    </x:row>
    <x:row r="351" ht="28" customHeight="1">
      <x:c r="A351" s="21" t="n">
        <x:v>347</x:v>
      </x:c>
      <x:c r="B351" s="21" t="n">
        <x:f>ROUNDUP(A351/50,0)</x:f>
        <x:v>7</x:v>
      </x:c>
      <x:c r="C351" s="21" t="n">
        <x:f>MOD(A351-1,50)+1</x:f>
        <x:v>47</x:v>
      </x:c>
      <x:c r="D351" s="29" t="str">
        <x:v>ἔμπροσθεν</x:v>
      </x:c>
      <x:c r="E351" s="29" t="str">
        <x:v>ἔμπροσθεν</x:v>
      </x:c>
      <x:c r="F351" s="27" t="str">
        <x:v>emprosthen</x:v>
      </x:c>
      <x:c r="G351" s="20" t="str">
        <x:v>in front of (in place (literally or figuratively) or time)</x:v>
      </x:c>
      <x:c r="H351" s="20" t="str"/>
      <x:c r="I351" s="21"/>
      <x:c r="J351" s="21" t="str">
        <x:v>Mounce 頻率延伸</x:v>
      </x:c>
      <x:c r="K351" s="21" t="str">
        <x:v>G1715</x:v>
      </x:c>
      <x:c r="L351" s="21" t="str">
        <x:v>否</x:v>
      </x:c>
      <x:c r="M351" s="21" t="str"/>
      <x:c r="N351" s="21" t="str">
        <x:v>source_and_lexicon_matched</x:v>
      </x:c>
      <x:c r="O351" s="21" t="str">
        <x:v>rule_generated_from_official_table</x:v>
      </x:c>
      <x:c r="P351" s="21" t="n">
        <x:v>6</x:v>
      </x:c>
      <x:c r="Q351" s="21" t="str">
        <x:v>https://doxa.billmounce.com/Flashcards%20%28BBG%29.pdf</x:v>
      </x:c>
      <x:c r="R351" s="16" t="str"/>
    </x:row>
    <x:row r="352" ht="28" customHeight="1">
      <x:c r="A352" s="21" t="n">
        <x:v>348</x:v>
      </x:c>
      <x:c r="B352" s="21" t="n">
        <x:f>ROUNDUP(A352/50,0)</x:f>
        <x:v>7</x:v>
      </x:c>
      <x:c r="C352" s="21" t="n">
        <x:f>MOD(A352-1,50)+1</x:f>
        <x:v>48</x:v>
      </x:c>
      <x:c r="D352" s="29" t="str">
        <x:v>ἔρημος, -ον</x:v>
      </x:c>
      <x:c r="E352" s="29" t="str">
        <x:v>ἔρημος</x:v>
      </x:c>
      <x:c r="F352" s="27" t="str">
        <x:v>erēmos</x:v>
      </x:c>
      <x:c r="G352" s="20" t="str"/>
      <x:c r="H352" s="20" t="str"/>
      <x:c r="I352" s="21"/>
      <x:c r="J352" s="21" t="str">
        <x:v>Mounce 頻率延伸</x:v>
      </x:c>
      <x:c r="K352" s="21" t="str">
        <x:v>G2048</x:v>
      </x:c>
      <x:c r="L352" s="21" t="str">
        <x:v>否</x:v>
      </x:c>
      <x:c r="M352" s="21" t="str"/>
      <x:c r="N352" s="21" t="str">
        <x:v>source_and_lexicon_matched</x:v>
      </x:c>
      <x:c r="O352" s="21" t="str">
        <x:v>rule_generated_from_official_table</x:v>
      </x:c>
      <x:c r="P352" s="21" t="n">
        <x:v>6</x:v>
      </x:c>
      <x:c r="Q352" s="21" t="str">
        <x:v>https://doxa.billmounce.com/Flashcards%20%28BBG%29.pdf</x:v>
      </x:c>
      <x:c r="R352" s="16" t="str"/>
    </x:row>
    <x:row r="353" ht="28" customHeight="1">
      <x:c r="A353" s="21" t="n">
        <x:v>349</x:v>
      </x:c>
      <x:c r="B353" s="21" t="n">
        <x:f>ROUNDUP(A353/50,0)</x:f>
        <x:v>7</x:v>
      </x:c>
      <x:c r="C353" s="21" t="n">
        <x:f>MOD(A353-1,50)+1</x:f>
        <x:v>49</x:v>
      </x:c>
      <x:c r="D353" s="29" t="str">
        <x:v>ποῦ</x:v>
      </x:c>
      <x:c r="E353" s="29" t="str">
        <x:v>ποῦ</x:v>
      </x:c>
      <x:c r="F353" s="27" t="str">
        <x:v>pou</x:v>
      </x:c>
      <x:c r="G353" s="20" t="str">
        <x:v>as adverb of place; at (by implication, to) what locality</x:v>
      </x:c>
      <x:c r="H353" s="20" t="str"/>
      <x:c r="I353" s="21"/>
      <x:c r="J353" s="21" t="str">
        <x:v>Mounce 頻率延伸</x:v>
      </x:c>
      <x:c r="K353" s="21" t="str">
        <x:v>G4226</x:v>
      </x:c>
      <x:c r="L353" s="21" t="str">
        <x:v>否</x:v>
      </x:c>
      <x:c r="M353" s="21" t="str"/>
      <x:c r="N353" s="21" t="str">
        <x:v>source_and_lexicon_matched</x:v>
      </x:c>
      <x:c r="O353" s="21" t="str">
        <x:v>rule_generated_from_official_table</x:v>
      </x:c>
      <x:c r="P353" s="21" t="n">
        <x:v>6</x:v>
      </x:c>
      <x:c r="Q353" s="21" t="str">
        <x:v>https://doxa.billmounce.com/Flashcards%20%28BBG%29.pdf</x:v>
      </x:c>
      <x:c r="R353" s="16" t="str"/>
    </x:row>
    <x:row r="354" ht="28" customHeight="1">
      <x:c r="A354" s="21" t="n">
        <x:v>350</x:v>
      </x:c>
      <x:c r="B354" s="21" t="n">
        <x:f>ROUNDUP(A354/50,0)</x:f>
        <x:v>7</x:v>
      </x:c>
      <x:c r="C354" s="21" t="n">
        <x:f>MOD(A354-1,50)+1</x:f>
        <x:v>50</x:v>
      </x:c>
      <x:c r="D354" s="29" t="str">
        <x:v>κρατέω</x:v>
      </x:c>
      <x:c r="E354" s="29" t="str">
        <x:v>κρατέω</x:v>
      </x:c>
      <x:c r="F354" s="27" t="str">
        <x:v>krateō</x:v>
      </x:c>
      <x:c r="G354" s="20" t="str">
        <x:v>to use strength, i.e. seize or retain (literally or figuratively)</x:v>
      </x:c>
      <x:c r="H354" s="20" t="str"/>
      <x:c r="I354" s="21"/>
      <x:c r="J354" s="21" t="str">
        <x:v>Mounce 頻率延伸</x:v>
      </x:c>
      <x:c r="K354" s="21" t="str">
        <x:v>G2902</x:v>
      </x:c>
      <x:c r="L354" s="21" t="str">
        <x:v>否</x:v>
      </x:c>
      <x:c r="M354" s="21" t="str"/>
      <x:c r="N354" s="21" t="str">
        <x:v>source_and_lexicon_matched</x:v>
      </x:c>
      <x:c r="O354" s="21" t="str">
        <x:v>rule_generated_from_official_table</x:v>
      </x:c>
      <x:c r="P354" s="21" t="n">
        <x:v>6</x:v>
      </x:c>
      <x:c r="Q354" s="21" t="str">
        <x:v>https://doxa.billmounce.com/Flashcards%20%28BBG%29.pdf</x:v>
      </x:c>
      <x:c r="R354" s="16" t="str"/>
    </x:row>
    <x:row r="355" ht="28" customHeight="1">
      <x:c r="A355" s="21" t="n">
        <x:v>351</x:v>
      </x:c>
      <x:c r="B355" s="21" t="n">
        <x:f>ROUNDUP(A355/50,0)</x:f>
        <x:v>8</x:v>
      </x:c>
      <x:c r="C355" s="21" t="n">
        <x:f>MOD(A355-1,50)+1</x:f>
        <x:v>1</x:v>
      </x:c>
      <x:c r="D355" s="29" t="str">
        <x:v>κρίσις, -εως, ἡ</x:v>
      </x:c>
      <x:c r="E355" s="29" t="str">
        <x:v>κρίσις</x:v>
      </x:c>
      <x:c r="F355" s="27" t="str">
        <x:v>krisis</x:v>
      </x:c>
      <x:c r="G355" s="20" t="str">
        <x:v>decision (subjectively or objectively, for or against); by extension, a tribunal; by implication, justice (especially, divine law)</x:v>
      </x:c>
      <x:c r="H355" s="20" t="str"/>
      <x:c r="I355" s="21"/>
      <x:c r="J355" s="21" t="str">
        <x:v>Mounce 頻率延伸</x:v>
      </x:c>
      <x:c r="K355" s="21" t="str">
        <x:v>G2920</x:v>
      </x:c>
      <x:c r="L355" s="21" t="str">
        <x:v>否</x:v>
      </x:c>
      <x:c r="M355" s="21" t="str"/>
      <x:c r="N355" s="21" t="str">
        <x:v>source_and_lexicon_matched</x:v>
      </x:c>
      <x:c r="O355" s="21" t="str">
        <x:v>rule_generated_from_official_table</x:v>
      </x:c>
      <x:c r="P355" s="21" t="n">
        <x:v>6</x:v>
      </x:c>
      <x:c r="Q355" s="21" t="str">
        <x:v>https://doxa.billmounce.com/Flashcards%20%28BBG%29.pdf</x:v>
      </x:c>
      <x:c r="R355" s="16" t="str"/>
    </x:row>
    <x:row r="356" ht="28" customHeight="1">
      <x:c r="A356" s="21" t="n">
        <x:v>352</x:v>
      </x:c>
      <x:c r="B356" s="21" t="n">
        <x:f>ROUNDUP(A356/50,0)</x:f>
        <x:v>8</x:v>
      </x:c>
      <x:c r="C356" s="21" t="n">
        <x:f>MOD(A356-1,50)+1</x:f>
        <x:v>2</x:v>
      </x:c>
      <x:c r="D356" s="29" t="str">
        <x:v>οὐκέτι</x:v>
      </x:c>
      <x:c r="E356" s="29" t="str">
        <x:v>οὐκέτι</x:v>
      </x:c>
      <x:c r="F356" s="27" t="str">
        <x:v>ouketi</x:v>
      </x:c>
      <x:c r="G356" s="20" t="str">
        <x:v>not yet, no longer</x:v>
      </x:c>
      <x:c r="H356" s="20" t="str"/>
      <x:c r="I356" s="21"/>
      <x:c r="J356" s="21" t="str">
        <x:v>Mounce 頻率延伸</x:v>
      </x:c>
      <x:c r="K356" s="21" t="str">
        <x:v>G3765</x:v>
      </x:c>
      <x:c r="L356" s="21" t="str">
        <x:v>否</x:v>
      </x:c>
      <x:c r="M356" s="21" t="str"/>
      <x:c r="N356" s="21" t="str">
        <x:v>source_and_lexicon_matched</x:v>
      </x:c>
      <x:c r="O356" s="21" t="str">
        <x:v>rule_generated_from_official_table</x:v>
      </x:c>
      <x:c r="P356" s="21" t="n">
        <x:v>6</x:v>
      </x:c>
      <x:c r="Q356" s="21" t="str">
        <x:v>https://doxa.billmounce.com/Flashcards%20%28BBG%29.pdf</x:v>
      </x:c>
      <x:c r="R356" s="16" t="str"/>
    </x:row>
    <x:row r="357" ht="28" customHeight="1">
      <x:c r="A357" s="21" t="n">
        <x:v>353</x:v>
      </x:c>
      <x:c r="B357" s="21" t="n">
        <x:f>ROUNDUP(A357/50,0)</x:f>
        <x:v>8</x:v>
      </x:c>
      <x:c r="C357" s="21" t="n">
        <x:f>MOD(A357-1,50)+1</x:f>
        <x:v>3</x:v>
      </x:c>
      <x:c r="D357" s="29" t="str">
        <x:v>πρό</x:v>
      </x:c>
      <x:c r="E357" s="29" t="str">
        <x:v>πρό</x:v>
      </x:c>
      <x:c r="F357" s="27" t="str">
        <x:v>pro</x:v>
      </x:c>
      <x:c r="G357" s="20" t="str">
        <x:v>"fore", i.e. in front of, prior (figuratively, superior) to</x:v>
      </x:c>
      <x:c r="H357" s="20" t="str"/>
      <x:c r="I357" s="21"/>
      <x:c r="J357" s="21" t="str">
        <x:v>Mounce 頻率延伸</x:v>
      </x:c>
      <x:c r="K357" s="21" t="str">
        <x:v>G4253</x:v>
      </x:c>
      <x:c r="L357" s="21" t="str">
        <x:v>否</x:v>
      </x:c>
      <x:c r="M357" s="21" t="str"/>
      <x:c r="N357" s="21" t="str">
        <x:v>source_and_lexicon_matched</x:v>
      </x:c>
      <x:c r="O357" s="21" t="str">
        <x:v>rule_generated_from_official_table</x:v>
      </x:c>
      <x:c r="P357" s="21" t="n">
        <x:v>6</x:v>
      </x:c>
      <x:c r="Q357" s="21" t="str">
        <x:v>https://doxa.billmounce.com/Flashcards%20%28BBG%29.pdf</x:v>
      </x:c>
      <x:c r="R357" s="16" t="str"/>
    </x:row>
    <x:row r="358" ht="28" customHeight="1">
      <x:c r="A358" s="21" t="n">
        <x:v>354</x:v>
      </x:c>
      <x:c r="B358" s="21" t="n">
        <x:f>ROUNDUP(A358/50,0)</x:f>
        <x:v>8</x:v>
      </x:c>
      <x:c r="C358" s="21" t="n">
        <x:f>MOD(A358-1,50)+1</x:f>
        <x:v>4</x:v>
      </x:c>
      <x:c r="D358" s="29" t="str">
        <x:v>προσφέρω</x:v>
      </x:c>
      <x:c r="E358" s="29" t="str">
        <x:v>προσφέρω</x:v>
      </x:c>
      <x:c r="F358" s="27" t="str">
        <x:v>prospherō</x:v>
      </x:c>
      <x:c r="G358" s="20" t="str">
        <x:v>to bear towards, i.e. lead to, tender (especially to God), treat</x:v>
      </x:c>
      <x:c r="H358" s="20" t="str"/>
      <x:c r="I358" s="21"/>
      <x:c r="J358" s="21" t="str">
        <x:v>Mounce 頻率延伸</x:v>
      </x:c>
      <x:c r="K358" s="21" t="str">
        <x:v>G4374</x:v>
      </x:c>
      <x:c r="L358" s="21" t="str">
        <x:v>否</x:v>
      </x:c>
      <x:c r="M358" s="21" t="str"/>
      <x:c r="N358" s="21" t="str">
        <x:v>source_and_lexicon_matched</x:v>
      </x:c>
      <x:c r="O358" s="21" t="str">
        <x:v>rule_generated_from_official_table</x:v>
      </x:c>
      <x:c r="P358" s="21" t="n">
        <x:v>6</x:v>
      </x:c>
      <x:c r="Q358" s="21" t="str">
        <x:v>https://doxa.billmounce.com/Flashcards%20%28BBG%29.pdf</x:v>
      </x:c>
      <x:c r="R358" s="16" t="str"/>
    </x:row>
    <x:row r="359" ht="28" customHeight="1">
      <x:c r="A359" s="21" t="n">
        <x:v>355</x:v>
      </x:c>
      <x:c r="B359" s="21" t="n">
        <x:f>ROUNDUP(A359/50,0)</x:f>
        <x:v>8</x:v>
      </x:c>
      <x:c r="C359" s="21" t="n">
        <x:f>MOD(A359-1,50)+1</x:f>
        <x:v>5</x:v>
      </x:c>
      <x:c r="D359" s="29" t="str">
        <x:v>φυλακή, -ῆς, ἡ</x:v>
      </x:c>
      <x:c r="E359" s="29" t="str">
        <x:v>φυλακή</x:v>
      </x:c>
      <x:c r="F359" s="27" t="str">
        <x:v>phulakē</x:v>
      </x:c>
      <x:c r="G359" s="20" t="str">
        <x:v>a guarding or (concretely, guard), the act, the person; figuratively, the place, the condition, or (specially), the time (as a division of day or night), literally or figuratively</x:v>
      </x:c>
      <x:c r="H359" s="20" t="str"/>
      <x:c r="I359" s="21"/>
      <x:c r="J359" s="21" t="str">
        <x:v>Mounce 頻率延伸</x:v>
      </x:c>
      <x:c r="K359" s="21" t="str">
        <x:v>G5438</x:v>
      </x:c>
      <x:c r="L359" s="21" t="str">
        <x:v>否</x:v>
      </x:c>
      <x:c r="M359" s="21" t="str"/>
      <x:c r="N359" s="21" t="str">
        <x:v>source_and_lexicon_matched</x:v>
      </x:c>
      <x:c r="O359" s="21" t="str">
        <x:v>rule_generated_from_official_table</x:v>
      </x:c>
      <x:c r="P359" s="21" t="n">
        <x:v>6</x:v>
      </x:c>
      <x:c r="Q359" s="21" t="str">
        <x:v>https://doxa.billmounce.com/Flashcards%20%28BBG%29.pdf</x:v>
      </x:c>
      <x:c r="R359" s="16" t="str"/>
    </x:row>
    <x:row r="360" ht="28" customHeight="1">
      <x:c r="A360" s="21" t="n">
        <x:v>356</x:v>
      </x:c>
      <x:c r="B360" s="21" t="n">
        <x:f>ROUNDUP(A360/50,0)</x:f>
        <x:v>8</x:v>
      </x:c>
      <x:c r="C360" s="21" t="n">
        <x:f>MOD(A360-1,50)+1</x:f>
        <x:v>6</x:v>
      </x:c>
      <x:c r="D360" s="29" t="str">
        <x:v>θηρίον, -ου, τό</x:v>
      </x:c>
      <x:c r="E360" s="29" t="str">
        <x:v>θηρίον</x:v>
      </x:c>
      <x:c r="F360" s="27" t="str">
        <x:v>thērion</x:v>
      </x:c>
      <x:c r="G360" s="20" t="str">
        <x:v>a dangerous animal</x:v>
      </x:c>
      <x:c r="H360" s="20" t="str"/>
      <x:c r="I360" s="21"/>
      <x:c r="J360" s="21" t="str">
        <x:v>Mounce 頻率延伸</x:v>
      </x:c>
      <x:c r="K360" s="21" t="str">
        <x:v>G2342</x:v>
      </x:c>
      <x:c r="L360" s="21" t="str">
        <x:v>否</x:v>
      </x:c>
      <x:c r="M360" s="21" t="str"/>
      <x:c r="N360" s="21" t="str">
        <x:v>source_and_lexicon_matched</x:v>
      </x:c>
      <x:c r="O360" s="21" t="str">
        <x:v>rule_generated_from_official_table</x:v>
      </x:c>
      <x:c r="P360" s="21" t="n">
        <x:v>6</x:v>
      </x:c>
      <x:c r="Q360" s="21" t="str">
        <x:v>https://doxa.billmounce.com/Flashcards%20%28BBG%29.pdf</x:v>
      </x:c>
      <x:c r="R360" s="16" t="str"/>
    </x:row>
    <x:row r="361" ht="28" customHeight="1">
      <x:c r="A361" s="21" t="n">
        <x:v>357</x:v>
      </x:c>
      <x:c r="B361" s="21" t="n">
        <x:f>ROUNDUP(A361/50,0)</x:f>
        <x:v>8</x:v>
      </x:c>
      <x:c r="C361" s="21" t="n">
        <x:f>MOD(A361-1,50)+1</x:f>
        <x:v>7</x:v>
      </x:c>
      <x:c r="D361" s="29" t="str">
        <x:v>καθίζω</x:v>
      </x:c>
      <x:c r="E361" s="29" t="str">
        <x:v>καθίζω</x:v>
      </x:c>
      <x:c r="F361" s="27" t="str">
        <x:v>kathizō</x:v>
      </x:c>
      <x:c r="G361" s="20" t="str">
        <x:v>to seat down, i.e. set (figuratively, appoint); intransitively, to sit (down); figuratively, to settle (hover, dwell)</x:v>
      </x:c>
      <x:c r="H361" s="20" t="str"/>
      <x:c r="I361" s="21"/>
      <x:c r="J361" s="21" t="str">
        <x:v>Mounce 頻率延伸</x:v>
      </x:c>
      <x:c r="K361" s="21" t="str">
        <x:v>G2523</x:v>
      </x:c>
      <x:c r="L361" s="21" t="str">
        <x:v>否</x:v>
      </x:c>
      <x:c r="M361" s="21" t="str"/>
      <x:c r="N361" s="21" t="str">
        <x:v>source_and_lexicon_matched</x:v>
      </x:c>
      <x:c r="O361" s="21" t="str">
        <x:v>rule_generated_from_official_table</x:v>
      </x:c>
      <x:c r="P361" s="21" t="n">
        <x:v>6</x:v>
      </x:c>
      <x:c r="Q361" s="21" t="str">
        <x:v>https://doxa.billmounce.com/Flashcards%20%28BBG%29.pdf</x:v>
      </x:c>
      <x:c r="R361" s="16" t="str"/>
    </x:row>
    <x:row r="362" ht="28" customHeight="1">
      <x:c r="A362" s="21" t="n">
        <x:v>358</x:v>
      </x:c>
      <x:c r="B362" s="21" t="n">
        <x:f>ROUNDUP(A362/50,0)</x:f>
        <x:v>8</x:v>
      </x:c>
      <x:c r="C362" s="21" t="n">
        <x:f>MOD(A362-1,50)+1</x:f>
        <x:v>8</x:v>
      </x:c>
      <x:c r="D362" s="29" t="str">
        <x:v>μικρός, -ά, -όν</x:v>
      </x:c>
      <x:c r="E362" s="29" t="str">
        <x:v>μικρός</x:v>
      </x:c>
      <x:c r="F362" s="27" t="str">
        <x:v>mikros</x:v>
      </x:c>
      <x:c r="G362" s="20" t="str">
        <x:v>small (in size, quantity, number or (figuratively) dignity)</x:v>
      </x:c>
      <x:c r="H362" s="20" t="str"/>
      <x:c r="I362" s="21"/>
      <x:c r="J362" s="21" t="str">
        <x:v>Mounce 頻率延伸</x:v>
      </x:c>
      <x:c r="K362" s="21" t="str">
        <x:v>G3398</x:v>
      </x:c>
      <x:c r="L362" s="21" t="str">
        <x:v>否</x:v>
      </x:c>
      <x:c r="M362" s="21" t="str"/>
      <x:c r="N362" s="21" t="str">
        <x:v>source_and_lexicon_matched</x:v>
      </x:c>
      <x:c r="O362" s="21" t="str">
        <x:v>rule_generated_from_official_table</x:v>
      </x:c>
      <x:c r="P362" s="21" t="n">
        <x:v>6</x:v>
      </x:c>
      <x:c r="Q362" s="21" t="str">
        <x:v>https://doxa.billmounce.com/Flashcards%20%28BBG%29.pdf</x:v>
      </x:c>
      <x:c r="R362" s="16" t="str"/>
    </x:row>
    <x:row r="363" ht="28" customHeight="1">
      <x:c r="A363" s="21" t="n">
        <x:v>359</x:v>
      </x:c>
      <x:c r="B363" s="21" t="n">
        <x:f>ROUNDUP(A363/50,0)</x:f>
        <x:v>8</x:v>
      </x:c>
      <x:c r="C363" s="21" t="n">
        <x:f>MOD(A363-1,50)+1</x:f>
        <x:v>9</x:v>
      </x:c>
      <x:c r="D363" s="29" t="str">
        <x:v>οὐαί</x:v>
      </x:c>
      <x:c r="E363" s="29" t="str">
        <x:v>οὐαί</x:v>
      </x:c>
      <x:c r="F363" s="27" t="str">
        <x:v>ouai</x:v>
      </x:c>
      <x:c r="G363" s="20" t="str">
        <x:v>"woe"</x:v>
      </x:c>
      <x:c r="H363" s="20" t="str"/>
      <x:c r="I363" s="21"/>
      <x:c r="J363" s="21" t="str">
        <x:v>Mounce 頻率延伸</x:v>
      </x:c>
      <x:c r="K363" s="21" t="str">
        <x:v>G3759</x:v>
      </x:c>
      <x:c r="L363" s="21" t="str">
        <x:v>否</x:v>
      </x:c>
      <x:c r="M363" s="21" t="str"/>
      <x:c r="N363" s="21" t="str">
        <x:v>source_and_lexicon_matched</x:v>
      </x:c>
      <x:c r="O363" s="21" t="str">
        <x:v>rule_generated_from_official_table</x:v>
      </x:c>
      <x:c r="P363" s="21" t="n">
        <x:v>6</x:v>
      </x:c>
      <x:c r="Q363" s="21" t="str">
        <x:v>https://doxa.billmounce.com/Flashcards%20%28BBG%29.pdf</x:v>
      </x:c>
      <x:c r="R363" s="16" t="str"/>
    </x:row>
    <x:row r="364" ht="28" customHeight="1">
      <x:c r="A364" s="21" t="n">
        <x:v>360</x:v>
      </x:c>
      <x:c r="B364" s="21" t="n">
        <x:f>ROUNDUP(A364/50,0)</x:f>
        <x:v>8</x:v>
      </x:c>
      <x:c r="C364" s="21" t="n">
        <x:f>MOD(A364-1,50)+1</x:f>
        <x:v>10</x:v>
      </x:c>
      <x:c r="D364" s="29" t="str">
        <x:v>διώκω</x:v>
      </x:c>
      <x:c r="E364" s="29" t="str">
        <x:v>διώκω</x:v>
      </x:c>
      <x:c r="F364" s="27" t="str">
        <x:v>diōkō</x:v>
      </x:c>
      <x:c r="G364" s="20" t="str">
        <x:v>compare the base of G1169 (δειλός) and G1249 (διάκονος)); to pursue (literally or figuratively); by implication, to persecute</x:v>
      </x:c>
      <x:c r="H364" s="20" t="str"/>
      <x:c r="I364" s="21"/>
      <x:c r="J364" s="21" t="str">
        <x:v>Mounce 頻率延伸</x:v>
      </x:c>
      <x:c r="K364" s="21" t="str">
        <x:v>G1377</x:v>
      </x:c>
      <x:c r="L364" s="21" t="str">
        <x:v>否</x:v>
      </x:c>
      <x:c r="M364" s="21" t="str"/>
      <x:c r="N364" s="21" t="str">
        <x:v>source_and_lexicon_matched</x:v>
      </x:c>
      <x:c r="O364" s="21" t="str">
        <x:v>rule_generated_from_official_table</x:v>
      </x:c>
      <x:c r="P364" s="21" t="n">
        <x:v>6</x:v>
      </x:c>
      <x:c r="Q364" s="21" t="str">
        <x:v>https://doxa.billmounce.com/Flashcards%20%28BBG%29.pdf</x:v>
      </x:c>
      <x:c r="R364" s="16" t="str"/>
    </x:row>
    <x:row r="365" ht="28" customHeight="1">
      <x:c r="A365" s="21" t="n">
        <x:v>361</x:v>
      </x:c>
      <x:c r="B365" s="21" t="n">
        <x:f>ROUNDUP(A365/50,0)</x:f>
        <x:v>8</x:v>
      </x:c>
      <x:c r="C365" s="21" t="n">
        <x:f>MOD(A365-1,50)+1</x:f>
        <x:v>11</x:v>
      </x:c>
      <x:c r="D365" s="29" t="str">
        <x:v>ναός, -οῦ, ὁ</x:v>
      </x:c>
      <x:c r="E365" s="29" t="str">
        <x:v>ναός</x:v>
      </x:c>
      <x:c r="F365" s="27" t="str">
        <x:v>naos</x:v>
      </x:c>
      <x:c r="G365" s="20" t="str">
        <x:v>a fane, shrine, temple</x:v>
      </x:c>
      <x:c r="H365" s="20" t="str"/>
      <x:c r="I365" s="21"/>
      <x:c r="J365" s="21" t="str">
        <x:v>Mounce 頻率延伸</x:v>
      </x:c>
      <x:c r="K365" s="21" t="str">
        <x:v>G3485</x:v>
      </x:c>
      <x:c r="L365" s="21" t="str">
        <x:v>否</x:v>
      </x:c>
      <x:c r="M365" s="21" t="str"/>
      <x:c r="N365" s="21" t="str">
        <x:v>source_and_lexicon_matched</x:v>
      </x:c>
      <x:c r="O365" s="21" t="str">
        <x:v>rule_generated_from_official_table</x:v>
      </x:c>
      <x:c r="P365" s="21" t="n">
        <x:v>7</x:v>
      </x:c>
      <x:c r="Q365" s="21" t="str">
        <x:v>https://doxa.billmounce.com/Flashcards%20%28BBG%29.pdf</x:v>
      </x:c>
      <x:c r="R365" s="16" t="str"/>
    </x:row>
    <x:row r="366" ht="28" customHeight="1">
      <x:c r="A366" s="21" t="n">
        <x:v>362</x:v>
      </x:c>
      <x:c r="B366" s="21" t="n">
        <x:f>ROUNDUP(A366/50,0)</x:f>
        <x:v>8</x:v>
      </x:c>
      <x:c r="C366" s="21" t="n">
        <x:f>MOD(A366-1,50)+1</x:f>
        <x:v>12</x:v>
      </x:c>
      <x:c r="D366" s="29" t="str">
        <x:v>ὅμοιος, -οία, -οιον</x:v>
      </x:c>
      <x:c r="E366" s="29" t="str">
        <x:v>ὅμοιος</x:v>
      </x:c>
      <x:c r="F366" s="27" t="str">
        <x:v>homoios</x:v>
      </x:c>
      <x:c r="G366" s="20" t="str">
        <x:v>similar (in appearance or character)</x:v>
      </x:c>
      <x:c r="H366" s="20" t="str"/>
      <x:c r="I366" s="21"/>
      <x:c r="J366" s="21" t="str">
        <x:v>Mounce 頻率延伸</x:v>
      </x:c>
      <x:c r="K366" s="21" t="str">
        <x:v>G3664</x:v>
      </x:c>
      <x:c r="L366" s="21" t="str">
        <x:v>否</x:v>
      </x:c>
      <x:c r="M366" s="21" t="str"/>
      <x:c r="N366" s="21" t="str">
        <x:v>source_and_lexicon_matched</x:v>
      </x:c>
      <x:c r="O366" s="21" t="str">
        <x:v>rule_generated_from_official_table</x:v>
      </x:c>
      <x:c r="P366" s="21" t="n">
        <x:v>7</x:v>
      </x:c>
      <x:c r="Q366" s="21" t="str">
        <x:v>https://doxa.billmounce.com/Flashcards%20%28BBG%29.pdf</x:v>
      </x:c>
      <x:c r="R366" s="16" t="str"/>
    </x:row>
    <x:row r="367" ht="28" customHeight="1">
      <x:c r="A367" s="21" t="n">
        <x:v>363</x:v>
      </x:c>
      <x:c r="B367" s="21" t="n">
        <x:f>ROUNDUP(A367/50,0)</x:f>
        <x:v>8</x:v>
      </x:c>
      <x:c r="C367" s="21" t="n">
        <x:f>MOD(A367-1,50)+1</x:f>
        <x:v>13</x:v>
      </x:c>
      <x:c r="D367" s="29" t="str">
        <x:v>ἐπιγινώσκω</x:v>
      </x:c>
      <x:c r="E367" s="29" t="str">
        <x:v>ἐπιγινώσκω</x:v>
      </x:c>
      <x:c r="F367" s="27" t="str">
        <x:v>epiginōskō</x:v>
      </x:c>
      <x:c r="G367" s="20" t="str">
        <x:v>to know upon some mark, i.e. recognize; by implication, to become fully acquainted with, to acknowledge</x:v>
      </x:c>
      <x:c r="H367" s="20" t="str"/>
      <x:c r="I367" s="21"/>
      <x:c r="J367" s="21" t="str">
        <x:v>Mounce 頻率延伸</x:v>
      </x:c>
      <x:c r="K367" s="21" t="str">
        <x:v>G1921</x:v>
      </x:c>
      <x:c r="L367" s="21" t="str">
        <x:v>否</x:v>
      </x:c>
      <x:c r="M367" s="21" t="str"/>
      <x:c r="N367" s="21" t="str">
        <x:v>source_and_lexicon_matched</x:v>
      </x:c>
      <x:c r="O367" s="21" t="str">
        <x:v>rule_generated_from_official_table</x:v>
      </x:c>
      <x:c r="P367" s="21" t="n">
        <x:v>7</x:v>
      </x:c>
      <x:c r="Q367" s="21" t="str">
        <x:v>https://doxa.billmounce.com/Flashcards%20%28BBG%29.pdf</x:v>
      </x:c>
      <x:c r="R367" s="16" t="str"/>
    </x:row>
    <x:row r="368" ht="28" customHeight="1">
      <x:c r="A368" s="21" t="n">
        <x:v>364</x:v>
      </x:c>
      <x:c r="B368" s="21" t="n">
        <x:f>ROUNDUP(A368/50,0)</x:f>
        <x:v>8</x:v>
      </x:c>
      <x:c r="C368" s="21" t="n">
        <x:f>MOD(A368-1,50)+1</x:f>
        <x:v>14</x:v>
      </x:c>
      <x:c r="D368" s="29" t="str">
        <x:v>Ἰούδας, -α, ὁ</x:v>
      </x:c>
      <x:c r="E368" s="29" t="str">
        <x:v>Ἰούδας</x:v>
      </x:c>
      <x:c r="F368" s="27" t="str">
        <x:v>Ioudas</x:v>
      </x:c>
      <x:c r="G368" s="20" t="str">
        <x:v>Judas (i.e. Jehudah), the name of ten Israelites; also of the posterity of one of them and its region</x:v>
      </x:c>
      <x:c r="H368" s="20" t="str"/>
      <x:c r="I368" s="21"/>
      <x:c r="J368" s="21" t="str">
        <x:v>Mounce 頻率延伸</x:v>
      </x:c>
      <x:c r="K368" s="21" t="str">
        <x:v>G2455</x:v>
      </x:c>
      <x:c r="L368" s="21" t="str">
        <x:v>是</x:v>
      </x:c>
      <x:c r="M368" s="21" t="str">
        <x:v>人名、地名、民族／國族</x:v>
      </x:c>
      <x:c r="N368" s="21" t="str">
        <x:v>source_and_lexicon_matched</x:v>
      </x:c>
      <x:c r="O368" s="21" t="str">
        <x:v>rule_generated_from_official_table</x:v>
      </x:c>
      <x:c r="P368" s="21" t="n">
        <x:v>7</x:v>
      </x:c>
      <x:c r="Q368" s="21" t="str">
        <x:v>https://doxa.billmounce.com/Flashcards%20%28BBG%29.pdf</x:v>
      </x:c>
      <x:c r="R368" s="16" t="str"/>
    </x:row>
    <x:row r="369" ht="28" customHeight="1">
      <x:c r="A369" s="21" t="n">
        <x:v>365</x:v>
      </x:c>
      <x:c r="B369" s="21" t="n">
        <x:f>ROUNDUP(A369/50,0)</x:f>
        <x:v>8</x:v>
      </x:c>
      <x:c r="C369" s="21" t="n">
        <x:f>MOD(A369-1,50)+1</x:f>
        <x:v>15</x:v>
      </x:c>
      <x:c r="D369" s="29" t="str">
        <x:v>κατοικέω</x:v>
      </x:c>
      <x:c r="E369" s="29" t="str">
        <x:v>κατοικέω</x:v>
      </x:c>
      <x:c r="F369" s="27" t="str">
        <x:v>katoikeō</x:v>
      </x:c>
      <x:c r="G369" s="20" t="str">
        <x:v>to house permanently, i.e. reside (literally or figuratively)</x:v>
      </x:c>
      <x:c r="H369" s="20" t="str"/>
      <x:c r="I369" s="21"/>
      <x:c r="J369" s="21" t="str">
        <x:v>Mounce 頻率延伸</x:v>
      </x:c>
      <x:c r="K369" s="21" t="str">
        <x:v>G2730</x:v>
      </x:c>
      <x:c r="L369" s="21" t="str">
        <x:v>否</x:v>
      </x:c>
      <x:c r="M369" s="21" t="str"/>
      <x:c r="N369" s="21" t="str">
        <x:v>source_and_lexicon_matched</x:v>
      </x:c>
      <x:c r="O369" s="21" t="str">
        <x:v>rule_generated_from_official_table</x:v>
      </x:c>
      <x:c r="P369" s="21" t="n">
        <x:v>7</x:v>
      </x:c>
      <x:c r="Q369" s="21" t="str">
        <x:v>https://doxa.billmounce.com/Flashcards%20%28BBG%29.pdf</x:v>
      </x:c>
      <x:c r="R369" s="16" t="str"/>
    </x:row>
    <x:row r="370" ht="28" customHeight="1">
      <x:c r="A370" s="21" t="n">
        <x:v>366</x:v>
      </x:c>
      <x:c r="B370" s="21" t="n">
        <x:f>ROUNDUP(A370/50,0)</x:f>
        <x:v>8</x:v>
      </x:c>
      <x:c r="C370" s="21" t="n">
        <x:f>MOD(A370-1,50)+1</x:f>
        <x:v>16</x:v>
      </x:c>
      <x:c r="D370" s="29" t="str">
        <x:v>γενεά, -ᾶς, ἡ</x:v>
      </x:c>
      <x:c r="E370" s="29" t="str">
        <x:v>γενεά</x:v>
      </x:c>
      <x:c r="F370" s="27" t="str">
        <x:v>genea</x:v>
      </x:c>
      <x:c r="G370" s="20" t="str">
        <x:v>a generation; by implication, an age (the period or the persons)</x:v>
      </x:c>
      <x:c r="H370" s="20" t="str"/>
      <x:c r="I370" s="21"/>
      <x:c r="J370" s="21" t="str">
        <x:v>Mounce 頻率延伸</x:v>
      </x:c>
      <x:c r="K370" s="21" t="str">
        <x:v>G1074</x:v>
      </x:c>
      <x:c r="L370" s="21" t="str">
        <x:v>否</x:v>
      </x:c>
      <x:c r="M370" s="21" t="str"/>
      <x:c r="N370" s="21" t="str">
        <x:v>source_and_lexicon_matched</x:v>
      </x:c>
      <x:c r="O370" s="21" t="str">
        <x:v>rule_generated_from_official_table</x:v>
      </x:c>
      <x:c r="P370" s="21" t="n">
        <x:v>7</x:v>
      </x:c>
      <x:c r="Q370" s="21" t="str">
        <x:v>https://doxa.billmounce.com/Flashcards%20%28BBG%29.pdf</x:v>
      </x:c>
      <x:c r="R370" s="16" t="str"/>
    </x:row>
    <x:row r="371" ht="28" customHeight="1">
      <x:c r="A371" s="21" t="n">
        <x:v>367</x:v>
      </x:c>
      <x:c r="B371" s="21" t="n">
        <x:f>ROUNDUP(A371/50,0)</x:f>
        <x:v>8</x:v>
      </x:c>
      <x:c r="C371" s="21" t="n">
        <x:f>MOD(A371-1,50)+1</x:f>
        <x:v>17</x:v>
      </x:c>
      <x:c r="D371" s="29" t="str">
        <x:v>δεύτερος, -α, -ον</x:v>
      </x:c>
      <x:c r="E371" s="29" t="str">
        <x:v>δεύτερος</x:v>
      </x:c>
      <x:c r="F371" s="27" t="str">
        <x:v>deuteros</x:v>
      </x:c>
      <x:c r="G371" s="20" t="str">
        <x:v>(ordinal) second (in time, place, or rank; also adverb)</x:v>
      </x:c>
      <x:c r="H371" s="20" t="str"/>
      <x:c r="I371" s="21"/>
      <x:c r="J371" s="21" t="str">
        <x:v>Mounce 頻率延伸</x:v>
      </x:c>
      <x:c r="K371" s="21" t="str">
        <x:v>G1208</x:v>
      </x:c>
      <x:c r="L371" s="21" t="str">
        <x:v>否</x:v>
      </x:c>
      <x:c r="M371" s="21" t="str"/>
      <x:c r="N371" s="21" t="str">
        <x:v>source_and_lexicon_matched</x:v>
      </x:c>
      <x:c r="O371" s="21" t="str">
        <x:v>rule_generated_from_official_table</x:v>
      </x:c>
      <x:c r="P371" s="21" t="n">
        <x:v>7</x:v>
      </x:c>
      <x:c r="Q371" s="21" t="str">
        <x:v>https://doxa.billmounce.com/Flashcards%20%28BBG%29.pdf</x:v>
      </x:c>
      <x:c r="R371" s="16" t="str"/>
    </x:row>
    <x:row r="372" ht="28" customHeight="1">
      <x:c r="A372" s="21" t="n">
        <x:v>368</x:v>
      </x:c>
      <x:c r="B372" s="21" t="n">
        <x:f>ROUNDUP(A372/50,0)</x:f>
        <x:v>8</x:v>
      </x:c>
      <x:c r="C372" s="21" t="n">
        <x:f>MOD(A372-1,50)+1</x:f>
        <x:v>18</x:v>
      </x:c>
      <x:c r="D372" s="29" t="str">
        <x:v>δέω</x:v>
      </x:c>
      <x:c r="E372" s="29" t="str">
        <x:v>δέω</x:v>
      </x:c>
      <x:c r="F372" s="27" t="str">
        <x:v>deō</x:v>
      </x:c>
      <x:c r="G372" s="20" t="str">
        <x:v>to bind (in various applications, literally or figuratively)</x:v>
      </x:c>
      <x:c r="H372" s="20" t="str"/>
      <x:c r="I372" s="21"/>
      <x:c r="J372" s="21" t="str">
        <x:v>Mounce 頻率延伸</x:v>
      </x:c>
      <x:c r="K372" s="21" t="str">
        <x:v>G1210</x:v>
      </x:c>
      <x:c r="L372" s="21" t="str">
        <x:v>否</x:v>
      </x:c>
      <x:c r="M372" s="21" t="str"/>
      <x:c r="N372" s="21" t="str">
        <x:v>source_and_lexicon_matched</x:v>
      </x:c>
      <x:c r="O372" s="21" t="str">
        <x:v>rule_generated_from_official_table</x:v>
      </x:c>
      <x:c r="P372" s="21" t="n">
        <x:v>7</x:v>
      </x:c>
      <x:c r="Q372" s="21" t="str">
        <x:v>https://doxa.billmounce.com/Flashcards%20%28BBG%29.pdf</x:v>
      </x:c>
      <x:c r="R372" s="16" t="str"/>
    </x:row>
    <x:row r="373" ht="28" customHeight="1">
      <x:c r="A373" s="21" t="n">
        <x:v>369</x:v>
      </x:c>
      <x:c r="B373" s="21" t="n">
        <x:f>ROUNDUP(A373/50,0)</x:f>
        <x:v>8</x:v>
      </x:c>
      <x:c r="C373" s="21" t="n">
        <x:f>MOD(A373-1,50)+1</x:f>
        <x:v>19</x:v>
      </x:c>
      <x:c r="D373" s="29" t="str">
        <x:v>διέρχομαι</x:v>
      </x:c>
      <x:c r="E373" s="29" t="str">
        <x:v>διέρχομαι</x:v>
      </x:c>
      <x:c r="F373" s="27" t="str">
        <x:v>dierchomai</x:v>
      </x:c>
      <x:c r="G373" s="20" t="str">
        <x:v>to traverse (literally)</x:v>
      </x:c>
      <x:c r="H373" s="20" t="str"/>
      <x:c r="I373" s="21"/>
      <x:c r="J373" s="21" t="str">
        <x:v>Mounce 頻率延伸</x:v>
      </x:c>
      <x:c r="K373" s="21" t="str">
        <x:v>G1330</x:v>
      </x:c>
      <x:c r="L373" s="21" t="str">
        <x:v>否</x:v>
      </x:c>
      <x:c r="M373" s="21" t="str"/>
      <x:c r="N373" s="21" t="str">
        <x:v>source_and_lexicon_matched</x:v>
      </x:c>
      <x:c r="O373" s="21" t="str">
        <x:v>rule_generated_from_official_table</x:v>
      </x:c>
      <x:c r="P373" s="21" t="n">
        <x:v>7</x:v>
      </x:c>
      <x:c r="Q373" s="21" t="str">
        <x:v>https://doxa.billmounce.com/Flashcards%20%28BBG%29.pdf</x:v>
      </x:c>
      <x:c r="R373" s="16" t="str"/>
    </x:row>
    <x:row r="374" ht="28" customHeight="1">
      <x:c r="A374" s="21" t="n">
        <x:v>370</x:v>
      </x:c>
      <x:c r="B374" s="21" t="n">
        <x:f>ROUNDUP(A374/50,0)</x:f>
        <x:v>8</x:v>
      </x:c>
      <x:c r="C374" s="21" t="n">
        <x:f>MOD(A374-1,50)+1</x:f>
        <x:v>20</x:v>
      </x:c>
      <x:c r="D374" s="29" t="str">
        <x:v>Ἡρῴδης, -ου, ὁ</x:v>
      </x:c>
      <x:c r="E374" s="29" t="str">
        <x:v>Ἡρῴδης</x:v>
      </x:c>
      <x:c r="F374" s="27" t="str">
        <x:v>Hērōidēs</x:v>
      </x:c>
      <x:c r="G374" s="20" t="str"/>
      <x:c r="H374" s="20" t="str"/>
      <x:c r="I374" s="21"/>
      <x:c r="J374" s="21" t="str">
        <x:v>Mounce 頻率延伸</x:v>
      </x:c>
      <x:c r="K374" s="21" t="str"/>
      <x:c r="L374" s="21" t="str">
        <x:v>是</x:v>
      </x:c>
      <x:c r="M374" s="21" t="str">
        <x:v>人名</x:v>
      </x:c>
      <x:c r="N374" s="21" t="str">
        <x:v>source_verified_lexicon_pending</x:v>
      </x:c>
      <x:c r="O374" s="21" t="str">
        <x:v>rule_generated_from_official_table</x:v>
      </x:c>
      <x:c r="P374" s="21" t="n">
        <x:v>7</x:v>
      </x:c>
      <x:c r="Q374" s="21" t="str">
        <x:v>https://doxa.billmounce.com/Flashcards%20%28BBG%29.pdf</x:v>
      </x:c>
      <x:c r="R374" s="16" t="str"/>
    </x:row>
    <x:row r="375" ht="28" customHeight="1">
      <x:c r="A375" s="21" t="n">
        <x:v>371</x:v>
      </x:c>
      <x:c r="B375" s="21" t="n">
        <x:f>ROUNDUP(A375/50,0)</x:f>
        <x:v>8</x:v>
      </x:c>
      <x:c r="C375" s="21" t="n">
        <x:f>MOD(A375-1,50)+1</x:f>
        <x:v>21</x:v>
      </x:c>
      <x:c r="D375" s="29" t="str">
        <x:v>θαυμάζω</x:v>
      </x:c>
      <x:c r="E375" s="29" t="str">
        <x:v>θαυμάζω</x:v>
      </x:c>
      <x:c r="F375" s="27" t="str">
        <x:v>thaumazō</x:v>
      </x:c>
      <x:c r="G375" s="20" t="str">
        <x:v>to wonder; by implication, to admire</x:v>
      </x:c>
      <x:c r="H375" s="20" t="str"/>
      <x:c r="I375" s="21"/>
      <x:c r="J375" s="21" t="str">
        <x:v>Mounce 頻率延伸</x:v>
      </x:c>
      <x:c r="K375" s="21" t="str">
        <x:v>G2296</x:v>
      </x:c>
      <x:c r="L375" s="21" t="str">
        <x:v>否</x:v>
      </x:c>
      <x:c r="M375" s="21" t="str"/>
      <x:c r="N375" s="21" t="str">
        <x:v>source_and_lexicon_matched</x:v>
      </x:c>
      <x:c r="O375" s="21" t="str">
        <x:v>rule_generated_from_official_table</x:v>
      </x:c>
      <x:c r="P375" s="21" t="n">
        <x:v>7</x:v>
      </x:c>
      <x:c r="Q375" s="21" t="str">
        <x:v>https://doxa.billmounce.com/Flashcards%20%28BBG%29.pdf</x:v>
      </x:c>
      <x:c r="R375" s="16" t="str"/>
    </x:row>
    <x:row r="376" ht="28" customHeight="1">
      <x:c r="A376" s="21" t="n">
        <x:v>372</x:v>
      </x:c>
      <x:c r="B376" s="21" t="n">
        <x:f>ROUNDUP(A376/50,0)</x:f>
        <x:v>8</x:v>
      </x:c>
      <x:c r="C376" s="21" t="n">
        <x:f>MOD(A376-1,50)+1</x:f>
        <x:v>22</x:v>
      </x:c>
      <x:c r="D376" s="29" t="str">
        <x:v>θεραπεύω</x:v>
      </x:c>
      <x:c r="E376" s="29" t="str">
        <x:v>θεραπεύω</x:v>
      </x:c>
      <x:c r="F376" s="27" t="str">
        <x:v>therapeuō</x:v>
      </x:c>
      <x:c r="G376" s="20" t="str">
        <x:v>to wait upon menially, i.e. (figuratively) to adore (God), or (specially) to relieve (of disease)</x:v>
      </x:c>
      <x:c r="H376" s="20" t="str"/>
      <x:c r="I376" s="21"/>
      <x:c r="J376" s="21" t="str">
        <x:v>Mounce 頻率延伸</x:v>
      </x:c>
      <x:c r="K376" s="21" t="str">
        <x:v>G2323</x:v>
      </x:c>
      <x:c r="L376" s="21" t="str">
        <x:v>否</x:v>
      </x:c>
      <x:c r="M376" s="21" t="str"/>
      <x:c r="N376" s="21" t="str">
        <x:v>source_and_lexicon_matched</x:v>
      </x:c>
      <x:c r="O376" s="21" t="str">
        <x:v>rule_generated_from_official_table</x:v>
      </x:c>
      <x:c r="P376" s="21" t="n">
        <x:v>7</x:v>
      </x:c>
      <x:c r="Q376" s="21" t="str">
        <x:v>https://doxa.billmounce.com/Flashcards%20%28BBG%29.pdf</x:v>
      </x:c>
      <x:c r="R376" s="16" t="str"/>
    </x:row>
    <x:row r="377" ht="28" customHeight="1">
      <x:c r="A377" s="21" t="n">
        <x:v>373</x:v>
      </x:c>
      <x:c r="B377" s="21" t="n">
        <x:f>ROUNDUP(A377/50,0)</x:f>
        <x:v>8</x:v>
      </x:c>
      <x:c r="C377" s="21" t="n">
        <x:f>MOD(A377-1,50)+1</x:f>
        <x:v>23</x:v>
      </x:c>
      <x:c r="D377" s="29" t="str">
        <x:v>σεαυτοῦ, -ῆς</x:v>
      </x:c>
      <x:c r="E377" s="29" t="str">
        <x:v>σεαυτοῦ</x:v>
      </x:c>
      <x:c r="F377" s="27" t="str">
        <x:v>seautou</x:v>
      </x:c>
      <x:c r="G377" s="20" t="str">
        <x:v>of (with, to) thyself</x:v>
      </x:c>
      <x:c r="H377" s="20" t="str"/>
      <x:c r="I377" s="21"/>
      <x:c r="J377" s="21" t="str">
        <x:v>Mounce 頻率延伸</x:v>
      </x:c>
      <x:c r="K377" s="21" t="str">
        <x:v>G4572</x:v>
      </x:c>
      <x:c r="L377" s="21" t="str">
        <x:v>否</x:v>
      </x:c>
      <x:c r="M377" s="21" t="str"/>
      <x:c r="N377" s="21" t="str">
        <x:v>source_and_lexicon_matched</x:v>
      </x:c>
      <x:c r="O377" s="21" t="str">
        <x:v>rule_generated_from_official_table</x:v>
      </x:c>
      <x:c r="P377" s="21" t="n">
        <x:v>7</x:v>
      </x:c>
      <x:c r="Q377" s="21" t="str">
        <x:v>https://doxa.billmounce.com/Flashcards%20%28BBG%29.pdf</x:v>
      </x:c>
      <x:c r="R377" s="16" t="str"/>
    </x:row>
    <x:row r="378" ht="28" customHeight="1">
      <x:c r="A378" s="21" t="n">
        <x:v>374</x:v>
      </x:c>
      <x:c r="B378" s="21" t="n">
        <x:f>ROUNDUP(A378/50,0)</x:f>
        <x:v>8</x:v>
      </x:c>
      <x:c r="C378" s="21" t="n">
        <x:f>MOD(A378-1,50)+1</x:f>
        <x:v>24</x:v>
      </x:c>
      <x:c r="D378" s="29" t="str">
        <x:v>σπέρμα, -ατος, τό</x:v>
      </x:c>
      <x:c r="E378" s="29" t="str">
        <x:v>σπέρμα</x:v>
      </x:c>
      <x:c r="F378" s="27" t="str">
        <x:v>sperma</x:v>
      </x:c>
      <x:c r="G378" s="20" t="str">
        <x:v>something sown, i.e. seed (including the male "sperm"); by implication, offspring; specially, a remnant (figuratively, as if kept over for planting)</x:v>
      </x:c>
      <x:c r="H378" s="20" t="str"/>
      <x:c r="I378" s="21"/>
      <x:c r="J378" s="21" t="str">
        <x:v>Mounce 頻率延伸</x:v>
      </x:c>
      <x:c r="K378" s="21" t="str">
        <x:v>G4690</x:v>
      </x:c>
      <x:c r="L378" s="21" t="str">
        <x:v>否</x:v>
      </x:c>
      <x:c r="M378" s="21" t="str"/>
      <x:c r="N378" s="21" t="str">
        <x:v>source_and_lexicon_matched</x:v>
      </x:c>
      <x:c r="O378" s="21" t="str">
        <x:v>rule_generated_from_official_table</x:v>
      </x:c>
      <x:c r="P378" s="21" t="n">
        <x:v>7</x:v>
      </x:c>
      <x:c r="Q378" s="21" t="str">
        <x:v>https://doxa.billmounce.com/Flashcards%20%28BBG%29.pdf</x:v>
      </x:c>
      <x:c r="R378" s="16" t="str"/>
    </x:row>
    <x:row r="379" ht="28" customHeight="1">
      <x:c r="A379" s="21" t="n">
        <x:v>375</x:v>
      </x:c>
      <x:c r="B379" s="21" t="n">
        <x:f>ROUNDUP(A379/50,0)</x:f>
        <x:v>8</x:v>
      </x:c>
      <x:c r="C379" s="21" t="n">
        <x:f>MOD(A379-1,50)+1</x:f>
        <x:v>25</x:v>
      </x:c>
      <x:c r="D379" s="29" t="str">
        <x:v>φωνέω</x:v>
      </x:c>
      <x:c r="E379" s="29" t="str">
        <x:v>φωνέω</x:v>
      </x:c>
      <x:c r="F379" s="27" t="str">
        <x:v>phōneō</x:v>
      </x:c>
      <x:c r="G379" s="20" t="str">
        <x:v>to emit a sound (animal, human or instrumental); by implication, to address in words or by name, also in imitation</x:v>
      </x:c>
      <x:c r="H379" s="20" t="str"/>
      <x:c r="I379" s="21"/>
      <x:c r="J379" s="21" t="str">
        <x:v>Mounce 頻率延伸</x:v>
      </x:c>
      <x:c r="K379" s="21" t="str">
        <x:v>G5455</x:v>
      </x:c>
      <x:c r="L379" s="21" t="str">
        <x:v>否</x:v>
      </x:c>
      <x:c r="M379" s="21" t="str"/>
      <x:c r="N379" s="21" t="str">
        <x:v>source_and_lexicon_matched</x:v>
      </x:c>
      <x:c r="O379" s="21" t="str">
        <x:v>rule_generated_from_official_table</x:v>
      </x:c>
      <x:c r="P379" s="21" t="n">
        <x:v>7</x:v>
      </x:c>
      <x:c r="Q379" s="21" t="str">
        <x:v>https://doxa.billmounce.com/Flashcards%20%28BBG%29.pdf</x:v>
      </x:c>
      <x:c r="R379" s="16" t="str"/>
    </x:row>
    <x:row r="380" ht="28" customHeight="1">
      <x:c r="A380" s="21" t="n">
        <x:v>376</x:v>
      </x:c>
      <x:c r="B380" s="21" t="n">
        <x:f>ROUNDUP(A380/50,0)</x:f>
        <x:v>8</x:v>
      </x:c>
      <x:c r="C380" s="21" t="n">
        <x:f>MOD(A380-1,50)+1</x:f>
        <x:v>26</x:v>
      </x:c>
      <x:c r="D380" s="29" t="str">
        <x:v>ἐγγίζω</x:v>
      </x:c>
      <x:c r="E380" s="29" t="str">
        <x:v>ἐγγίζω</x:v>
      </x:c>
      <x:c r="F380" s="27" t="str">
        <x:v>engizō</x:v>
      </x:c>
      <x:c r="G380" s="20" t="str">
        <x:v>to make near, i.e. (reflexively) approach</x:v>
      </x:c>
      <x:c r="H380" s="20" t="str"/>
      <x:c r="I380" s="21"/>
      <x:c r="J380" s="21" t="str">
        <x:v>Mounce 頻率延伸</x:v>
      </x:c>
      <x:c r="K380" s="21" t="str">
        <x:v>G1448</x:v>
      </x:c>
      <x:c r="L380" s="21" t="str">
        <x:v>否</x:v>
      </x:c>
      <x:c r="M380" s="21" t="str"/>
      <x:c r="N380" s="21" t="str">
        <x:v>source_and_lexicon_matched</x:v>
      </x:c>
      <x:c r="O380" s="21" t="str">
        <x:v>rule_generated_from_official_table</x:v>
      </x:c>
      <x:c r="P380" s="21" t="n">
        <x:v>7</x:v>
      </x:c>
      <x:c r="Q380" s="21" t="str">
        <x:v>https://doxa.billmounce.com/Flashcards%20%28BBG%29.pdf</x:v>
      </x:c>
      <x:c r="R380" s="16" t="str"/>
    </x:row>
    <x:row r="381" ht="28" customHeight="1">
      <x:c r="A381" s="21" t="n">
        <x:v>377</x:v>
      </x:c>
      <x:c r="B381" s="21" t="n">
        <x:f>ROUNDUP(A381/50,0)</x:f>
        <x:v>8</x:v>
      </x:c>
      <x:c r="C381" s="21" t="n">
        <x:f>MOD(A381-1,50)+1</x:f>
        <x:v>27</x:v>
      </x:c>
      <x:c r="D381" s="29" t="str">
        <x:v>Ἰάκωβος, -ου, ὁ</x:v>
      </x:c>
      <x:c r="E381" s="29" t="str">
        <x:v>Ἰάκωβος</x:v>
      </x:c>
      <x:c r="F381" s="27" t="str">
        <x:v>Iakōbos</x:v>
      </x:c>
      <x:c r="G381" s="20" t="str">
        <x:v>Jacobus, the name of three Israelites</x:v>
      </x:c>
      <x:c r="H381" s="20" t="str"/>
      <x:c r="I381" s="21"/>
      <x:c r="J381" s="21" t="str">
        <x:v>Mounce 頻率延伸</x:v>
      </x:c>
      <x:c r="K381" s="21" t="str">
        <x:v>G2385</x:v>
      </x:c>
      <x:c r="L381" s="21" t="str">
        <x:v>是</x:v>
      </x:c>
      <x:c r="M381" s="21" t="str">
        <x:v>人名</x:v>
      </x:c>
      <x:c r="N381" s="21" t="str">
        <x:v>source_and_lexicon_matched</x:v>
      </x:c>
      <x:c r="O381" s="21" t="str">
        <x:v>rule_generated_from_official_table</x:v>
      </x:c>
      <x:c r="P381" s="21" t="n">
        <x:v>7</x:v>
      </x:c>
      <x:c r="Q381" s="21" t="str">
        <x:v>https://doxa.billmounce.com/Flashcards%20%28BBG%29.pdf</x:v>
      </x:c>
      <x:c r="R381" s="16" t="str"/>
    </x:row>
    <x:row r="382" ht="28" customHeight="1">
      <x:c r="A382" s="21" t="n">
        <x:v>378</x:v>
      </x:c>
      <x:c r="B382" s="21" t="n">
        <x:f>ROUNDUP(A382/50,0)</x:f>
        <x:v>8</x:v>
      </x:c>
      <x:c r="C382" s="21" t="n">
        <x:f>MOD(A382-1,50)+1</x:f>
        <x:v>28</x:v>
      </x:c>
      <x:c r="D382" s="29" t="str">
        <x:v>καινός, -ή, -όν</x:v>
      </x:c>
      <x:c r="E382" s="29" t="str">
        <x:v>καινός</x:v>
      </x:c>
      <x:c r="F382" s="27" t="str">
        <x:v>kainos</x:v>
      </x:c>
      <x:c r="G382" s="20" t="str"/>
      <x:c r="H382" s="20" t="str"/>
      <x:c r="I382" s="21"/>
      <x:c r="J382" s="21" t="str">
        <x:v>Mounce 頻率延伸</x:v>
      </x:c>
      <x:c r="K382" s="21" t="str">
        <x:v>G2537</x:v>
      </x:c>
      <x:c r="L382" s="21" t="str">
        <x:v>否</x:v>
      </x:c>
      <x:c r="M382" s="21" t="str"/>
      <x:c r="N382" s="21" t="str">
        <x:v>source_and_lexicon_matched</x:v>
      </x:c>
      <x:c r="O382" s="21" t="str">
        <x:v>rule_generated_from_official_table</x:v>
      </x:c>
      <x:c r="P382" s="21" t="n">
        <x:v>7</x:v>
      </x:c>
      <x:c r="Q382" s="21" t="str">
        <x:v>https://doxa.billmounce.com/Flashcards%20%28BBG%29.pdf</x:v>
      </x:c>
      <x:c r="R382" s="16" t="str"/>
    </x:row>
    <x:row r="383" ht="28" customHeight="1">
      <x:c r="A383" s="21" t="n">
        <x:v>379</x:v>
      </x:c>
      <x:c r="B383" s="21" t="n">
        <x:f>ROUNDUP(A383/50,0)</x:f>
        <x:v>8</x:v>
      </x:c>
      <x:c r="C383" s="21" t="n">
        <x:f>MOD(A383-1,50)+1</x:f>
        <x:v>29</x:v>
      </x:c>
      <x:c r="D383" s="29" t="str">
        <x:v>μέρος, -ους, τό</x:v>
      </x:c>
      <x:c r="E383" s="29" t="str">
        <x:v>μέρος</x:v>
      </x:c>
      <x:c r="F383" s="27" t="str">
        <x:v>meros</x:v>
      </x:c>
      <x:c r="G383" s="20" t="str">
        <x:v>a division or share (literally or figuratively, in a wide application)</x:v>
      </x:c>
      <x:c r="H383" s="20" t="str"/>
      <x:c r="I383" s="21"/>
      <x:c r="J383" s="21" t="str">
        <x:v>Mounce 頻率延伸</x:v>
      </x:c>
      <x:c r="K383" s="21" t="str">
        <x:v>G3313</x:v>
      </x:c>
      <x:c r="L383" s="21" t="str">
        <x:v>否</x:v>
      </x:c>
      <x:c r="M383" s="21" t="str"/>
      <x:c r="N383" s="21" t="str">
        <x:v>source_and_lexicon_matched</x:v>
      </x:c>
      <x:c r="O383" s="21" t="str">
        <x:v>rule_generated_from_official_table</x:v>
      </x:c>
      <x:c r="P383" s="21" t="n">
        <x:v>7</x:v>
      </x:c>
      <x:c r="Q383" s="21" t="str">
        <x:v>https://doxa.billmounce.com/Flashcards%20%28BBG%29.pdf</x:v>
      </x:c>
      <x:c r="R383" s="16" t="str"/>
    </x:row>
    <x:row r="384" ht="28" customHeight="1">
      <x:c r="A384" s="21" t="n">
        <x:v>380</x:v>
      </x:c>
      <x:c r="B384" s="21" t="n">
        <x:f>ROUNDUP(A384/50,0)</x:f>
        <x:v>8</x:v>
      </x:c>
      <x:c r="C384" s="21" t="n">
        <x:f>MOD(A384-1,50)+1</x:f>
        <x:v>30</x:v>
      </x:c>
      <x:c r="D384" s="29" t="str">
        <x:v>πάσχω</x:v>
      </x:c>
      <x:c r="E384" s="29" t="str">
        <x:v>πάσχω</x:v>
      </x:c>
      <x:c r="F384" s="27" t="str">
        <x:v>paschō</x:v>
      </x:c>
      <x:c r="G384" s="20" t="str">
        <x:v>to experience a sensation or impression (usually painful)</x:v>
      </x:c>
      <x:c r="H384" s="20" t="str"/>
      <x:c r="I384" s="21"/>
      <x:c r="J384" s="21" t="str">
        <x:v>Mounce 頻率延伸</x:v>
      </x:c>
      <x:c r="K384" s="21" t="str">
        <x:v>G3958</x:v>
      </x:c>
      <x:c r="L384" s="21" t="str">
        <x:v>否</x:v>
      </x:c>
      <x:c r="M384" s="21" t="str"/>
      <x:c r="N384" s="21" t="str">
        <x:v>source_and_lexicon_matched</x:v>
      </x:c>
      <x:c r="O384" s="21" t="str">
        <x:v>rule_generated_from_official_table</x:v>
      </x:c>
      <x:c r="P384" s="21" t="n">
        <x:v>7</x:v>
      </x:c>
      <x:c r="Q384" s="21" t="str">
        <x:v>https://doxa.billmounce.com/Flashcards%20%28BBG%29.pdf</x:v>
      </x:c>
      <x:c r="R384" s="16" t="str"/>
    </x:row>
    <x:row r="385" ht="28" customHeight="1">
      <x:c r="A385" s="21" t="n">
        <x:v>381</x:v>
      </x:c>
      <x:c r="B385" s="21" t="n">
        <x:f>ROUNDUP(A385/50,0)</x:f>
        <x:v>8</x:v>
      </x:c>
      <x:c r="C385" s="21" t="n">
        <x:f>MOD(A385-1,50)+1</x:f>
        <x:v>31</x:v>
      </x:c>
      <x:c r="D385" s="29" t="str">
        <x:v>ἄξιος, -α, -ον</x:v>
      </x:c>
      <x:c r="E385" s="29" t="str">
        <x:v>ἄξιος</x:v>
      </x:c>
      <x:c r="F385" s="27" t="str">
        <x:v>axios</x:v>
      </x:c>
      <x:c r="G385" s="20" t="str">
        <x:v>deserving, comparable or suitable (as if drawing praise)</x:v>
      </x:c>
      <x:c r="H385" s="20" t="str"/>
      <x:c r="I385" s="21"/>
      <x:c r="J385" s="21" t="str">
        <x:v>Mounce 頻率延伸</x:v>
      </x:c>
      <x:c r="K385" s="21" t="str">
        <x:v>G514</x:v>
      </x:c>
      <x:c r="L385" s="21" t="str">
        <x:v>否</x:v>
      </x:c>
      <x:c r="M385" s="21" t="str"/>
      <x:c r="N385" s="21" t="str">
        <x:v>source_and_lexicon_matched</x:v>
      </x:c>
      <x:c r="O385" s="21" t="str">
        <x:v>rule_generated_from_official_table</x:v>
      </x:c>
      <x:c r="P385" s="21" t="n">
        <x:v>7</x:v>
      </x:c>
      <x:c r="Q385" s="21" t="str">
        <x:v>https://doxa.billmounce.com/Flashcards%20%28BBG%29.pdf</x:v>
      </x:c>
      <x:c r="R385" s="16" t="str"/>
    </x:row>
    <x:row r="386" ht="28" customHeight="1">
      <x:c r="A386" s="21" t="n">
        <x:v>382</x:v>
      </x:c>
      <x:c r="B386" s="21" t="n">
        <x:f>ROUNDUP(A386/50,0)</x:f>
        <x:v>8</x:v>
      </x:c>
      <x:c r="C386" s="21" t="n">
        <x:f>MOD(A386-1,50)+1</x:f>
        <x:v>32</x:v>
      </x:c>
      <x:c r="D386" s="29" t="str">
        <x:v>ἐργάζομαι</x:v>
      </x:c>
      <x:c r="E386" s="29" t="str">
        <x:v>ἐργάζομαι</x:v>
      </x:c>
      <x:c r="F386" s="27" t="str">
        <x:v>ergazomai</x:v>
      </x:c>
      <x:c r="G386" s="20" t="str">
        <x:v>to toil (as a task, occupation, etc.), (by implication) effect, be engaged in or with, etc.</x:v>
      </x:c>
      <x:c r="H386" s="20" t="str"/>
      <x:c r="I386" s="21"/>
      <x:c r="J386" s="21" t="str">
        <x:v>Mounce 頻率延伸</x:v>
      </x:c>
      <x:c r="K386" s="21" t="str">
        <x:v>G2038</x:v>
      </x:c>
      <x:c r="L386" s="21" t="str">
        <x:v>否</x:v>
      </x:c>
      <x:c r="M386" s="21" t="str"/>
      <x:c r="N386" s="21" t="str">
        <x:v>source_and_lexicon_matched</x:v>
      </x:c>
      <x:c r="O386" s="21" t="str">
        <x:v>rule_generated_from_official_table</x:v>
      </x:c>
      <x:c r="P386" s="21" t="n">
        <x:v>7</x:v>
      </x:c>
      <x:c r="Q386" s="21" t="str">
        <x:v>https://doxa.billmounce.com/Flashcards%20%28BBG%29.pdf</x:v>
      </x:c>
      <x:c r="R386" s="16" t="str"/>
    </x:row>
    <x:row r="387" ht="28" customHeight="1">
      <x:c r="A387" s="21" t="n">
        <x:v>383</x:v>
      </x:c>
      <x:c r="B387" s="21" t="n">
        <x:f>ROUNDUP(A387/50,0)</x:f>
        <x:v>8</x:v>
      </x:c>
      <x:c r="C387" s="21" t="n">
        <x:f>MOD(A387-1,50)+1</x:f>
        <x:v>33</x:v>
      </x:c>
      <x:c r="D387" s="29" t="str">
        <x:v>εὐλογέω</x:v>
      </x:c>
      <x:c r="E387" s="29" t="str">
        <x:v>εὐλογέω</x:v>
      </x:c>
      <x:c r="F387" s="27" t="str">
        <x:v>eulogeō</x:v>
      </x:c>
      <x:c r="G387" s="20" t="str">
        <x:v>to speak well of, i.e. (religiously) to bless (thank or invoke a benediction upon, prosper)</x:v>
      </x:c>
      <x:c r="H387" s="20" t="str"/>
      <x:c r="I387" s="21"/>
      <x:c r="J387" s="21" t="str">
        <x:v>Mounce 頻率延伸</x:v>
      </x:c>
      <x:c r="K387" s="21" t="str">
        <x:v>G2127</x:v>
      </x:c>
      <x:c r="L387" s="21" t="str">
        <x:v>否</x:v>
      </x:c>
      <x:c r="M387" s="21" t="str"/>
      <x:c r="N387" s="21" t="str">
        <x:v>source_and_lexicon_matched</x:v>
      </x:c>
      <x:c r="O387" s="21" t="str">
        <x:v>rule_generated_from_official_table</x:v>
      </x:c>
      <x:c r="P387" s="21" t="n">
        <x:v>7</x:v>
      </x:c>
      <x:c r="Q387" s="21" t="str">
        <x:v>https://doxa.billmounce.com/Flashcards%20%28BBG%29.pdf</x:v>
      </x:c>
      <x:c r="R387" s="16" t="str"/>
    </x:row>
    <x:row r="388" ht="28" customHeight="1">
      <x:c r="A388" s="21" t="n">
        <x:v>384</x:v>
      </x:c>
      <x:c r="B388" s="21" t="n">
        <x:f>ROUNDUP(A388/50,0)</x:f>
        <x:v>8</x:v>
      </x:c>
      <x:c r="C388" s="21" t="n">
        <x:f>MOD(A388-1,50)+1</x:f>
        <x:v>34</x:v>
      </x:c>
      <x:c r="D388" s="29" t="str">
        <x:v>πάντοτε</x:v>
      </x:c>
      <x:c r="E388" s="29" t="str">
        <x:v>πάντοτε</x:v>
      </x:c>
      <x:c r="F388" s="27" t="str">
        <x:v>pantote</x:v>
      </x:c>
      <x:c r="G388" s="20" t="str">
        <x:v>every when, i.e. at all times</x:v>
      </x:c>
      <x:c r="H388" s="20" t="str"/>
      <x:c r="I388" s="21"/>
      <x:c r="J388" s="21" t="str">
        <x:v>Mounce 頻率延伸</x:v>
      </x:c>
      <x:c r="K388" s="21" t="str">
        <x:v>G3842</x:v>
      </x:c>
      <x:c r="L388" s="21" t="str">
        <x:v>否</x:v>
      </x:c>
      <x:c r="M388" s="21" t="str"/>
      <x:c r="N388" s="21" t="str">
        <x:v>source_and_lexicon_matched</x:v>
      </x:c>
      <x:c r="O388" s="21" t="str">
        <x:v>rule_generated_from_official_table</x:v>
      </x:c>
      <x:c r="P388" s="21" t="n">
        <x:v>7</x:v>
      </x:c>
      <x:c r="Q388" s="21" t="str">
        <x:v>https://doxa.billmounce.com/Flashcards%20%28BBG%29.pdf</x:v>
      </x:c>
      <x:c r="R388" s="16" t="str"/>
    </x:row>
    <x:row r="389" ht="28" customHeight="1">
      <x:c r="A389" s="21" t="n">
        <x:v>385</x:v>
      </x:c>
      <x:c r="B389" s="21" t="n">
        <x:f>ROUNDUP(A389/50,0)</x:f>
        <x:v>8</x:v>
      </x:c>
      <x:c r="C389" s="21" t="n">
        <x:f>MOD(A389-1,50)+1</x:f>
        <x:v>35</x:v>
      </x:c>
      <x:c r="D389" s="29" t="str">
        <x:v>παρίστημι</x:v>
      </x:c>
      <x:c r="E389" s="29" t="str">
        <x:v>παρίστημι</x:v>
      </x:c>
      <x:c r="F389" s="27" t="str">
        <x:v>paristēmi</x:v>
      </x:c>
      <x:c r="G389" s="20" t="str">
        <x:v>to stand beside, i.e. (transitively) to exhibit, proffer, (specially), recommend, (figuratively) substantiate; or (intransitively) to be at hand (or ready), aid</x:v>
      </x:c>
      <x:c r="H389" s="20" t="str"/>
      <x:c r="I389" s="21"/>
      <x:c r="J389" s="21" t="str">
        <x:v>Mounce 頻率延伸</x:v>
      </x:c>
      <x:c r="K389" s="21" t="str">
        <x:v>G3936</x:v>
      </x:c>
      <x:c r="L389" s="21" t="str">
        <x:v>否</x:v>
      </x:c>
      <x:c r="M389" s="21" t="str"/>
      <x:c r="N389" s="21" t="str">
        <x:v>source_and_lexicon_matched</x:v>
      </x:c>
      <x:c r="O389" s="21" t="str">
        <x:v>rule_generated_from_official_table</x:v>
      </x:c>
      <x:c r="P389" s="21" t="n">
        <x:v>7</x:v>
      </x:c>
      <x:c r="Q389" s="21" t="str">
        <x:v>https://doxa.billmounce.com/Flashcards%20%28BBG%29.pdf</x:v>
      </x:c>
      <x:c r="R389" s="16" t="str"/>
    </x:row>
    <x:row r="390" ht="28" customHeight="1">
      <x:c r="A390" s="21" t="n">
        <x:v>386</x:v>
      </x:c>
      <x:c r="B390" s="21" t="n">
        <x:f>ROUNDUP(A390/50,0)</x:f>
        <x:v>8</x:v>
      </x:c>
      <x:c r="C390" s="21" t="n">
        <x:f>MOD(A390-1,50)+1</x:f>
        <x:v>36</x:v>
      </x:c>
      <x:c r="D390" s="29" t="str">
        <x:v>σήμερον</x:v>
      </x:c>
      <x:c r="E390" s="29" t="str">
        <x:v>σήμερον</x:v>
      </x:c>
      <x:c r="F390" s="27" t="str">
        <x:v>sēmeron</x:v>
      </x:c>
      <x:c r="G390" s="20" t="str">
        <x:v>on the (i.e. this) day (or night current or just passed); generally, now (i.e. at present, hitherto)</x:v>
      </x:c>
      <x:c r="H390" s="20" t="str"/>
      <x:c r="I390" s="21"/>
      <x:c r="J390" s="21" t="str">
        <x:v>Mounce 頻率延伸</x:v>
      </x:c>
      <x:c r="K390" s="21" t="str">
        <x:v>G4594</x:v>
      </x:c>
      <x:c r="L390" s="21" t="str">
        <x:v>否</x:v>
      </x:c>
      <x:c r="M390" s="21" t="str"/>
      <x:c r="N390" s="21" t="str">
        <x:v>source_and_lexicon_matched</x:v>
      </x:c>
      <x:c r="O390" s="21" t="str">
        <x:v>rule_generated_from_official_table</x:v>
      </x:c>
      <x:c r="P390" s="21" t="n">
        <x:v>7</x:v>
      </x:c>
      <x:c r="Q390" s="21" t="str">
        <x:v>https://doxa.billmounce.com/Flashcards%20%28BBG%29.pdf</x:v>
      </x:c>
      <x:c r="R390" s="16" t="str"/>
    </x:row>
    <x:row r="391" ht="28" customHeight="1">
      <x:c r="A391" s="21" t="n">
        <x:v>387</x:v>
      </x:c>
      <x:c r="B391" s="21" t="n">
        <x:f>ROUNDUP(A391/50,0)</x:f>
        <x:v>8</x:v>
      </x:c>
      <x:c r="C391" s="21" t="n">
        <x:f>MOD(A391-1,50)+1</x:f>
        <x:v>37</x:v>
      </x:c>
      <x:c r="D391" s="29" t="str">
        <x:v>τέσσαρες, -ων</x:v>
      </x:c>
      <x:c r="E391" s="29" t="str">
        <x:v>τέσσαρες</x:v>
      </x:c>
      <x:c r="F391" s="27" t="str">
        <x:v>tessares</x:v>
      </x:c>
      <x:c r="G391" s="20" t="str">
        <x:v>four</x:v>
      </x:c>
      <x:c r="H391" s="20" t="str"/>
      <x:c r="I391" s="21"/>
      <x:c r="J391" s="21" t="str">
        <x:v>Mounce 頻率延伸</x:v>
      </x:c>
      <x:c r="K391" s="21" t="str">
        <x:v>G5064</x:v>
      </x:c>
      <x:c r="L391" s="21" t="str">
        <x:v>否</x:v>
      </x:c>
      <x:c r="M391" s="21" t="str"/>
      <x:c r="N391" s="21" t="str">
        <x:v>source_and_lexicon_matched</x:v>
      </x:c>
      <x:c r="O391" s="21" t="str">
        <x:v>rule_generated_from_official_table</x:v>
      </x:c>
      <x:c r="P391" s="21" t="n">
        <x:v>7</x:v>
      </x:c>
      <x:c r="Q391" s="21" t="str">
        <x:v>https://doxa.billmounce.com/Flashcards%20%28BBG%29.pdf</x:v>
      </x:c>
      <x:c r="R391" s="16" t="str"/>
    </x:row>
    <x:row r="392" ht="28" customHeight="1">
      <x:c r="A392" s="21" t="n">
        <x:v>388</x:v>
      </x:c>
      <x:c r="B392" s="21" t="n">
        <x:f>ROUNDUP(A392/50,0)</x:f>
        <x:v>8</x:v>
      </x:c>
      <x:c r="C392" s="21" t="n">
        <x:f>MOD(A392-1,50)+1</x:f>
        <x:v>38</x:v>
      </x:c>
      <x:c r="D392" s="29" t="str">
        <x:v>τιμή, -ῆς, ἡ</x:v>
      </x:c>
      <x:c r="E392" s="29" t="str">
        <x:v>τιμή</x:v>
      </x:c>
      <x:c r="F392" s="27" t="str">
        <x:v>timē</x:v>
      </x:c>
      <x:c r="G392" s="20" t="str">
        <x:v>a value, i.e. money paid, or (concretely and collectively) valuables; by analogy, esteem (especially of the highest degree), or the dignity itself</x:v>
      </x:c>
      <x:c r="H392" s="20" t="str"/>
      <x:c r="I392" s="21"/>
      <x:c r="J392" s="21" t="str">
        <x:v>Mounce 頻率延伸</x:v>
      </x:c>
      <x:c r="K392" s="21" t="str">
        <x:v>G5092</x:v>
      </x:c>
      <x:c r="L392" s="21" t="str">
        <x:v>否</x:v>
      </x:c>
      <x:c r="M392" s="21" t="str"/>
      <x:c r="N392" s="21" t="str">
        <x:v>source_and_lexicon_matched</x:v>
      </x:c>
      <x:c r="O392" s="21" t="str">
        <x:v>rule_generated_from_official_table</x:v>
      </x:c>
      <x:c r="P392" s="21" t="n">
        <x:v>7</x:v>
      </x:c>
      <x:c r="Q392" s="21" t="str">
        <x:v>https://doxa.billmounce.com/Flashcards%20%28BBG%29.pdf</x:v>
      </x:c>
      <x:c r="R392" s="16" t="str"/>
    </x:row>
    <x:row r="393" ht="28" customHeight="1">
      <x:c r="A393" s="21" t="n">
        <x:v>389</x:v>
      </x:c>
      <x:c r="B393" s="21" t="n">
        <x:f>ROUNDUP(A393/50,0)</x:f>
        <x:v>8</x:v>
      </x:c>
      <x:c r="C393" s="21" t="n">
        <x:f>MOD(A393-1,50)+1</x:f>
        <x:v>39</x:v>
      </x:c>
      <x:c r="D393" s="29" t="str">
        <x:v>χωρίς</x:v>
      </x:c>
      <x:c r="E393" s="29" t="str">
        <x:v>χωρίς</x:v>
      </x:c>
      <x:c r="F393" s="27" t="str">
        <x:v>chōris</x:v>
      </x:c>
      <x:c r="G393" s="20" t="str">
        <x:v>at a space, i.e. separately or apart from (often as preposition)</x:v>
      </x:c>
      <x:c r="H393" s="20" t="str"/>
      <x:c r="I393" s="21"/>
      <x:c r="J393" s="21" t="str">
        <x:v>Mounce 頻率延伸</x:v>
      </x:c>
      <x:c r="K393" s="21" t="str">
        <x:v>G5565</x:v>
      </x:c>
      <x:c r="L393" s="21" t="str">
        <x:v>否</x:v>
      </x:c>
      <x:c r="M393" s="21" t="str"/>
      <x:c r="N393" s="21" t="str">
        <x:v>source_and_lexicon_matched</x:v>
      </x:c>
      <x:c r="O393" s="21" t="str">
        <x:v>rule_generated_from_official_table</x:v>
      </x:c>
      <x:c r="P393" s="21" t="n">
        <x:v>7</x:v>
      </x:c>
      <x:c r="Q393" s="21" t="str">
        <x:v>https://doxa.billmounce.com/Flashcards%20%28BBG%29.pdf</x:v>
      </x:c>
      <x:c r="R393" s="16" t="str"/>
    </x:row>
    <x:row r="394" ht="28" customHeight="1">
      <x:c r="A394" s="21" t="n">
        <x:v>390</x:v>
      </x:c>
      <x:c r="B394" s="21" t="n">
        <x:f>ROUNDUP(A394/50,0)</x:f>
        <x:v>8</x:v>
      </x:c>
      <x:c r="C394" s="21" t="n">
        <x:f>MOD(A394-1,50)+1</x:f>
        <x:v>40</x:v>
      </x:c>
      <x:c r="D394" s="29" t="str">
        <x:v>ἑτοιμάζω</x:v>
      </x:c>
      <x:c r="E394" s="29" t="str">
        <x:v>ἑτοιμάζω</x:v>
      </x:c>
      <x:c r="F394" s="27" t="str">
        <x:v>hetoimazō</x:v>
      </x:c>
      <x:c r="G394" s="20" t="str">
        <x:v>to prepare</x:v>
      </x:c>
      <x:c r="H394" s="20" t="str"/>
      <x:c r="I394" s="21"/>
      <x:c r="J394" s="21" t="str">
        <x:v>Mounce 頻率延伸</x:v>
      </x:c>
      <x:c r="K394" s="21" t="str">
        <x:v>G2090</x:v>
      </x:c>
      <x:c r="L394" s="21" t="str">
        <x:v>否</x:v>
      </x:c>
      <x:c r="M394" s="21" t="str"/>
      <x:c r="N394" s="21" t="str">
        <x:v>source_and_lexicon_matched</x:v>
      </x:c>
      <x:c r="O394" s="21" t="str">
        <x:v>rule_generated_from_official_table</x:v>
      </x:c>
      <x:c r="P394" s="21" t="n">
        <x:v>7</x:v>
      </x:c>
      <x:c r="Q394" s="21" t="str">
        <x:v>https://doxa.billmounce.com/Flashcards%20%28BBG%29.pdf</x:v>
      </x:c>
      <x:c r="R394" s="16" t="str"/>
    </x:row>
    <x:row r="395" ht="28" customHeight="1">
      <x:c r="A395" s="21" t="n">
        <x:v>391</x:v>
      </x:c>
      <x:c r="B395" s="21" t="n">
        <x:f>ROUNDUP(A395/50,0)</x:f>
        <x:v>8</x:v>
      </x:c>
      <x:c r="C395" s="21" t="n">
        <x:f>MOD(A395-1,50)+1</x:f>
        <x:v>41</x:v>
      </x:c>
      <x:c r="D395" s="29" t="str">
        <x:v>κλαίω</x:v>
      </x:c>
      <x:c r="E395" s="29" t="str">
        <x:v>κλαίω</x:v>
      </x:c>
      <x:c r="F395" s="27" t="str">
        <x:v>klaiō</x:v>
      </x:c>
      <x:c r="G395" s="20" t="str">
        <x:v>to sob, i.e. wail aloud (whereas 1145 is rather to cry silently)</x:v>
      </x:c>
      <x:c r="H395" s="20" t="str"/>
      <x:c r="I395" s="21"/>
      <x:c r="J395" s="21" t="str">
        <x:v>Mounce 頻率延伸</x:v>
      </x:c>
      <x:c r="K395" s="21" t="str">
        <x:v>G2799</x:v>
      </x:c>
      <x:c r="L395" s="21" t="str">
        <x:v>否</x:v>
      </x:c>
      <x:c r="M395" s="21" t="str"/>
      <x:c r="N395" s="21" t="str">
        <x:v>source_and_lexicon_matched</x:v>
      </x:c>
      <x:c r="O395" s="21" t="str">
        <x:v>rule_generated_from_official_table</x:v>
      </x:c>
      <x:c r="P395" s="21" t="n">
        <x:v>7</x:v>
      </x:c>
      <x:c r="Q395" s="21" t="str">
        <x:v>https://doxa.billmounce.com/Flashcards%20%28BBG%29.pdf</x:v>
      </x:c>
      <x:c r="R395" s="16" t="str"/>
    </x:row>
    <x:row r="396" ht="28" customHeight="1">
      <x:c r="A396" s="21" t="n">
        <x:v>392</x:v>
      </x:c>
      <x:c r="B396" s="21" t="n">
        <x:f>ROUNDUP(A396/50,0)</x:f>
        <x:v>8</x:v>
      </x:c>
      <x:c r="C396" s="21" t="n">
        <x:f>MOD(A396-1,50)+1</x:f>
        <x:v>42</x:v>
      </x:c>
      <x:c r="D396" s="29" t="str">
        <x:v>λογίζομαι</x:v>
      </x:c>
      <x:c r="E396" s="29" t="str">
        <x:v>λογίζομαι</x:v>
      </x:c>
      <x:c r="F396" s="27" t="str">
        <x:v>logizomai</x:v>
      </x:c>
      <x:c r="G396" s="20" t="str">
        <x:v>to take an inventory, i.e. estimate (literally or figuratively)</x:v>
      </x:c>
      <x:c r="H396" s="20" t="str"/>
      <x:c r="I396" s="21"/>
      <x:c r="J396" s="21" t="str">
        <x:v>Mounce 頻率延伸</x:v>
      </x:c>
      <x:c r="K396" s="21" t="str">
        <x:v>G3049</x:v>
      </x:c>
      <x:c r="L396" s="21" t="str">
        <x:v>否</x:v>
      </x:c>
      <x:c r="M396" s="21" t="str"/>
      <x:c r="N396" s="21" t="str">
        <x:v>source_and_lexicon_matched</x:v>
      </x:c>
      <x:c r="O396" s="21" t="str">
        <x:v>rule_generated_from_official_table</x:v>
      </x:c>
      <x:c r="P396" s="21" t="n">
        <x:v>7</x:v>
      </x:c>
      <x:c r="Q396" s="21" t="str">
        <x:v>https://doxa.billmounce.com/Flashcards%20%28BBG%29.pdf</x:v>
      </x:c>
      <x:c r="R396" s="16" t="str"/>
    </x:row>
    <x:row r="397" ht="28" customHeight="1">
      <x:c r="A397" s="21" t="n">
        <x:v>393</x:v>
      </x:c>
      <x:c r="B397" s="21" t="n">
        <x:f>ROUNDUP(A397/50,0)</x:f>
        <x:v>8</x:v>
      </x:c>
      <x:c r="C397" s="21" t="n">
        <x:f>MOD(A397-1,50)+1</x:f>
        <x:v>43</x:v>
      </x:c>
      <x:c r="D397" s="29" t="str">
        <x:v>μισέω</x:v>
      </x:c>
      <x:c r="E397" s="29" t="str">
        <x:v>μισέω</x:v>
      </x:c>
      <x:c r="F397" s="27" t="str">
        <x:v>miseō</x:v>
      </x:c>
      <x:c r="G397" s="20" t="str">
        <x:v>to detest (especially to persecute); by extension, to love less</x:v>
      </x:c>
      <x:c r="H397" s="20" t="str"/>
      <x:c r="I397" s="21"/>
      <x:c r="J397" s="21" t="str">
        <x:v>Mounce 頻率延伸</x:v>
      </x:c>
      <x:c r="K397" s="21" t="str">
        <x:v>G3404</x:v>
      </x:c>
      <x:c r="L397" s="21" t="str">
        <x:v>否</x:v>
      </x:c>
      <x:c r="M397" s="21" t="str"/>
      <x:c r="N397" s="21" t="str">
        <x:v>source_and_lexicon_matched</x:v>
      </x:c>
      <x:c r="O397" s="21" t="str">
        <x:v>rule_generated_from_official_table</x:v>
      </x:c>
      <x:c r="P397" s="21" t="n">
        <x:v>7</x:v>
      </x:c>
      <x:c r="Q397" s="21" t="str">
        <x:v>https://doxa.billmounce.com/Flashcards%20%28BBG%29.pdf</x:v>
      </x:c>
      <x:c r="R397" s="16" t="str"/>
    </x:row>
    <x:row r="398" ht="28" customHeight="1">
      <x:c r="A398" s="21" t="n">
        <x:v>394</x:v>
      </x:c>
      <x:c r="B398" s="21" t="n">
        <x:f>ROUNDUP(A398/50,0)</x:f>
        <x:v>8</x:v>
      </x:c>
      <x:c r="C398" s="21" t="n">
        <x:f>MOD(A398-1,50)+1</x:f>
        <x:v>44</x:v>
      </x:c>
      <x:c r="D398" s="29" t="str">
        <x:v>μνημεῖον, -ου, τό</x:v>
      </x:c>
      <x:c r="E398" s="29" t="str">
        <x:v>μνημεῖον</x:v>
      </x:c>
      <x:c r="F398" s="27" t="str">
        <x:v>mnēmeion</x:v>
      </x:c>
      <x:c r="G398" s="20" t="str">
        <x:v>a remembrance, i.e. cenotaph (place of interment)</x:v>
      </x:c>
      <x:c r="H398" s="20" t="str"/>
      <x:c r="I398" s="21"/>
      <x:c r="J398" s="21" t="str">
        <x:v>Mounce 頻率延伸</x:v>
      </x:c>
      <x:c r="K398" s="21" t="str">
        <x:v>G3419</x:v>
      </x:c>
      <x:c r="L398" s="21" t="str">
        <x:v>否</x:v>
      </x:c>
      <x:c r="M398" s="21" t="str"/>
      <x:c r="N398" s="21" t="str">
        <x:v>source_and_lexicon_matched</x:v>
      </x:c>
      <x:c r="O398" s="21" t="str">
        <x:v>rule_generated_from_official_table</x:v>
      </x:c>
      <x:c r="P398" s="21" t="n">
        <x:v>7</x:v>
      </x:c>
      <x:c r="Q398" s="21" t="str">
        <x:v>https://doxa.billmounce.com/Flashcards%20%28BBG%29.pdf</x:v>
      </x:c>
      <x:c r="R398" s="16" t="str"/>
    </x:row>
    <x:row r="399" ht="28" customHeight="1">
      <x:c r="A399" s="21" t="n">
        <x:v>395</x:v>
      </x:c>
      <x:c r="B399" s="21" t="n">
        <x:f>ROUNDUP(A399/50,0)</x:f>
        <x:v>8</x:v>
      </x:c>
      <x:c r="C399" s="21" t="n">
        <x:f>MOD(A399-1,50)+1</x:f>
        <x:v>45</x:v>
      </x:c>
      <x:c r="D399" s="29" t="str">
        <x:v>οἰκοδομέω</x:v>
      </x:c>
      <x:c r="E399" s="29" t="str">
        <x:v>οἰκοδομέω</x:v>
      </x:c>
      <x:c r="F399" s="27" t="str">
        <x:v>oikodomeō</x:v>
      </x:c>
      <x:c r="G399" s="20" t="str">
        <x:v>to be a house-builder, i.e. construct or (figuratively) confirm</x:v>
      </x:c>
      <x:c r="H399" s="20" t="str"/>
      <x:c r="I399" s="21"/>
      <x:c r="J399" s="21" t="str">
        <x:v>Mounce 頻率延伸</x:v>
      </x:c>
      <x:c r="K399" s="21" t="str">
        <x:v>G3618</x:v>
      </x:c>
      <x:c r="L399" s="21" t="str">
        <x:v>否</x:v>
      </x:c>
      <x:c r="M399" s="21" t="str"/>
      <x:c r="N399" s="21" t="str">
        <x:v>source_and_lexicon_matched</x:v>
      </x:c>
      <x:c r="O399" s="21" t="str">
        <x:v>rule_generated_from_official_table</x:v>
      </x:c>
      <x:c r="P399" s="21" t="n">
        <x:v>7</x:v>
      </x:c>
      <x:c r="Q399" s="21" t="str">
        <x:v>https://doxa.billmounce.com/Flashcards%20%28BBG%29.pdf</x:v>
      </x:c>
      <x:c r="R399" s="16" t="str"/>
    </x:row>
    <x:row r="400" ht="28" customHeight="1">
      <x:c r="A400" s="21" t="n">
        <x:v>396</x:v>
      </x:c>
      <x:c r="B400" s="21" t="n">
        <x:f>ROUNDUP(A400/50,0)</x:f>
        <x:v>8</x:v>
      </x:c>
      <x:c r="C400" s="21" t="n">
        <x:f>MOD(A400-1,50)+1</x:f>
        <x:v>46</x:v>
      </x:c>
      <x:c r="D400" s="29" t="str">
        <x:v>ὀλίγος, -η, -ον</x:v>
      </x:c>
      <x:c r="E400" s="29" t="str">
        <x:v>ὀλίγος</x:v>
      </x:c>
      <x:c r="F400" s="27" t="str">
        <x:v>oligos</x:v>
      </x:c>
      <x:c r="G400" s="20" t="str">
        <x:v>puny (in extent, degree, number, duration or value); especially neuter (adverbially) somewhat</x:v>
      </x:c>
      <x:c r="H400" s="20" t="str"/>
      <x:c r="I400" s="21"/>
      <x:c r="J400" s="21" t="str">
        <x:v>Mounce 頻率延伸</x:v>
      </x:c>
      <x:c r="K400" s="21" t="str">
        <x:v>G3641</x:v>
      </x:c>
      <x:c r="L400" s="21" t="str">
        <x:v>否</x:v>
      </x:c>
      <x:c r="M400" s="21" t="str"/>
      <x:c r="N400" s="21" t="str">
        <x:v>source_and_lexicon_matched</x:v>
      </x:c>
      <x:c r="O400" s="21" t="str">
        <x:v>rule_generated_from_official_table</x:v>
      </x:c>
      <x:c r="P400" s="21" t="n">
        <x:v>7</x:v>
      </x:c>
      <x:c r="Q400" s="21" t="str">
        <x:v>https://doxa.billmounce.com/Flashcards%20%28BBG%29.pdf</x:v>
      </x:c>
      <x:c r="R400" s="16" t="str"/>
    </x:row>
    <x:row r="401" ht="28" customHeight="1">
      <x:c r="A401" s="21" t="n">
        <x:v>397</x:v>
      </x:c>
      <x:c r="B401" s="21" t="n">
        <x:f>ROUNDUP(A401/50,0)</x:f>
        <x:v>8</x:v>
      </x:c>
      <x:c r="C401" s="21" t="n">
        <x:f>MOD(A401-1,50)+1</x:f>
        <x:v>47</x:v>
      </x:c>
      <x:c r="D401" s="29" t="str">
        <x:v>τέλος, -ους, τό</x:v>
      </x:c>
      <x:c r="E401" s="29" t="str">
        <x:v>τέλος</x:v>
      </x:c>
      <x:c r="F401" s="27" t="str">
        <x:v>telos</x:v>
      </x:c>
      <x:c r="G401" s="20" t="str">
        <x:v>properly, the point aimed at as a limit, i.e. (by implication) the conclusion of an act or state (termination (literally, figuratively or indefinitely), result (immediate, ultimate or prophetic), purpose); specially, an impost or levy (as paid)</x:v>
      </x:c>
      <x:c r="H401" s="20" t="str"/>
      <x:c r="I401" s="21"/>
      <x:c r="J401" s="21" t="str">
        <x:v>Mounce 頻率延伸</x:v>
      </x:c>
      <x:c r="K401" s="21" t="str">
        <x:v>G5056</x:v>
      </x:c>
      <x:c r="L401" s="21" t="str">
        <x:v>否</x:v>
      </x:c>
      <x:c r="M401" s="21" t="str"/>
      <x:c r="N401" s="21" t="str">
        <x:v>source_and_lexicon_matched</x:v>
      </x:c>
      <x:c r="O401" s="21" t="str">
        <x:v>rule_generated_from_official_table</x:v>
      </x:c>
      <x:c r="P401" s="21" t="n">
        <x:v>7</x:v>
      </x:c>
      <x:c r="Q401" s="21" t="str">
        <x:v>https://doxa.billmounce.com/Flashcards%20%28BBG%29.pdf</x:v>
      </x:c>
      <x:c r="R401" s="16" t="str"/>
    </x:row>
    <x:row r="402" ht="28" customHeight="1">
      <x:c r="A402" s="21" t="n">
        <x:v>398</x:v>
      </x:c>
      <x:c r="B402" s="21" t="n">
        <x:f>ROUNDUP(A402/50,0)</x:f>
        <x:v>8</x:v>
      </x:c>
      <x:c r="C402" s="21" t="n">
        <x:f>MOD(A402-1,50)+1</x:f>
        <x:v>48</x:v>
      </x:c>
      <x:c r="D402" s="29" t="str">
        <x:v>ἅπτω</x:v>
      </x:c>
      <x:c r="E402" s="29" t="str">
        <x:v>ἅπτω</x:v>
      </x:c>
      <x:c r="F402" s="27" t="str">
        <x:v>haptō</x:v>
      </x:c>
      <x:c r="G402" s="20" t="str">
        <x:v>properly, to fasten to, i.e. (specially) to set on fire</x:v>
      </x:c>
      <x:c r="H402" s="20" t="str"/>
      <x:c r="I402" s="21"/>
      <x:c r="J402" s="21" t="str">
        <x:v>Mounce 頻率延伸</x:v>
      </x:c>
      <x:c r="K402" s="21" t="str">
        <x:v>G681</x:v>
      </x:c>
      <x:c r="L402" s="21" t="str">
        <x:v>否</x:v>
      </x:c>
      <x:c r="M402" s="21" t="str"/>
      <x:c r="N402" s="21" t="str">
        <x:v>source_and_lexicon_matched</x:v>
      </x:c>
      <x:c r="O402" s="21" t="str">
        <x:v>rule_generated_from_official_table</x:v>
      </x:c>
      <x:c r="P402" s="21" t="n">
        <x:v>7</x:v>
      </x:c>
      <x:c r="Q402" s="21" t="str">
        <x:v>https://doxa.billmounce.com/Flashcards%20%28BBG%29.pdf</x:v>
      </x:c>
      <x:c r="R402" s="16" t="str"/>
    </x:row>
    <x:row r="403" ht="28" customHeight="1">
      <x:c r="A403" s="21" t="n">
        <x:v>399</x:v>
      </x:c>
      <x:c r="B403" s="21" t="n">
        <x:f>ROUNDUP(A403/50,0)</x:f>
        <x:v>8</x:v>
      </x:c>
      <x:c r="C403" s="21" t="n">
        <x:f>MOD(A403-1,50)+1</x:f>
        <x:v>49</x:v>
      </x:c>
      <x:c r="D403" s="29" t="str">
        <x:v>ἐπιτίθημι</x:v>
      </x:c>
      <x:c r="E403" s="29" t="str">
        <x:v>ἐπιτίθημι</x:v>
      </x:c>
      <x:c r="F403" s="27" t="str">
        <x:v>epitithēmi</x:v>
      </x:c>
      <x:c r="G403" s="20" t="str">
        <x:v>to impose (in a friendly or hostile sense)</x:v>
      </x:c>
      <x:c r="H403" s="20" t="str"/>
      <x:c r="I403" s="21"/>
      <x:c r="J403" s="21" t="str">
        <x:v>Mounce 頻率延伸</x:v>
      </x:c>
      <x:c r="K403" s="21" t="str">
        <x:v>G2007</x:v>
      </x:c>
      <x:c r="L403" s="21" t="str">
        <x:v>否</x:v>
      </x:c>
      <x:c r="M403" s="21" t="str"/>
      <x:c r="N403" s="21" t="str">
        <x:v>source_and_lexicon_matched</x:v>
      </x:c>
      <x:c r="O403" s="21" t="str">
        <x:v>rule_generated_from_official_table</x:v>
      </x:c>
      <x:c r="P403" s="21" t="n">
        <x:v>7</x:v>
      </x:c>
      <x:c r="Q403" s="21" t="str">
        <x:v>https://doxa.billmounce.com/Flashcards%20%28BBG%29.pdf</x:v>
      </x:c>
      <x:c r="R403" s="16" t="str"/>
    </x:row>
    <x:row r="404" ht="28" customHeight="1">
      <x:c r="A404" s="21" t="n">
        <x:v>400</x:v>
      </x:c>
      <x:c r="B404" s="21" t="n">
        <x:f>ROUNDUP(A404/50,0)</x:f>
        <x:v>8</x:v>
      </x:c>
      <x:c r="C404" s="21" t="n">
        <x:f>MOD(A404-1,50)+1</x:f>
        <x:v>50</x:v>
      </x:c>
      <x:c r="D404" s="29" t="str">
        <x:v>θύρα, -ας, ἡ</x:v>
      </x:c>
      <x:c r="E404" s="29" t="str">
        <x:v>θύρα</x:v>
      </x:c>
      <x:c r="F404" s="27" t="str">
        <x:v>thura</x:v>
      </x:c>
      <x:c r="G404" s="20" t="str">
        <x:v>a portal or entrance (the opening or the closure, literally or figuratively)</x:v>
      </x:c>
      <x:c r="H404" s="20" t="str"/>
      <x:c r="I404" s="21"/>
      <x:c r="J404" s="21" t="str">
        <x:v>Mounce 頻率延伸</x:v>
      </x:c>
      <x:c r="K404" s="21" t="str">
        <x:v>G2374</x:v>
      </x:c>
      <x:c r="L404" s="21" t="str">
        <x:v>否</x:v>
      </x:c>
      <x:c r="M404" s="21" t="str"/>
      <x:c r="N404" s="21" t="str">
        <x:v>source_and_lexicon_matched</x:v>
      </x:c>
      <x:c r="O404" s="21" t="str">
        <x:v>rule_generated_from_official_table</x:v>
      </x:c>
      <x:c r="P404" s="21" t="n">
        <x:v>7</x:v>
      </x:c>
      <x:c r="Q404" s="21" t="str">
        <x:v>https://doxa.billmounce.com/Flashcards%20%28BBG%29.pdf</x:v>
      </x:c>
      <x:c r="R404" s="16" t="str"/>
    </x:row>
    <x:row r="405" ht="28" customHeight="1">
      <x:c r="A405" s="21" t="n">
        <x:v>401</x:v>
      </x:c>
      <x:c r="B405" s="21" t="n">
        <x:f>ROUNDUP(A405/50,0)</x:f>
        <x:v>9</x:v>
      </x:c>
      <x:c r="C405" s="21" t="n">
        <x:f>MOD(A405-1,50)+1</x:f>
        <x:v>1</x:v>
      </x:c>
      <x:c r="D405" s="29" t="str">
        <x:v>ἱκανός, -ή, -όν</x:v>
      </x:c>
      <x:c r="E405" s="29" t="str">
        <x:v>ἱκανός</x:v>
      </x:c>
      <x:c r="F405" s="27" t="str">
        <x:v>hikanos</x:v>
      </x:c>
      <x:c r="G405" s="20" t="str">
        <x:v>competent (as if coming in season), i.e. ample (in amount) or fit (in character)</x:v>
      </x:c>
      <x:c r="H405" s="20" t="str"/>
      <x:c r="I405" s="21"/>
      <x:c r="J405" s="21" t="str">
        <x:v>Mounce 頻率延伸</x:v>
      </x:c>
      <x:c r="K405" s="21" t="str">
        <x:v>G2425</x:v>
      </x:c>
      <x:c r="L405" s="21" t="str">
        <x:v>否</x:v>
      </x:c>
      <x:c r="M405" s="21" t="str"/>
      <x:c r="N405" s="21" t="str">
        <x:v>source_and_lexicon_matched</x:v>
      </x:c>
      <x:c r="O405" s="21" t="str">
        <x:v>rule_generated_from_official_table</x:v>
      </x:c>
      <x:c r="P405" s="21" t="n">
        <x:v>7</x:v>
      </x:c>
      <x:c r="Q405" s="21" t="str">
        <x:v>https://doxa.billmounce.com/Flashcards%20%28BBG%29.pdf</x:v>
      </x:c>
      <x:c r="R405" s="16" t="str"/>
    </x:row>
    <x:row r="406" ht="28" customHeight="1">
      <x:c r="A406" s="21" t="n">
        <x:v>402</x:v>
      </x:c>
      <x:c r="B406" s="21" t="n">
        <x:f>ROUNDUP(A406/50,0)</x:f>
        <x:v>9</x:v>
      </x:c>
      <x:c r="C406" s="21" t="n">
        <x:f>MOD(A406-1,50)+1</x:f>
        <x:v>2</x:v>
      </x:c>
      <x:c r="D406" s="29" t="str">
        <x:v>περισσεύω</x:v>
      </x:c>
      <x:c r="E406" s="29" t="str">
        <x:v>περισσεύω</x:v>
      </x:c>
      <x:c r="F406" s="27" t="str">
        <x:v>perisseuō</x:v>
      </x:c>
      <x:c r="G406" s="20" t="str">
        <x:v>to superabound (in quantity or quality), be in excess, be superfluous; also (transitively) to cause to superabound or excel</x:v>
      </x:c>
      <x:c r="H406" s="20" t="str"/>
      <x:c r="I406" s="21"/>
      <x:c r="J406" s="21" t="str">
        <x:v>Mounce 頻率延伸</x:v>
      </x:c>
      <x:c r="K406" s="21" t="str">
        <x:v>G4052</x:v>
      </x:c>
      <x:c r="L406" s="21" t="str">
        <x:v>否</x:v>
      </x:c>
      <x:c r="M406" s="21" t="str"/>
      <x:c r="N406" s="21" t="str">
        <x:v>source_and_lexicon_matched</x:v>
      </x:c>
      <x:c r="O406" s="21" t="str">
        <x:v>rule_generated_from_official_table</x:v>
      </x:c>
      <x:c r="P406" s="21" t="n">
        <x:v>7</x:v>
      </x:c>
      <x:c r="Q406" s="21" t="str">
        <x:v>https://doxa.billmounce.com/Flashcards%20%28BBG%29.pdf</x:v>
      </x:c>
      <x:c r="R406" s="16" t="str"/>
    </x:row>
    <x:row r="407" ht="28" customHeight="1">
      <x:c r="A407" s="21" t="n">
        <x:v>403</x:v>
      </x:c>
      <x:c r="B407" s="21" t="n">
        <x:f>ROUNDUP(A407/50,0)</x:f>
        <x:v>9</x:v>
      </x:c>
      <x:c r="C407" s="21" t="n">
        <x:f>MOD(A407-1,50)+1</x:f>
        <x:v>3</x:v>
      </x:c>
      <x:c r="D407" s="29" t="str">
        <x:v>πλανάω</x:v>
      </x:c>
      <x:c r="E407" s="29" t="str">
        <x:v>πλανάω</x:v>
      </x:c>
      <x:c r="F407" s="27" t="str">
        <x:v>planaō</x:v>
      </x:c>
      <x:c r="G407" s="20" t="str">
        <x:v>to (properly, cause to) roam (from safety, truth, or virtue)</x:v>
      </x:c>
      <x:c r="H407" s="20" t="str"/>
      <x:c r="I407" s="21"/>
      <x:c r="J407" s="21" t="str">
        <x:v>Mounce 頻率延伸</x:v>
      </x:c>
      <x:c r="K407" s="21" t="str">
        <x:v>G4105</x:v>
      </x:c>
      <x:c r="L407" s="21" t="str">
        <x:v>否</x:v>
      </x:c>
      <x:c r="M407" s="21" t="str"/>
      <x:c r="N407" s="21" t="str">
        <x:v>source_and_lexicon_matched</x:v>
      </x:c>
      <x:c r="O407" s="21" t="str">
        <x:v>rule_generated_from_official_table</x:v>
      </x:c>
      <x:c r="P407" s="21" t="n">
        <x:v>7</x:v>
      </x:c>
      <x:c r="Q407" s="21" t="str">
        <x:v>https://doxa.billmounce.com/Flashcards%20%28BBG%29.pdf</x:v>
      </x:c>
      <x:c r="R407" s="16" t="str"/>
    </x:row>
    <x:row r="408" ht="28" customHeight="1">
      <x:c r="A408" s="21" t="n">
        <x:v>404</x:v>
      </x:c>
      <x:c r="B408" s="21" t="n">
        <x:f>ROUNDUP(A408/50,0)</x:f>
        <x:v>9</x:v>
      </x:c>
      <x:c r="C408" s="21" t="n">
        <x:f>MOD(A408-1,50)+1</x:f>
        <x:v>4</x:v>
      </x:c>
      <x:c r="D408" s="29" t="str">
        <x:v>πράσσω</x:v>
      </x:c>
      <x:c r="E408" s="29" t="str">
        <x:v>πράσσω</x:v>
      </x:c>
      <x:c r="F408" s="27" t="str">
        <x:v>prassō</x:v>
      </x:c>
      <x:c r="G408" s="20" t="str">
        <x:v>to "practise", i.e. perform repeatedly or habitually (thus differing from G4160 (ποιέω), which properly refers to a single act); by implication, to execute, accomplish, etc.; specially, to collect (dues), fare (personally)</x:v>
      </x:c>
      <x:c r="H408" s="20" t="str"/>
      <x:c r="I408" s="21"/>
      <x:c r="J408" s="21" t="str">
        <x:v>Mounce 頻率延伸</x:v>
      </x:c>
      <x:c r="K408" s="21" t="str">
        <x:v>G4238</x:v>
      </x:c>
      <x:c r="L408" s="21" t="str">
        <x:v>否</x:v>
      </x:c>
      <x:c r="M408" s="21" t="str"/>
      <x:c r="N408" s="21" t="str">
        <x:v>source_and_lexicon_matched</x:v>
      </x:c>
      <x:c r="O408" s="21" t="str">
        <x:v>rule_generated_from_official_table</x:v>
      </x:c>
      <x:c r="P408" s="21" t="n">
        <x:v>7</x:v>
      </x:c>
      <x:c r="Q408" s="21" t="str">
        <x:v>https://doxa.billmounce.com/Flashcards%20%28BBG%29.pdf</x:v>
      </x:c>
      <x:c r="R408" s="16" t="str"/>
    </x:row>
    <x:row r="409" ht="28" customHeight="1">
      <x:c r="A409" s="21" t="n">
        <x:v>405</x:v>
      </x:c>
      <x:c r="B409" s="21" t="n">
        <x:f>ROUNDUP(A409/50,0)</x:f>
        <x:v>9</x:v>
      </x:c>
      <x:c r="C409" s="21" t="n">
        <x:f>MOD(A409-1,50)+1</x:f>
        <x:v>5</x:v>
      </x:c>
      <x:c r="D409" s="29" t="str">
        <x:v>πρόβατον, -ου, τό</x:v>
      </x:c>
      <x:c r="E409" s="29" t="str">
        <x:v>πρόβατον</x:v>
      </x:c>
      <x:c r="F409" s="27" t="str">
        <x:v>probaton</x:v>
      </x:c>
      <x:c r="G409" s="20" t="str">
        <x:v>something that walks forward (a quadruped), i.e. (specially), a sheep (literally or figuratively)</x:v>
      </x:c>
      <x:c r="H409" s="20" t="str"/>
      <x:c r="I409" s="21"/>
      <x:c r="J409" s="21" t="str">
        <x:v>Mounce 頻率延伸</x:v>
      </x:c>
      <x:c r="K409" s="21" t="str">
        <x:v>G4263</x:v>
      </x:c>
      <x:c r="L409" s="21" t="str">
        <x:v>否</x:v>
      </x:c>
      <x:c r="M409" s="21" t="str"/>
      <x:c r="N409" s="21" t="str">
        <x:v>source_and_lexicon_matched</x:v>
      </x:c>
      <x:c r="O409" s="21" t="str">
        <x:v>rule_generated_from_official_table</x:v>
      </x:c>
      <x:c r="P409" s="21" t="n">
        <x:v>7</x:v>
      </x:c>
      <x:c r="Q409" s="21" t="str">
        <x:v>https://doxa.billmounce.com/Flashcards%20%28BBG%29.pdf</x:v>
      </x:c>
      <x:c r="R409" s="16" t="str"/>
    </x:row>
    <x:row r="410" ht="28" customHeight="1">
      <x:c r="A410" s="21" t="n">
        <x:v>406</x:v>
      </x:c>
      <x:c r="B410" s="21" t="n">
        <x:f>ROUNDUP(A410/50,0)</x:f>
        <x:v>9</x:v>
      </x:c>
      <x:c r="C410" s="21" t="n">
        <x:f>MOD(A410-1,50)+1</x:f>
        <x:v>6</x:v>
      </x:c>
      <x:c r="D410" s="29" t="str">
        <x:v>ἐπιθυμία, -ας, ἡ</x:v>
      </x:c>
      <x:c r="E410" s="29" t="str">
        <x:v>ἐπιθυμία</x:v>
      </x:c>
      <x:c r="F410" s="27" t="str">
        <x:v>epithumia</x:v>
      </x:c>
      <x:c r="G410" s="20" t="str">
        <x:v>a longing (especially for what is forbidden)</x:v>
      </x:c>
      <x:c r="H410" s="20" t="str"/>
      <x:c r="I410" s="21"/>
      <x:c r="J410" s="21" t="str">
        <x:v>Mounce 頻率延伸</x:v>
      </x:c>
      <x:c r="K410" s="21" t="str">
        <x:v>G1939</x:v>
      </x:c>
      <x:c r="L410" s="21" t="str">
        <x:v>否</x:v>
      </x:c>
      <x:c r="M410" s="21" t="str"/>
      <x:c r="N410" s="21" t="str">
        <x:v>source_and_lexicon_matched</x:v>
      </x:c>
      <x:c r="O410" s="21" t="str">
        <x:v>rule_generated_from_official_table</x:v>
      </x:c>
      <x:c r="P410" s="21" t="n">
        <x:v>7</x:v>
      </x:c>
      <x:c r="Q410" s="21" t="str">
        <x:v>https://doxa.billmounce.com/Flashcards%20%28BBG%29.pdf</x:v>
      </x:c>
      <x:c r="R410" s="16" t="str"/>
    </x:row>
    <x:row r="411" ht="28" customHeight="1">
      <x:c r="A411" s="21" t="n">
        <x:v>407</x:v>
      </x:c>
      <x:c r="B411" s="21" t="n">
        <x:f>ROUNDUP(A411/50,0)</x:f>
        <x:v>9</x:v>
      </x:c>
      <x:c r="C411" s="21" t="n">
        <x:f>MOD(A411-1,50)+1</x:f>
        <x:v>7</x:v>
      </x:c>
      <x:c r="D411" s="29" t="str">
        <x:v>εὐχαριστέω</x:v>
      </x:c>
      <x:c r="E411" s="29" t="str">
        <x:v>εὐχαριστέω</x:v>
      </x:c>
      <x:c r="F411" s="27" t="str">
        <x:v>eucharisteō</x:v>
      </x:c>
      <x:c r="G411" s="20" t="str">
        <x:v>to be grateful, i.e. (actively) to express gratitude (towards); specially, to say grace at a meal</x:v>
      </x:c>
      <x:c r="H411" s="20" t="str"/>
      <x:c r="I411" s="21"/>
      <x:c r="J411" s="21" t="str">
        <x:v>Mounce 頻率延伸</x:v>
      </x:c>
      <x:c r="K411" s="21" t="str">
        <x:v>G2168</x:v>
      </x:c>
      <x:c r="L411" s="21" t="str">
        <x:v>否</x:v>
      </x:c>
      <x:c r="M411" s="21" t="str"/>
      <x:c r="N411" s="21" t="str">
        <x:v>source_and_lexicon_matched</x:v>
      </x:c>
      <x:c r="O411" s="21" t="str">
        <x:v>rule_generated_from_official_table</x:v>
      </x:c>
      <x:c r="P411" s="21" t="n">
        <x:v>7</x:v>
      </x:c>
      <x:c r="Q411" s="21" t="str">
        <x:v>https://doxa.billmounce.com/Flashcards%20%28BBG%29.pdf</x:v>
      </x:c>
      <x:c r="R411" s="16" t="str"/>
    </x:row>
    <x:row r="412" ht="28" customHeight="1">
      <x:c r="A412" s="21" t="n">
        <x:v>408</x:v>
      </x:c>
      <x:c r="B412" s="21" t="n">
        <x:f>ROUNDUP(A412/50,0)</x:f>
        <x:v>9</x:v>
      </x:c>
      <x:c r="C412" s="21" t="n">
        <x:f>MOD(A412-1,50)+1</x:f>
        <x:v>8</x:v>
      </x:c>
      <x:c r="D412" s="29" t="str">
        <x:v>πειράζω</x:v>
      </x:c>
      <x:c r="E412" s="29" t="str">
        <x:v>πειράζω</x:v>
      </x:c>
      <x:c r="F412" s="27" t="str">
        <x:v>peirazō</x:v>
      </x:c>
      <x:c r="G412" s="20" t="str">
        <x:v>to test (objectively), i.e. endeavor, scrutinize, entice, discipline</x:v>
      </x:c>
      <x:c r="H412" s="20" t="str"/>
      <x:c r="I412" s="21"/>
      <x:c r="J412" s="21" t="str">
        <x:v>Mounce 頻率延伸</x:v>
      </x:c>
      <x:c r="K412" s="21" t="str">
        <x:v>G3985</x:v>
      </x:c>
      <x:c r="L412" s="21" t="str">
        <x:v>否</x:v>
      </x:c>
      <x:c r="M412" s="21" t="str"/>
      <x:c r="N412" s="21" t="str">
        <x:v>source_and_lexicon_matched</x:v>
      </x:c>
      <x:c r="O412" s="21" t="str">
        <x:v>rule_generated_from_official_table</x:v>
      </x:c>
      <x:c r="P412" s="21" t="n">
        <x:v>7</x:v>
      </x:c>
      <x:c r="Q412" s="21" t="str">
        <x:v>https://doxa.billmounce.com/Flashcards%20%28BBG%29.pdf</x:v>
      </x:c>
      <x:c r="R412" s="16" t="str"/>
    </x:row>
    <x:row r="413" ht="28" customHeight="1">
      <x:c r="A413" s="21" t="n">
        <x:v>409</x:v>
      </x:c>
      <x:c r="B413" s="21" t="n">
        <x:f>ROUNDUP(A413/50,0)</x:f>
        <x:v>9</x:v>
      </x:c>
      <x:c r="C413" s="21" t="n">
        <x:f>MOD(A413-1,50)+1</x:f>
        <x:v>9</x:v>
      </x:c>
      <x:c r="D413" s="29" t="str">
        <x:v>πέντε</x:v>
      </x:c>
      <x:c r="E413" s="29" t="str">
        <x:v>πέντε</x:v>
      </x:c>
      <x:c r="F413" s="27" t="str">
        <x:v>pente</x:v>
      </x:c>
      <x:c r="G413" s="20" t="str">
        <x:v>"five"</x:v>
      </x:c>
      <x:c r="H413" s="20" t="str"/>
      <x:c r="I413" s="21"/>
      <x:c r="J413" s="21" t="str">
        <x:v>Mounce 頻率延伸</x:v>
      </x:c>
      <x:c r="K413" s="21" t="str">
        <x:v>G4002</x:v>
      </x:c>
      <x:c r="L413" s="21" t="str">
        <x:v>否</x:v>
      </x:c>
      <x:c r="M413" s="21" t="str"/>
      <x:c r="N413" s="21" t="str">
        <x:v>source_and_lexicon_matched</x:v>
      </x:c>
      <x:c r="O413" s="21" t="str">
        <x:v>rule_generated_from_official_table</x:v>
      </x:c>
      <x:c r="P413" s="21" t="n">
        <x:v>7</x:v>
      </x:c>
      <x:c r="Q413" s="21" t="str">
        <x:v>https://doxa.billmounce.com/Flashcards%20%28BBG%29.pdf</x:v>
      </x:c>
      <x:c r="R413" s="16" t="str"/>
    </x:row>
    <x:row r="414" ht="28" customHeight="1">
      <x:c r="A414" s="21" t="n">
        <x:v>410</x:v>
      </x:c>
      <x:c r="B414" s="21" t="n">
        <x:f>ROUNDUP(A414/50,0)</x:f>
        <x:v>9</x:v>
      </x:c>
      <x:c r="C414" s="21" t="n">
        <x:f>MOD(A414-1,50)+1</x:f>
        <x:v>10</x:v>
      </x:c>
      <x:c r="D414" s="29" t="str">
        <x:v>ὑποτάσσω</x:v>
      </x:c>
      <x:c r="E414" s="29" t="str">
        <x:v>ὑποτάσσω</x:v>
      </x:c>
      <x:c r="F414" s="27" t="str">
        <x:v>hupotassō</x:v>
      </x:c>
      <x:c r="G414" s="20" t="str">
        <x:v>to subordinate; reflexively, to obey</x:v>
      </x:c>
      <x:c r="H414" s="20" t="str"/>
      <x:c r="I414" s="21"/>
      <x:c r="J414" s="21" t="str">
        <x:v>Mounce 頻率延伸</x:v>
      </x:c>
      <x:c r="K414" s="21" t="str">
        <x:v>G5293</x:v>
      </x:c>
      <x:c r="L414" s="21" t="str">
        <x:v>否</x:v>
      </x:c>
      <x:c r="M414" s="21" t="str"/>
      <x:c r="N414" s="21" t="str">
        <x:v>source_and_lexicon_matched</x:v>
      </x:c>
      <x:c r="O414" s="21" t="str">
        <x:v>rule_generated_from_official_table</x:v>
      </x:c>
      <x:c r="P414" s="21" t="n">
        <x:v>7</x:v>
      </x:c>
      <x:c r="Q414" s="21" t="str">
        <x:v>https://doxa.billmounce.com/Flashcards%20%28BBG%29.pdf</x:v>
      </x:c>
      <x:c r="R414" s="16" t="str"/>
    </x:row>
    <x:row r="415" ht="28" customHeight="1">
      <x:c r="A415" s="21" t="n">
        <x:v>411</x:v>
      </x:c>
      <x:c r="B415" s="21" t="n">
        <x:f>ROUNDUP(A415/50,0)</x:f>
        <x:v>9</x:v>
      </x:c>
      <x:c r="C415" s="21" t="n">
        <x:f>MOD(A415-1,50)+1</x:f>
        <x:v>11</x:v>
      </x:c>
      <x:c r="D415" s="29" t="str">
        <x:v>ἄρχων, -οντος, ὁ</x:v>
      </x:c>
      <x:c r="E415" s="29" t="str">
        <x:v>ἄρχων</x:v>
      </x:c>
      <x:c r="F415" s="27" t="str">
        <x:v>archōn</x:v>
      </x:c>
      <x:c r="G415" s="20" t="str">
        <x:v>a first (in rank or power)</x:v>
      </x:c>
      <x:c r="H415" s="20" t="str"/>
      <x:c r="I415" s="21"/>
      <x:c r="J415" s="21" t="str">
        <x:v>Mounce 頻率延伸</x:v>
      </x:c>
      <x:c r="K415" s="21" t="str">
        <x:v>G758</x:v>
      </x:c>
      <x:c r="L415" s="21" t="str">
        <x:v>否</x:v>
      </x:c>
      <x:c r="M415" s="21" t="str"/>
      <x:c r="N415" s="21" t="str">
        <x:v>source_and_lexicon_matched</x:v>
      </x:c>
      <x:c r="O415" s="21" t="str">
        <x:v>rule_generated_from_official_table</x:v>
      </x:c>
      <x:c r="P415" s="21" t="n">
        <x:v>7</x:v>
      </x:c>
      <x:c r="Q415" s="21" t="str">
        <x:v>https://doxa.billmounce.com/Flashcards%20%28BBG%29.pdf</x:v>
      </x:c>
      <x:c r="R415" s="16" t="str"/>
    </x:row>
    <x:row r="416" ht="28" customHeight="1">
      <x:c r="A416" s="21" t="n">
        <x:v>412</x:v>
      </x:c>
      <x:c r="B416" s="21" t="n">
        <x:f>ROUNDUP(A416/50,0)</x:f>
        <x:v>9</x:v>
      </x:c>
      <x:c r="C416" s="21" t="n">
        <x:f>MOD(A416-1,50)+1</x:f>
        <x:v>12</x:v>
      </x:c>
      <x:c r="D416" s="29" t="str">
        <x:v>βούλομαι</x:v>
      </x:c>
      <x:c r="E416" s="29" t="str">
        <x:v>βούλομαι</x:v>
      </x:c>
      <x:c r="F416" s="27" t="str">
        <x:v>boulomai</x:v>
      </x:c>
      <x:c r="G416" s="20" t="str">
        <x:v>to "will," i.e. (reflexively) be willing</x:v>
      </x:c>
      <x:c r="H416" s="20" t="str"/>
      <x:c r="I416" s="21"/>
      <x:c r="J416" s="21" t="str">
        <x:v>Mounce 頻率延伸</x:v>
      </x:c>
      <x:c r="K416" s="21" t="str">
        <x:v>G1014</x:v>
      </x:c>
      <x:c r="L416" s="21" t="str">
        <x:v>否</x:v>
      </x:c>
      <x:c r="M416" s="21" t="str"/>
      <x:c r="N416" s="21" t="str">
        <x:v>source_and_lexicon_matched</x:v>
      </x:c>
      <x:c r="O416" s="21" t="str">
        <x:v>rule_generated_from_official_table</x:v>
      </x:c>
      <x:c r="P416" s="21" t="n">
        <x:v>7</x:v>
      </x:c>
      <x:c r="Q416" s="21" t="str">
        <x:v>https://doxa.billmounce.com/Flashcards%20%28BBG%29.pdf</x:v>
      </x:c>
      <x:c r="R416" s="16" t="str"/>
    </x:row>
    <x:row r="417" ht="28" customHeight="1">
      <x:c r="A417" s="21" t="n">
        <x:v>413</x:v>
      </x:c>
      <x:c r="B417" s="21" t="n">
        <x:f>ROUNDUP(A417/50,0)</x:f>
        <x:v>9</x:v>
      </x:c>
      <x:c r="C417" s="21" t="n">
        <x:f>MOD(A417-1,50)+1</x:f>
        <x:v>13</x:v>
      </x:c>
      <x:c r="D417" s="29" t="str">
        <x:v>διάβολος, -ον</x:v>
      </x:c>
      <x:c r="E417" s="29" t="str">
        <x:v>διάβολος</x:v>
      </x:c>
      <x:c r="F417" s="27" t="str">
        <x:v>diabolos</x:v>
      </x:c>
      <x:c r="G417" s="20" t="str">
        <x:v>a traducer; specially, Satan (compare H07854)</x:v>
      </x:c>
      <x:c r="H417" s="20" t="str"/>
      <x:c r="I417" s="21"/>
      <x:c r="J417" s="21" t="str">
        <x:v>Mounce 頻率延伸</x:v>
      </x:c>
      <x:c r="K417" s="21" t="str">
        <x:v>G1228</x:v>
      </x:c>
      <x:c r="L417" s="21" t="str">
        <x:v>否</x:v>
      </x:c>
      <x:c r="M417" s="21" t="str"/>
      <x:c r="N417" s="21" t="str">
        <x:v>source_and_lexicon_matched</x:v>
      </x:c>
      <x:c r="O417" s="21" t="str">
        <x:v>rule_generated_from_official_table</x:v>
      </x:c>
      <x:c r="P417" s="21" t="n">
        <x:v>7</x:v>
      </x:c>
      <x:c r="Q417" s="21" t="str">
        <x:v>https://doxa.billmounce.com/Flashcards%20%28BBG%29.pdf</x:v>
      </x:c>
      <x:c r="R417" s="16" t="str"/>
    </x:row>
    <x:row r="418" ht="28" customHeight="1">
      <x:c r="A418" s="21" t="n">
        <x:v>414</x:v>
      </x:c>
      <x:c r="B418" s="21" t="n">
        <x:f>ROUNDUP(A418/50,0)</x:f>
        <x:v>9</x:v>
      </x:c>
      <x:c r="C418" s="21" t="n">
        <x:f>MOD(A418-1,50)+1</x:f>
        <x:v>14</x:v>
      </x:c>
      <x:c r="D418" s="29" t="str">
        <x:v>ἐκεῖθεν</x:v>
      </x:c>
      <x:c r="E418" s="29" t="str">
        <x:v>ἐκεῖθεν</x:v>
      </x:c>
      <x:c r="F418" s="27" t="str">
        <x:v>ekeithen</x:v>
      </x:c>
      <x:c r="G418" s="20" t="str">
        <x:v>thence</x:v>
      </x:c>
      <x:c r="H418" s="20" t="str"/>
      <x:c r="I418" s="21"/>
      <x:c r="J418" s="21" t="str">
        <x:v>Mounce 頻率延伸</x:v>
      </x:c>
      <x:c r="K418" s="21" t="str">
        <x:v>G1564</x:v>
      </x:c>
      <x:c r="L418" s="21" t="str">
        <x:v>否</x:v>
      </x:c>
      <x:c r="M418" s="21" t="str"/>
      <x:c r="N418" s="21" t="str">
        <x:v>source_and_lexicon_matched</x:v>
      </x:c>
      <x:c r="O418" s="21" t="str">
        <x:v>rule_generated_from_official_table</x:v>
      </x:c>
      <x:c r="P418" s="21" t="n">
        <x:v>7</x:v>
      </x:c>
      <x:c r="Q418" s="21" t="str">
        <x:v>https://doxa.billmounce.com/Flashcards%20%28BBG%29.pdf</x:v>
      </x:c>
      <x:c r="R418" s="16" t="str"/>
    </x:row>
    <x:row r="419" ht="28" customHeight="1">
      <x:c r="A419" s="21" t="n">
        <x:v>415</x:v>
      </x:c>
      <x:c r="B419" s="21" t="n">
        <x:f>ROUNDUP(A419/50,0)</x:f>
        <x:v>9</x:v>
      </x:c>
      <x:c r="C419" s="21" t="n">
        <x:f>MOD(A419-1,50)+1</x:f>
        <x:v>15</x:v>
      </x:c>
      <x:c r="D419" s="29" t="str">
        <x:v>καλῶς</x:v>
      </x:c>
      <x:c r="E419" s="29" t="str">
        <x:v>καλῶς</x:v>
      </x:c>
      <x:c r="F419" s="27" t="str">
        <x:v>kalōs</x:v>
      </x:c>
      <x:c r="G419" s="20" t="str">
        <x:v>well (usually morally)</x:v>
      </x:c>
      <x:c r="H419" s="20" t="str"/>
      <x:c r="I419" s="21"/>
      <x:c r="J419" s="21" t="str">
        <x:v>Mounce 頻率延伸</x:v>
      </x:c>
      <x:c r="K419" s="21" t="str">
        <x:v>G2573</x:v>
      </x:c>
      <x:c r="L419" s="21" t="str">
        <x:v>否</x:v>
      </x:c>
      <x:c r="M419" s="21" t="str"/>
      <x:c r="N419" s="21" t="str">
        <x:v>source_and_lexicon_matched</x:v>
      </x:c>
      <x:c r="O419" s="21" t="str">
        <x:v>rule_generated_from_official_table</x:v>
      </x:c>
      <x:c r="P419" s="21" t="n">
        <x:v>7</x:v>
      </x:c>
      <x:c r="Q419" s="21" t="str">
        <x:v>https://doxa.billmounce.com/Flashcards%20%28BBG%29.pdf</x:v>
      </x:c>
      <x:c r="R419" s="16" t="str"/>
    </x:row>
    <x:row r="420" ht="28" customHeight="1">
      <x:c r="A420" s="21" t="n">
        <x:v>416</x:v>
      </x:c>
      <x:c r="B420" s="21" t="n">
        <x:f>ROUNDUP(A420/50,0)</x:f>
        <x:v>9</x:v>
      </x:c>
      <x:c r="C420" s="21" t="n">
        <x:f>MOD(A420-1,50)+1</x:f>
        <x:v>16</x:v>
      </x:c>
      <x:c r="D420" s="29" t="str">
        <x:v>καυχάομαι</x:v>
      </x:c>
      <x:c r="E420" s="29" t="str">
        <x:v>καυχάομαι</x:v>
      </x:c>
      <x:c r="F420" s="27" t="str">
        <x:v>kauchaomai</x:v>
      </x:c>
      <x:c r="G420" s="20" t="str">
        <x:v>to vaunt (in a good or a bad sense)</x:v>
      </x:c>
      <x:c r="H420" s="20" t="str"/>
      <x:c r="I420" s="21"/>
      <x:c r="J420" s="21" t="str">
        <x:v>Mounce 頻率延伸</x:v>
      </x:c>
      <x:c r="K420" s="21" t="str">
        <x:v>G2744</x:v>
      </x:c>
      <x:c r="L420" s="21" t="str">
        <x:v>否</x:v>
      </x:c>
      <x:c r="M420" s="21" t="str"/>
      <x:c r="N420" s="21" t="str">
        <x:v>source_and_lexicon_matched</x:v>
      </x:c>
      <x:c r="O420" s="21" t="str">
        <x:v>rule_generated_from_official_table</x:v>
      </x:c>
      <x:c r="P420" s="21" t="n">
        <x:v>7</x:v>
      </x:c>
      <x:c r="Q420" s="21" t="str">
        <x:v>https://doxa.billmounce.com/Flashcards%20%28BBG%29.pdf</x:v>
      </x:c>
      <x:c r="R420" s="16" t="str"/>
    </x:row>
    <x:row r="421" ht="28" customHeight="1">
      <x:c r="A421" s="21" t="n">
        <x:v>417</x:v>
      </x:c>
      <x:c r="B421" s="21" t="n">
        <x:f>ROUNDUP(A421/50,0)</x:f>
        <x:v>9</x:v>
      </x:c>
      <x:c r="C421" s="21" t="n">
        <x:f>MOD(A421-1,50)+1</x:f>
        <x:v>17</x:v>
      </x:c>
      <x:c r="D421" s="29" t="str">
        <x:v>μαρτυρία, -ας, ἡ</x:v>
      </x:c>
      <x:c r="E421" s="29" t="str">
        <x:v>μαρτυρία</x:v>
      </x:c>
      <x:c r="F421" s="27" t="str">
        <x:v>marturia</x:v>
      </x:c>
      <x:c r="G421" s="20" t="str">
        <x:v>evidence given (judicially or genitive case)</x:v>
      </x:c>
      <x:c r="H421" s="20" t="str"/>
      <x:c r="I421" s="21"/>
      <x:c r="J421" s="21" t="str">
        <x:v>Mounce 頻率延伸</x:v>
      </x:c>
      <x:c r="K421" s="21" t="str">
        <x:v>G3141</x:v>
      </x:c>
      <x:c r="L421" s="21" t="str">
        <x:v>否</x:v>
      </x:c>
      <x:c r="M421" s="21" t="str"/>
      <x:c r="N421" s="21" t="str">
        <x:v>source_and_lexicon_matched</x:v>
      </x:c>
      <x:c r="O421" s="21" t="str">
        <x:v>rule_generated_from_official_table</x:v>
      </x:c>
      <x:c r="P421" s="21" t="n">
        <x:v>7</x:v>
      </x:c>
      <x:c r="Q421" s="21" t="str">
        <x:v>https://doxa.billmounce.com/Flashcards%20%28BBG%29.pdf</x:v>
      </x:c>
      <x:c r="R421" s="16" t="str"/>
    </x:row>
    <x:row r="422" ht="28" customHeight="1">
      <x:c r="A422" s="21" t="n">
        <x:v>418</x:v>
      </x:c>
      <x:c r="B422" s="21" t="n">
        <x:f>ROUNDUP(A422/50,0)</x:f>
        <x:v>9</x:v>
      </x:c>
      <x:c r="C422" s="21" t="n">
        <x:f>MOD(A422-1,50)+1</x:f>
        <x:v>18</x:v>
      </x:c>
      <x:c r="D422" s="29" t="str">
        <x:v>παραγίνομαι</x:v>
      </x:c>
      <x:c r="E422" s="29" t="str">
        <x:v>παραγίνομαι</x:v>
      </x:c>
      <x:c r="F422" s="27" t="str">
        <x:v>paraginomai</x:v>
      </x:c>
      <x:c r="G422" s="20" t="str">
        <x:v>to become near, i.e. approach (have arrived); by implication, to appear publicly</x:v>
      </x:c>
      <x:c r="H422" s="20" t="str"/>
      <x:c r="I422" s="21"/>
      <x:c r="J422" s="21" t="str">
        <x:v>Mounce 頻率延伸</x:v>
      </x:c>
      <x:c r="K422" s="21" t="str">
        <x:v>G3854</x:v>
      </x:c>
      <x:c r="L422" s="21" t="str">
        <x:v>否</x:v>
      </x:c>
      <x:c r="M422" s="21" t="str"/>
      <x:c r="N422" s="21" t="str">
        <x:v>source_and_lexicon_matched</x:v>
      </x:c>
      <x:c r="O422" s="21" t="str">
        <x:v>rule_generated_from_official_table</x:v>
      </x:c>
      <x:c r="P422" s="21" t="n">
        <x:v>7</x:v>
      </x:c>
      <x:c r="Q422" s="21" t="str">
        <x:v>https://doxa.billmounce.com/Flashcards%20%28BBG%29.pdf</x:v>
      </x:c>
      <x:c r="R422" s="16" t="str"/>
    </x:row>
    <x:row r="423" ht="28" customHeight="1">
      <x:c r="A423" s="21" t="n">
        <x:v>419</x:v>
      </x:c>
      <x:c r="B423" s="21" t="n">
        <x:f>ROUNDUP(A423/50,0)</x:f>
        <x:v>9</x:v>
      </x:c>
      <x:c r="C423" s="21" t="n">
        <x:f>MOD(A423-1,50)+1</x:f>
        <x:v>19</x:v>
      </x:c>
      <x:c r="D423" s="29" t="str">
        <x:v>ἀγρός, -οῦ, ὁ</x:v>
      </x:c>
      <x:c r="E423" s="29" t="str">
        <x:v>ἀγρός</x:v>
      </x:c>
      <x:c r="F423" s="27" t="str">
        <x:v>agros</x:v>
      </x:c>
      <x:c r="G423" s="20" t="str">
        <x:v>a field (as a drive for cattle); genitive case, the country; specially, a farm, i.e. hamlet</x:v>
      </x:c>
      <x:c r="H423" s="20" t="str"/>
      <x:c r="I423" s="21"/>
      <x:c r="J423" s="21" t="str">
        <x:v>Mounce 頻率延伸</x:v>
      </x:c>
      <x:c r="K423" s="21" t="str">
        <x:v>G68</x:v>
      </x:c>
      <x:c r="L423" s="21" t="str">
        <x:v>否</x:v>
      </x:c>
      <x:c r="M423" s="21" t="str"/>
      <x:c r="N423" s="21" t="str">
        <x:v>source_and_lexicon_matched</x:v>
      </x:c>
      <x:c r="O423" s="21" t="str">
        <x:v>rule_generated_from_official_table</x:v>
      </x:c>
      <x:c r="P423" s="21" t="n">
        <x:v>7</x:v>
      </x:c>
      <x:c r="Q423" s="21" t="str">
        <x:v>https://doxa.billmounce.com/Flashcards%20%28BBG%29.pdf</x:v>
      </x:c>
      <x:c r="R423" s="16" t="str"/>
    </x:row>
    <x:row r="424" ht="28" customHeight="1">
      <x:c r="A424" s="21" t="n">
        <x:v>420</x:v>
      </x:c>
      <x:c r="B424" s="21" t="n">
        <x:f>ROUNDUP(A424/50,0)</x:f>
        <x:v>9</x:v>
      </x:c>
      <x:c r="C424" s="21" t="n">
        <x:f>MOD(A424-1,50)+1</x:f>
        <x:v>20</x:v>
      </x:c>
      <x:c r="D424" s="29" t="str">
        <x:v>ἄρτι</x:v>
      </x:c>
      <x:c r="E424" s="29" t="str">
        <x:v>ἄρτι</x:v>
      </x:c>
      <x:c r="F424" s="27" t="str">
        <x:v>arti</x:v>
      </x:c>
      <x:c r="G424" s="20" t="str">
        <x:v>just now</x:v>
      </x:c>
      <x:c r="H424" s="20" t="str"/>
      <x:c r="I424" s="21"/>
      <x:c r="J424" s="21" t="str">
        <x:v>Mounce 頻率延伸</x:v>
      </x:c>
      <x:c r="K424" s="21" t="str">
        <x:v>G737</x:v>
      </x:c>
      <x:c r="L424" s="21" t="str">
        <x:v>否</x:v>
      </x:c>
      <x:c r="M424" s="21" t="str"/>
      <x:c r="N424" s="21" t="str">
        <x:v>source_and_lexicon_matched</x:v>
      </x:c>
      <x:c r="O424" s="21" t="str">
        <x:v>rule_generated_from_official_table</x:v>
      </x:c>
      <x:c r="P424" s="21" t="n">
        <x:v>7</x:v>
      </x:c>
      <x:c r="Q424" s="21" t="str">
        <x:v>https://doxa.billmounce.com/Flashcards%20%28BBG%29.pdf</x:v>
      </x:c>
      <x:c r="R424" s="16" t="str"/>
    </x:row>
    <x:row r="425" ht="28" customHeight="1">
      <x:c r="A425" s="21" t="n">
        <x:v>421</x:v>
      </x:c>
      <x:c r="B425" s="21" t="n">
        <x:f>ROUNDUP(A425/50,0)</x:f>
        <x:v>9</x:v>
      </x:c>
      <x:c r="C425" s="21" t="n">
        <x:f>MOD(A425-1,50)+1</x:f>
        <x:v>21</x:v>
      </x:c>
      <x:c r="D425" s="29" t="str">
        <x:v>ἐπιστρέφω</x:v>
      </x:c>
      <x:c r="E425" s="29" t="str">
        <x:v>ἐπιστρέφω</x:v>
      </x:c>
      <x:c r="F425" s="27" t="str">
        <x:v>epistrephō</x:v>
      </x:c>
      <x:c r="G425" s="20" t="str">
        <x:v>to revert (literally, figuratively or morally)</x:v>
      </x:c>
      <x:c r="H425" s="20" t="str"/>
      <x:c r="I425" s="21"/>
      <x:c r="J425" s="21" t="str">
        <x:v>Mounce 頻率延伸</x:v>
      </x:c>
      <x:c r="K425" s="21" t="str">
        <x:v>G1994</x:v>
      </x:c>
      <x:c r="L425" s="21" t="str">
        <x:v>否</x:v>
      </x:c>
      <x:c r="M425" s="21" t="str"/>
      <x:c r="N425" s="21" t="str">
        <x:v>source_and_lexicon_matched</x:v>
      </x:c>
      <x:c r="O425" s="21" t="str">
        <x:v>rule_generated_from_official_table</x:v>
      </x:c>
      <x:c r="P425" s="21" t="n">
        <x:v>8</x:v>
      </x:c>
      <x:c r="Q425" s="21" t="str">
        <x:v>https://doxa.billmounce.com/Flashcards%20%28BBG%29.pdf</x:v>
      </x:c>
      <x:c r="R425" s="16" t="str"/>
    </x:row>
    <x:row r="426" ht="28" customHeight="1">
      <x:c r="A426" s="21" t="n">
        <x:v>422</x:v>
      </x:c>
      <x:c r="B426" s="21" t="n">
        <x:f>ROUNDUP(A426/50,0)</x:f>
        <x:v>9</x:v>
      </x:c>
      <x:c r="C426" s="21" t="n">
        <x:f>MOD(A426-1,50)+1</x:f>
        <x:v>22</x:v>
      </x:c>
      <x:c r="D426" s="29" t="str">
        <x:v>εὐθέως</x:v>
      </x:c>
      <x:c r="E426" s="29" t="str">
        <x:v>εὐθέως</x:v>
      </x:c>
      <x:c r="F426" s="27" t="str">
        <x:v>eutheōs</x:v>
      </x:c>
      <x:c r="G426" s="20" t="str">
        <x:v>directly, i.e. at once or soon</x:v>
      </x:c>
      <x:c r="H426" s="20" t="str"/>
      <x:c r="I426" s="21"/>
      <x:c r="J426" s="21" t="str">
        <x:v>Mounce 頻率延伸</x:v>
      </x:c>
      <x:c r="K426" s="21" t="str">
        <x:v>G2112</x:v>
      </x:c>
      <x:c r="L426" s="21" t="str">
        <x:v>否</x:v>
      </x:c>
      <x:c r="M426" s="21" t="str"/>
      <x:c r="N426" s="21" t="str">
        <x:v>source_and_lexicon_matched</x:v>
      </x:c>
      <x:c r="O426" s="21" t="str">
        <x:v>rule_generated_from_official_table</x:v>
      </x:c>
      <x:c r="P426" s="21" t="n">
        <x:v>8</x:v>
      </x:c>
      <x:c r="Q426" s="21" t="str">
        <x:v>https://doxa.billmounce.com/Flashcards%20%28BBG%29.pdf</x:v>
      </x:c>
      <x:c r="R426" s="16" t="str"/>
    </x:row>
    <x:row r="427" ht="28" customHeight="1">
      <x:c r="A427" s="21" t="n">
        <x:v>423</x:v>
      </x:c>
      <x:c r="B427" s="21" t="n">
        <x:f>ROUNDUP(A427/50,0)</x:f>
        <x:v>9</x:v>
      </x:c>
      <x:c r="C427" s="21" t="n">
        <x:f>MOD(A427-1,50)+1</x:f>
        <x:v>23</x:v>
      </x:c>
      <x:c r="D427" s="29" t="str">
        <x:v>ὀργή, -ῆς, ἡ</x:v>
      </x:c>
      <x:c r="E427" s="29" t="str">
        <x:v>ὀργή</x:v>
      </x:c>
      <x:c r="F427" s="27" t="str">
        <x:v>orgē</x:v>
      </x:c>
      <x:c r="G427" s="20" t="str">
        <x:v>properly, desire (as a reaching forth or excitement of the mind), i.e. (by analogy), violent passion (ire, or (justifiable) abhorrence); by implication punishment</x:v>
      </x:c>
      <x:c r="H427" s="20" t="str"/>
      <x:c r="I427" s="21"/>
      <x:c r="J427" s="21" t="str">
        <x:v>Mounce 頻率延伸</x:v>
      </x:c>
      <x:c r="K427" s="21" t="str">
        <x:v>G3709</x:v>
      </x:c>
      <x:c r="L427" s="21" t="str">
        <x:v>否</x:v>
      </x:c>
      <x:c r="M427" s="21" t="str"/>
      <x:c r="N427" s="21" t="str">
        <x:v>source_and_lexicon_matched</x:v>
      </x:c>
      <x:c r="O427" s="21" t="str">
        <x:v>rule_generated_from_official_table</x:v>
      </x:c>
      <x:c r="P427" s="21" t="n">
        <x:v>8</x:v>
      </x:c>
      <x:c r="Q427" s="21" t="str">
        <x:v>https://doxa.billmounce.com/Flashcards%20%28BBG%29.pdf</x:v>
      </x:c>
      <x:c r="R427" s="16" t="str"/>
    </x:row>
    <x:row r="428" ht="28" customHeight="1">
      <x:c r="A428" s="21" t="n">
        <x:v>424</x:v>
      </x:c>
      <x:c r="B428" s="21" t="n">
        <x:f>ROUNDUP(A428/50,0)</x:f>
        <x:v>9</x:v>
      </x:c>
      <x:c r="C428" s="21" t="n">
        <x:f>MOD(A428-1,50)+1</x:f>
        <x:v>24</x:v>
      </x:c>
      <x:c r="D428" s="29" t="str">
        <x:v>οὖς, ὠτός, τό</x:v>
      </x:c>
      <x:c r="E428" s="29" t="str">
        <x:v>οὖς</x:v>
      </x:c>
      <x:c r="F428" s="27" t="str">
        <x:v>ous</x:v>
      </x:c>
      <x:c r="G428" s="20" t="str">
        <x:v>the ear (physically or mentally)</x:v>
      </x:c>
      <x:c r="H428" s="20" t="str"/>
      <x:c r="I428" s="21"/>
      <x:c r="J428" s="21" t="str">
        <x:v>Mounce 頻率延伸</x:v>
      </x:c>
      <x:c r="K428" s="21" t="str">
        <x:v>G3775</x:v>
      </x:c>
      <x:c r="L428" s="21" t="str">
        <x:v>否</x:v>
      </x:c>
      <x:c r="M428" s="21" t="str"/>
      <x:c r="N428" s="21" t="str">
        <x:v>source_and_lexicon_matched</x:v>
      </x:c>
      <x:c r="O428" s="21" t="str">
        <x:v>rule_generated_from_official_table</x:v>
      </x:c>
      <x:c r="P428" s="21" t="n">
        <x:v>8</x:v>
      </x:c>
      <x:c r="Q428" s="21" t="str">
        <x:v>https://doxa.billmounce.com/Flashcards%20%28BBG%29.pdf</x:v>
      </x:c>
      <x:c r="R428" s="16" t="str"/>
    </x:row>
    <x:row r="429" ht="28" customHeight="1">
      <x:c r="A429" s="21" t="n">
        <x:v>425</x:v>
      </x:c>
      <x:c r="B429" s="21" t="n">
        <x:f>ROUNDUP(A429/50,0)</x:f>
        <x:v>9</x:v>
      </x:c>
      <x:c r="C429" s="21" t="n">
        <x:f>MOD(A429-1,50)+1</x:f>
        <x:v>25</x:v>
      </x:c>
      <x:c r="D429" s="29" t="str">
        <x:v>περιτομή, -ῆς, ἡ</x:v>
      </x:c>
      <x:c r="E429" s="29" t="str">
        <x:v>περιτομή</x:v>
      </x:c>
      <x:c r="F429" s="27" t="str">
        <x:v>peritomē</x:v>
      </x:c>
      <x:c r="G429" s="20" t="str">
        <x:v>circumcision (the rite, the condition or the people, literally or figuratively)</x:v>
      </x:c>
      <x:c r="H429" s="20" t="str"/>
      <x:c r="I429" s="21"/>
      <x:c r="J429" s="21" t="str">
        <x:v>Mounce 頻率延伸</x:v>
      </x:c>
      <x:c r="K429" s="21" t="str">
        <x:v>G4061</x:v>
      </x:c>
      <x:c r="L429" s="21" t="str">
        <x:v>否</x:v>
      </x:c>
      <x:c r="M429" s="21" t="str"/>
      <x:c r="N429" s="21" t="str">
        <x:v>source_and_lexicon_matched</x:v>
      </x:c>
      <x:c r="O429" s="21" t="str">
        <x:v>rule_generated_from_official_table</x:v>
      </x:c>
      <x:c r="P429" s="21" t="n">
        <x:v>8</x:v>
      </x:c>
      <x:c r="Q429" s="21" t="str">
        <x:v>https://doxa.billmounce.com/Flashcards%20%28BBG%29.pdf</x:v>
      </x:c>
      <x:c r="R429" s="16" t="str"/>
    </x:row>
    <x:row r="430" ht="28" customHeight="1">
      <x:c r="A430" s="21" t="n">
        <x:v>426</x:v>
      </x:c>
      <x:c r="B430" s="21" t="n">
        <x:f>ROUNDUP(A430/50,0)</x:f>
        <x:v>9</x:v>
      </x:c>
      <x:c r="C430" s="21" t="n">
        <x:f>MOD(A430-1,50)+1</x:f>
        <x:v>26</x:v>
      </x:c>
      <x:c r="D430" s="29" t="str">
        <x:v>προσευχή, -ῆς, ἡ</x:v>
      </x:c>
      <x:c r="E430" s="29" t="str">
        <x:v>προσευχή</x:v>
      </x:c>
      <x:c r="F430" s="27" t="str">
        <x:v>proseuchē</x:v>
      </x:c>
      <x:c r="G430" s="20" t="str">
        <x:v>prayer (worship); by implication, an oratory (chapel)</x:v>
      </x:c>
      <x:c r="H430" s="20" t="str"/>
      <x:c r="I430" s="21"/>
      <x:c r="J430" s="21" t="str">
        <x:v>Mounce 頻率延伸</x:v>
      </x:c>
      <x:c r="K430" s="21" t="str">
        <x:v>G4335</x:v>
      </x:c>
      <x:c r="L430" s="21" t="str">
        <x:v>否</x:v>
      </x:c>
      <x:c r="M430" s="21" t="str"/>
      <x:c r="N430" s="21" t="str">
        <x:v>source_and_lexicon_matched</x:v>
      </x:c>
      <x:c r="O430" s="21" t="str">
        <x:v>rule_generated_from_official_table</x:v>
      </x:c>
      <x:c r="P430" s="21" t="n">
        <x:v>8</x:v>
      </x:c>
      <x:c r="Q430" s="21" t="str">
        <x:v>https://doxa.billmounce.com/Flashcards%20%28BBG%29.pdf</x:v>
      </x:c>
      <x:c r="R430" s="16" t="str"/>
    </x:row>
    <x:row r="431" ht="28" customHeight="1">
      <x:c r="A431" s="21" t="n">
        <x:v>427</x:v>
      </x:c>
      <x:c r="B431" s="21" t="n">
        <x:f>ROUNDUP(A431/50,0)</x:f>
        <x:v>9</x:v>
      </x:c>
      <x:c r="C431" s="21" t="n">
        <x:f>MOD(A431-1,50)+1</x:f>
        <x:v>27</x:v>
      </x:c>
      <x:c r="D431" s="29" t="str">
        <x:v>σατανᾶς, -ᾶ, ὁ</x:v>
      </x:c>
      <x:c r="E431" s="29" t="str">
        <x:v>σατανᾶς</x:v>
      </x:c>
      <x:c r="F431" s="27" t="str">
        <x:v>satanas</x:v>
      </x:c>
      <x:c r="G431" s="20" t="str">
        <x:v>the accuser, i.e. the devil</x:v>
      </x:c>
      <x:c r="H431" s="20" t="str"/>
      <x:c r="I431" s="21"/>
      <x:c r="J431" s="21" t="str">
        <x:v>Mounce 頻率延伸</x:v>
      </x:c>
      <x:c r="K431" s="21" t="str">
        <x:v>G4567</x:v>
      </x:c>
      <x:c r="L431" s="21" t="str">
        <x:v>否</x:v>
      </x:c>
      <x:c r="M431" s="21" t="str"/>
      <x:c r="N431" s="21" t="str">
        <x:v>source_and_lexicon_matched</x:v>
      </x:c>
      <x:c r="O431" s="21" t="str">
        <x:v>rule_generated_from_official_table</x:v>
      </x:c>
      <x:c r="P431" s="21" t="n">
        <x:v>8</x:v>
      </x:c>
      <x:c r="Q431" s="21" t="str">
        <x:v>https://doxa.billmounce.com/Flashcards%20%28BBG%29.pdf</x:v>
      </x:c>
      <x:c r="R431" s="16" t="str"/>
    </x:row>
    <x:row r="432" ht="28" customHeight="1">
      <x:c r="A432" s="21" t="n">
        <x:v>428</x:v>
      </x:c>
      <x:c r="B432" s="21" t="n">
        <x:f>ROUNDUP(A432/50,0)</x:f>
        <x:v>9</x:v>
      </x:c>
      <x:c r="C432" s="21" t="n">
        <x:f>MOD(A432-1,50)+1</x:f>
        <x:v>28</x:v>
      </x:c>
      <x:c r="D432" s="29" t="str">
        <x:v>Φίλιππος, -ου, ὁ</x:v>
      </x:c>
      <x:c r="E432" s="29" t="str">
        <x:v>Φίλιππος</x:v>
      </x:c>
      <x:c r="F432" s="27" t="str">
        <x:v>Philippos</x:v>
      </x:c>
      <x:c r="G432" s="20" t="str">
        <x:v>fond of horses; Philippus, the name of four Israelites</x:v>
      </x:c>
      <x:c r="H432" s="20" t="str"/>
      <x:c r="I432" s="21"/>
      <x:c r="J432" s="21" t="str">
        <x:v>Mounce 頻率延伸</x:v>
      </x:c>
      <x:c r="K432" s="21" t="str">
        <x:v>G5376</x:v>
      </x:c>
      <x:c r="L432" s="21" t="str">
        <x:v>是</x:v>
      </x:c>
      <x:c r="M432" s="21" t="str">
        <x:v>人名</x:v>
      </x:c>
      <x:c r="N432" s="21" t="str">
        <x:v>source_and_lexicon_matched</x:v>
      </x:c>
      <x:c r="O432" s="21" t="str">
        <x:v>rule_generated_from_official_table</x:v>
      </x:c>
      <x:c r="P432" s="21" t="n">
        <x:v>8</x:v>
      </x:c>
      <x:c r="Q432" s="21" t="str">
        <x:v>https://doxa.billmounce.com/Flashcards%20%28BBG%29.pdf</x:v>
      </x:c>
      <x:c r="R432" s="16" t="str"/>
    </x:row>
    <x:row r="433" ht="28" customHeight="1">
      <x:c r="A433" s="21" t="n">
        <x:v>429</x:v>
      </x:c>
      <x:c r="B433" s="21" t="n">
        <x:f>ROUNDUP(A433/50,0)</x:f>
        <x:v>9</x:v>
      </x:c>
      <x:c r="C433" s="21" t="n">
        <x:f>MOD(A433-1,50)+1</x:f>
        <x:v>29</x:v>
      </x:c>
      <x:c r="D433" s="29" t="str">
        <x:v>ὥσπερ</x:v>
      </x:c>
      <x:c r="E433" s="29" t="str">
        <x:v>ὥσπερ</x:v>
      </x:c>
      <x:c r="F433" s="27" t="str">
        <x:v>hōsper</x:v>
      </x:c>
      <x:c r="G433" s="20" t="str">
        <x:v>just as, i.e. exactly like</x:v>
      </x:c>
      <x:c r="H433" s="20" t="str"/>
      <x:c r="I433" s="21"/>
      <x:c r="J433" s="21" t="str">
        <x:v>Mounce 頻率延伸</x:v>
      </x:c>
      <x:c r="K433" s="21" t="str">
        <x:v>G5618</x:v>
      </x:c>
      <x:c r="L433" s="21" t="str">
        <x:v>否</x:v>
      </x:c>
      <x:c r="M433" s="21" t="str"/>
      <x:c r="N433" s="21" t="str">
        <x:v>source_and_lexicon_matched</x:v>
      </x:c>
      <x:c r="O433" s="21" t="str">
        <x:v>rule_generated_from_official_table</x:v>
      </x:c>
      <x:c r="P433" s="21" t="n">
        <x:v>8</x:v>
      </x:c>
      <x:c r="Q433" s="21" t="str">
        <x:v>https://doxa.billmounce.com/Flashcards%20%28BBG%29.pdf</x:v>
      </x:c>
      <x:c r="R433" s="16" t="str"/>
    </x:row>
    <x:row r="434" ht="28" customHeight="1">
      <x:c r="A434" s="21" t="n">
        <x:v>430</x:v>
      </x:c>
      <x:c r="B434" s="21" t="n">
        <x:f>ROUNDUP(A434/50,0)</x:f>
        <x:v>9</x:v>
      </x:c>
      <x:c r="C434" s="21" t="n">
        <x:f>MOD(A434-1,50)+1</x:f>
        <x:v>30</x:v>
      </x:c>
      <x:c r="D434" s="29" t="str">
        <x:v>Ἰωσήφ, ὁ</x:v>
      </x:c>
      <x:c r="E434" s="29" t="str">
        <x:v>Ἰωσήφ</x:v>
      </x:c>
      <x:c r="F434" s="27" t="str">
        <x:v>Iōsēph</x:v>
      </x:c>
      <x:c r="G434" s="20" t="str">
        <x:v>Joseph, the name of seven Israelites</x:v>
      </x:c>
      <x:c r="H434" s="20" t="str"/>
      <x:c r="I434" s="21"/>
      <x:c r="J434" s="21" t="str">
        <x:v>Mounce 頻率延伸</x:v>
      </x:c>
      <x:c r="K434" s="21" t="str">
        <x:v>G2501</x:v>
      </x:c>
      <x:c r="L434" s="21" t="str">
        <x:v>是</x:v>
      </x:c>
      <x:c r="M434" s="21" t="str">
        <x:v>人名</x:v>
      </x:c>
      <x:c r="N434" s="21" t="str">
        <x:v>source_and_lexicon_matched</x:v>
      </x:c>
      <x:c r="O434" s="21" t="str">
        <x:v>rule_generated_from_official_table</x:v>
      </x:c>
      <x:c r="P434" s="21" t="n">
        <x:v>8</x:v>
      </x:c>
      <x:c r="Q434" s="21" t="str">
        <x:v>https://doxa.billmounce.com/Flashcards%20%28BBG%29.pdf</x:v>
      </x:c>
      <x:c r="R434" s="16" t="str"/>
    </x:row>
    <x:row r="435" ht="28" customHeight="1">
      <x:c r="A435" s="21" t="n">
        <x:v>431</x:v>
      </x:c>
      <x:c r="B435" s="21" t="n">
        <x:f>ROUNDUP(A435/50,0)</x:f>
        <x:v>9</x:v>
      </x:c>
      <x:c r="C435" s="21" t="n">
        <x:f>MOD(A435-1,50)+1</x:f>
        <x:v>31</x:v>
      </x:c>
      <x:c r="D435" s="29" t="str">
        <x:v>μάρτυς, -υρος, ὁ</x:v>
      </x:c>
      <x:c r="E435" s="29" t="str">
        <x:v>μάρτυς</x:v>
      </x:c>
      <x:c r="F435" s="27" t="str">
        <x:v>martus</x:v>
      </x:c>
      <x:c r="G435" s="20" t="str">
        <x:v>a witness (literally (judicially) or figuratively (genitive case)); by analogy, a "martyr"</x:v>
      </x:c>
      <x:c r="H435" s="20" t="str"/>
      <x:c r="I435" s="21"/>
      <x:c r="J435" s="21" t="str">
        <x:v>Mounce 頻率延伸</x:v>
      </x:c>
      <x:c r="K435" s="21" t="str">
        <x:v>G3144</x:v>
      </x:c>
      <x:c r="L435" s="21" t="str">
        <x:v>否</x:v>
      </x:c>
      <x:c r="M435" s="21" t="str"/>
      <x:c r="N435" s="21" t="str">
        <x:v>source_and_lexicon_matched</x:v>
      </x:c>
      <x:c r="O435" s="21" t="str">
        <x:v>rule_generated_from_official_table</x:v>
      </x:c>
      <x:c r="P435" s="21" t="n">
        <x:v>8</x:v>
      </x:c>
      <x:c r="Q435" s="21" t="str">
        <x:v>https://doxa.billmounce.com/Flashcards%20%28BBG%29.pdf</x:v>
      </x:c>
      <x:c r="R435" s="16" t="str"/>
    </x:row>
    <x:row r="436" ht="28" customHeight="1">
      <x:c r="A436" s="21" t="n">
        <x:v>432</x:v>
      </x:c>
      <x:c r="B436" s="21" t="n">
        <x:f>ROUNDUP(A436/50,0)</x:f>
        <x:v>9</x:v>
      </x:c>
      <x:c r="C436" s="21" t="n">
        <x:f>MOD(A436-1,50)+1</x:f>
        <x:v>32</x:v>
      </x:c>
      <x:c r="D436" s="29" t="str">
        <x:v>ὀπίσω</x:v>
      </x:c>
      <x:c r="E436" s="29" t="str">
        <x:v>ὀπίσω</x:v>
      </x:c>
      <x:c r="F436" s="27" t="str">
        <x:v>opisō</x:v>
      </x:c>
      <x:c r="G436" s="20" t="str">
        <x:v>to the back, i.e. aback (as adverb or preposition of time or place; or as noun)</x:v>
      </x:c>
      <x:c r="H436" s="20" t="str"/>
      <x:c r="I436" s="21"/>
      <x:c r="J436" s="21" t="str">
        <x:v>Mounce 頻率延伸</x:v>
      </x:c>
      <x:c r="K436" s="21" t="str">
        <x:v>G3694</x:v>
      </x:c>
      <x:c r="L436" s="21" t="str">
        <x:v>否</x:v>
      </x:c>
      <x:c r="M436" s="21" t="str"/>
      <x:c r="N436" s="21" t="str">
        <x:v>source_and_lexicon_matched</x:v>
      </x:c>
      <x:c r="O436" s="21" t="str">
        <x:v>rule_generated_from_official_table</x:v>
      </x:c>
      <x:c r="P436" s="21" t="n">
        <x:v>8</x:v>
      </x:c>
      <x:c r="Q436" s="21" t="str">
        <x:v>https://doxa.billmounce.com/Flashcards%20%28BBG%29.pdf</x:v>
      </x:c>
      <x:c r="R436" s="16" t="str"/>
    </x:row>
    <x:row r="437" ht="28" customHeight="1">
      <x:c r="A437" s="21" t="n">
        <x:v>433</x:v>
      </x:c>
      <x:c r="B437" s="21" t="n">
        <x:f>ROUNDUP(A437/50,0)</x:f>
        <x:v>9</x:v>
      </x:c>
      <x:c r="C437" s="21" t="n">
        <x:f>MOD(A437-1,50)+1</x:f>
        <x:v>33</x:v>
      </x:c>
      <x:c r="D437" s="29" t="str">
        <x:v>ὀφείλω</x:v>
      </x:c>
      <x:c r="E437" s="29" t="str">
        <x:v>ὀφείλω</x:v>
      </x:c>
      <x:c r="F437" s="27" t="str">
        <x:v>opheilō</x:v>
      </x:c>
      <x:c r="G437" s="20" t="str">
        <x:v>to owe (pecuniarily); figuratively, to be under obligation (ought, must, should); morally, to fail in duty</x:v>
      </x:c>
      <x:c r="H437" s="20" t="str"/>
      <x:c r="I437" s="21"/>
      <x:c r="J437" s="21" t="str">
        <x:v>Mounce 頻率延伸</x:v>
      </x:c>
      <x:c r="K437" s="21" t="str">
        <x:v>G3784</x:v>
      </x:c>
      <x:c r="L437" s="21" t="str">
        <x:v>否</x:v>
      </x:c>
      <x:c r="M437" s="21" t="str"/>
      <x:c r="N437" s="21" t="str">
        <x:v>source_and_lexicon_matched</x:v>
      </x:c>
      <x:c r="O437" s="21" t="str">
        <x:v>rule_generated_from_official_table</x:v>
      </x:c>
      <x:c r="P437" s="21" t="n">
        <x:v>8</x:v>
      </x:c>
      <x:c r="Q437" s="21" t="str">
        <x:v>https://doxa.billmounce.com/Flashcards%20%28BBG%29.pdf</x:v>
      </x:c>
      <x:c r="R437" s="16" t="str"/>
    </x:row>
    <x:row r="438" ht="28" customHeight="1">
      <x:c r="A438" s="21" t="n">
        <x:v>434</x:v>
      </x:c>
      <x:c r="B438" s="21" t="n">
        <x:f>ROUNDUP(A438/50,0)</x:f>
        <x:v>9</x:v>
      </x:c>
      <x:c r="C438" s="21" t="n">
        <x:f>MOD(A438-1,50)+1</x:f>
        <x:v>34</x:v>
      </x:c>
      <x:c r="D438" s="29" t="str">
        <x:v>ὑποστρέφω</x:v>
      </x:c>
      <x:c r="E438" s="29" t="str">
        <x:v>ὑποστρέφω</x:v>
      </x:c>
      <x:c r="F438" s="27" t="str">
        <x:v>hupostrephō</x:v>
      </x:c>
      <x:c r="G438" s="20" t="str">
        <x:v>to turn under (behind), i.e. to return (literally or figuratively)</x:v>
      </x:c>
      <x:c r="H438" s="20" t="str"/>
      <x:c r="I438" s="21"/>
      <x:c r="J438" s="21" t="str">
        <x:v>Mounce 頻率延伸</x:v>
      </x:c>
      <x:c r="K438" s="21" t="str">
        <x:v>G5290</x:v>
      </x:c>
      <x:c r="L438" s="21" t="str">
        <x:v>否</x:v>
      </x:c>
      <x:c r="M438" s="21" t="str"/>
      <x:c r="N438" s="21" t="str">
        <x:v>source_and_lexicon_matched</x:v>
      </x:c>
      <x:c r="O438" s="21" t="str">
        <x:v>rule_generated_from_official_table</x:v>
      </x:c>
      <x:c r="P438" s="21" t="n">
        <x:v>8</x:v>
      </x:c>
      <x:c r="Q438" s="21" t="str">
        <x:v>https://doxa.billmounce.com/Flashcards%20%28BBG%29.pdf</x:v>
      </x:c>
      <x:c r="R438" s="16" t="str"/>
    </x:row>
    <x:row r="439" ht="28" customHeight="1">
      <x:c r="A439" s="21" t="n">
        <x:v>435</x:v>
      </x:c>
      <x:c r="B439" s="21" t="n">
        <x:f>ROUNDUP(A439/50,0)</x:f>
        <x:v>9</x:v>
      </x:c>
      <x:c r="C439" s="21" t="n">
        <x:f>MOD(A439-1,50)+1</x:f>
        <x:v>35</x:v>
      </x:c>
      <x:c r="D439" s="29" t="str">
        <x:v>ἅπας, -ασα, -αν</x:v>
      </x:c>
      <x:c r="E439" s="29" t="str">
        <x:v>ἅπας</x:v>
      </x:c>
      <x:c r="F439" s="27" t="str">
        <x:v>hapas</x:v>
      </x:c>
      <x:c r="G439" s="20" t="str">
        <x:v>absolutely all or (singular) every one</x:v>
      </x:c>
      <x:c r="H439" s="20" t="str"/>
      <x:c r="I439" s="21"/>
      <x:c r="J439" s="21" t="str">
        <x:v>Mounce 頻率延伸</x:v>
      </x:c>
      <x:c r="K439" s="21" t="str">
        <x:v>G537</x:v>
      </x:c>
      <x:c r="L439" s="21" t="str">
        <x:v>否</x:v>
      </x:c>
      <x:c r="M439" s="21" t="str"/>
      <x:c r="N439" s="21" t="str">
        <x:v>source_and_lexicon_matched</x:v>
      </x:c>
      <x:c r="O439" s="21" t="str">
        <x:v>rule_generated_from_official_table</x:v>
      </x:c>
      <x:c r="P439" s="21" t="n">
        <x:v>8</x:v>
      </x:c>
      <x:c r="Q439" s="21" t="str">
        <x:v>https://doxa.billmounce.com/Flashcards%20%28BBG%29.pdf</x:v>
      </x:c>
      <x:c r="R439" s="16" t="str"/>
    </x:row>
    <x:row r="440" ht="28" customHeight="1">
      <x:c r="A440" s="21" t="n">
        <x:v>436</x:v>
      </x:c>
      <x:c r="B440" s="21" t="n">
        <x:f>ROUNDUP(A440/50,0)</x:f>
        <x:v>9</x:v>
      </x:c>
      <x:c r="C440" s="21" t="n">
        <x:f>MOD(A440-1,50)+1</x:f>
        <x:v>36</x:v>
      </x:c>
      <x:c r="D440" s="29" t="str">
        <x:v>βιβλίον, -ου, τό</x:v>
      </x:c>
      <x:c r="E440" s="29" t="str">
        <x:v>βιβλίον</x:v>
      </x:c>
      <x:c r="F440" s="27" t="str">
        <x:v>biblion</x:v>
      </x:c>
      <x:c r="G440" s="20" t="str">
        <x:v>a roll</x:v>
      </x:c>
      <x:c r="H440" s="20" t="str"/>
      <x:c r="I440" s="21"/>
      <x:c r="J440" s="21" t="str">
        <x:v>Mounce 頻率延伸</x:v>
      </x:c>
      <x:c r="K440" s="21" t="str">
        <x:v>G975</x:v>
      </x:c>
      <x:c r="L440" s="21" t="str">
        <x:v>否</x:v>
      </x:c>
      <x:c r="M440" s="21" t="str"/>
      <x:c r="N440" s="21" t="str">
        <x:v>source_and_lexicon_matched</x:v>
      </x:c>
      <x:c r="O440" s="21" t="str">
        <x:v>rule_generated_from_official_table</x:v>
      </x:c>
      <x:c r="P440" s="21" t="n">
        <x:v>8</x:v>
      </x:c>
      <x:c r="Q440" s="21" t="str">
        <x:v>https://doxa.billmounce.com/Flashcards%20%28BBG%29.pdf</x:v>
      </x:c>
      <x:c r="R440" s="16" t="str"/>
    </x:row>
    <x:row r="441" ht="28" customHeight="1">
      <x:c r="A441" s="21" t="n">
        <x:v>437</x:v>
      </x:c>
      <x:c r="B441" s="21" t="n">
        <x:f>ROUNDUP(A441/50,0)</x:f>
        <x:v>9</x:v>
      </x:c>
      <x:c r="C441" s="21" t="n">
        <x:f>MOD(A441-1,50)+1</x:f>
        <x:v>37</x:v>
      </x:c>
      <x:c r="D441" s="29" t="str">
        <x:v>βλασφημέω</x:v>
      </x:c>
      <x:c r="E441" s="29" t="str">
        <x:v>βλασφημέω</x:v>
      </x:c>
      <x:c r="F441" s="27" t="str">
        <x:v>blasphēmeō</x:v>
      </x:c>
      <x:c r="G441" s="20" t="str">
        <x:v>to vilify; specially, to speak impiously</x:v>
      </x:c>
      <x:c r="H441" s="20" t="str"/>
      <x:c r="I441" s="21"/>
      <x:c r="J441" s="21" t="str">
        <x:v>Mounce 頻率延伸</x:v>
      </x:c>
      <x:c r="K441" s="21" t="str">
        <x:v>G987</x:v>
      </x:c>
      <x:c r="L441" s="21" t="str">
        <x:v>否</x:v>
      </x:c>
      <x:c r="M441" s="21" t="str"/>
      <x:c r="N441" s="21" t="str">
        <x:v>source_and_lexicon_matched</x:v>
      </x:c>
      <x:c r="O441" s="21" t="str">
        <x:v>rule_generated_from_official_table</x:v>
      </x:c>
      <x:c r="P441" s="21" t="n">
        <x:v>8</x:v>
      </x:c>
      <x:c r="Q441" s="21" t="str">
        <x:v>https://doxa.billmounce.com/Flashcards%20%28BBG%29.pdf</x:v>
      </x:c>
      <x:c r="R441" s="16" t="str"/>
    </x:row>
    <x:row r="442" ht="28" customHeight="1">
      <x:c r="A442" s="21" t="n">
        <x:v>438</x:v>
      </x:c>
      <x:c r="B442" s="21" t="n">
        <x:f>ROUNDUP(A442/50,0)</x:f>
        <x:v>9</x:v>
      </x:c>
      <x:c r="C442" s="21" t="n">
        <x:f>MOD(A442-1,50)+1</x:f>
        <x:v>38</x:v>
      </x:c>
      <x:c r="D442" s="29" t="str">
        <x:v>μέλος, -ους, τό</x:v>
      </x:c>
      <x:c r="E442" s="29" t="str">
        <x:v>μέλος</x:v>
      </x:c>
      <x:c r="F442" s="27" t="str">
        <x:v>melos</x:v>
      </x:c>
      <x:c r="G442" s="20" t="str">
        <x:v>a limb or part of the body</x:v>
      </x:c>
      <x:c r="H442" s="20" t="str"/>
      <x:c r="I442" s="21"/>
      <x:c r="J442" s="21" t="str">
        <x:v>Mounce 頻率延伸</x:v>
      </x:c>
      <x:c r="K442" s="21" t="str">
        <x:v>G3196</x:v>
      </x:c>
      <x:c r="L442" s="21" t="str">
        <x:v>否</x:v>
      </x:c>
      <x:c r="M442" s="21" t="str"/>
      <x:c r="N442" s="21" t="str">
        <x:v>source_and_lexicon_matched</x:v>
      </x:c>
      <x:c r="O442" s="21" t="str">
        <x:v>rule_generated_from_official_table</x:v>
      </x:c>
      <x:c r="P442" s="21" t="n">
        <x:v>8</x:v>
      </x:c>
      <x:c r="Q442" s="21" t="str">
        <x:v>https://doxa.billmounce.com/Flashcards%20%28BBG%29.pdf</x:v>
      </x:c>
      <x:c r="R442" s="16" t="str"/>
    </x:row>
    <x:row r="443" ht="28" customHeight="1">
      <x:c r="A443" s="21" t="n">
        <x:v>439</x:v>
      </x:c>
      <x:c r="B443" s="21" t="n">
        <x:f>ROUNDUP(A443/50,0)</x:f>
        <x:v>9</x:v>
      </x:c>
      <x:c r="C443" s="21" t="n">
        <x:f>MOD(A443-1,50)+1</x:f>
        <x:v>39</x:v>
      </x:c>
      <x:c r="D443" s="29" t="str">
        <x:v>μετανοέω</x:v>
      </x:c>
      <x:c r="E443" s="29" t="str">
        <x:v>μετανοέω</x:v>
      </x:c>
      <x:c r="F443" s="27" t="str">
        <x:v>metanoeō</x:v>
      </x:c>
      <x:c r="G443" s="20" t="str">
        <x:v>to think differently or afterwards, i.e. reconsider (morally, feel compunction)</x:v>
      </x:c>
      <x:c r="H443" s="20" t="str"/>
      <x:c r="I443" s="21"/>
      <x:c r="J443" s="21" t="str">
        <x:v>Mounce 頻率延伸</x:v>
      </x:c>
      <x:c r="K443" s="21" t="str">
        <x:v>G3340</x:v>
      </x:c>
      <x:c r="L443" s="21" t="str">
        <x:v>否</x:v>
      </x:c>
      <x:c r="M443" s="21" t="str"/>
      <x:c r="N443" s="21" t="str">
        <x:v>source_and_lexicon_matched</x:v>
      </x:c>
      <x:c r="O443" s="21" t="str">
        <x:v>rule_generated_from_official_table</x:v>
      </x:c>
      <x:c r="P443" s="21" t="n">
        <x:v>8</x:v>
      </x:c>
      <x:c r="Q443" s="21" t="str">
        <x:v>https://doxa.billmounce.com/Flashcards%20%28BBG%29.pdf</x:v>
      </x:c>
      <x:c r="R443" s="16" t="str"/>
    </x:row>
    <x:row r="444" ht="28" customHeight="1">
      <x:c r="A444" s="21" t="n">
        <x:v>440</x:v>
      </x:c>
      <x:c r="B444" s="21" t="n">
        <x:f>ROUNDUP(A444/50,0)</x:f>
        <x:v>9</x:v>
      </x:c>
      <x:c r="C444" s="21" t="n">
        <x:f>MOD(A444-1,50)+1</x:f>
        <x:v>40</x:v>
      </x:c>
      <x:c r="D444" s="29" t="str">
        <x:v>μήτε</x:v>
      </x:c>
      <x:c r="E444" s="29" t="str">
        <x:v>μήτε</x:v>
      </x:c>
      <x:c r="F444" s="27" t="str">
        <x:v>mēte</x:v>
      </x:c>
      <x:c r="G444" s="20" t="str">
        <x:v>not too, i.e. (in continued negation) neither or nor; also, not even</x:v>
      </x:c>
      <x:c r="H444" s="20" t="str"/>
      <x:c r="I444" s="21"/>
      <x:c r="J444" s="21" t="str">
        <x:v>Mounce 頻率延伸</x:v>
      </x:c>
      <x:c r="K444" s="21" t="str">
        <x:v>G3383</x:v>
      </x:c>
      <x:c r="L444" s="21" t="str">
        <x:v>否</x:v>
      </x:c>
      <x:c r="M444" s="21" t="str"/>
      <x:c r="N444" s="21" t="str">
        <x:v>source_and_lexicon_matched</x:v>
      </x:c>
      <x:c r="O444" s="21" t="str">
        <x:v>rule_generated_from_official_table</x:v>
      </x:c>
      <x:c r="P444" s="21" t="n">
        <x:v>8</x:v>
      </x:c>
      <x:c r="Q444" s="21" t="str">
        <x:v>https://doxa.billmounce.com/Flashcards%20%28BBG%29.pdf</x:v>
      </x:c>
      <x:c r="R444" s="16" t="str"/>
    </x:row>
    <x:row r="445" ht="28" customHeight="1">
      <x:c r="A445" s="21" t="n">
        <x:v>441</x:v>
      </x:c>
      <x:c r="B445" s="21" t="n">
        <x:f>ROUNDUP(A445/50,0)</x:f>
        <x:v>9</x:v>
      </x:c>
      <x:c r="C445" s="21" t="n">
        <x:f>MOD(A445-1,50)+1</x:f>
        <x:v>41</x:v>
      </x:c>
      <x:c r="D445" s="29" t="str">
        <x:v>οἶνος, -ου, ὁ</x:v>
      </x:c>
      <x:c r="E445" s="29" t="str">
        <x:v>οἶνος</x:v>
      </x:c>
      <x:c r="F445" s="27" t="str">
        <x:v>oinos</x:v>
      </x:c>
      <x:c r="G445" s="20" t="str">
        <x:v>"wine" (literally or figuratively)</x:v>
      </x:c>
      <x:c r="H445" s="20" t="str"/>
      <x:c r="I445" s="21"/>
      <x:c r="J445" s="21" t="str">
        <x:v>Mounce 頻率延伸</x:v>
      </x:c>
      <x:c r="K445" s="21" t="str">
        <x:v>G3631</x:v>
      </x:c>
      <x:c r="L445" s="21" t="str">
        <x:v>否</x:v>
      </x:c>
      <x:c r="M445" s="21" t="str"/>
      <x:c r="N445" s="21" t="str">
        <x:v>source_and_lexicon_matched</x:v>
      </x:c>
      <x:c r="O445" s="21" t="str">
        <x:v>rule_generated_from_official_table</x:v>
      </x:c>
      <x:c r="P445" s="21" t="n">
        <x:v>8</x:v>
      </x:c>
      <x:c r="Q445" s="21" t="str">
        <x:v>https://doxa.billmounce.com/Flashcards%20%28BBG%29.pdf</x:v>
      </x:c>
      <x:c r="R445" s="16" t="str"/>
    </x:row>
    <x:row r="446" ht="28" customHeight="1">
      <x:c r="A446" s="21" t="n">
        <x:v>442</x:v>
      </x:c>
      <x:c r="B446" s="21" t="n">
        <x:f>ROUNDUP(A446/50,0)</x:f>
        <x:v>9</x:v>
      </x:c>
      <x:c r="C446" s="21" t="n">
        <x:f>MOD(A446-1,50)+1</x:f>
        <x:v>42</x:v>
      </x:c>
      <x:c r="D446" s="29" t="str">
        <x:v>πτωχός, -ή, -όν</x:v>
      </x:c>
      <x:c r="E446" s="29" t="str">
        <x:v>πτωχός</x:v>
      </x:c>
      <x:c r="F446" s="27" t="str">
        <x:v>ptōchos</x:v>
      </x:c>
      <x:c r="G446" s="20" t="str">
        <x:v>akin to G4422 (πτοέω) and the alternate of G4098 (πίπτω)); a beggar (as cringing), i.e. pauper (strictly denoting absolute or public mendicancy, although also used in a qualified or relative sense; whereas G3993 (πένης) properly means only straitened circumstances in private), literally (often as noun) or figuratively (distressed)</x:v>
      </x:c>
      <x:c r="H446" s="20" t="str"/>
      <x:c r="I446" s="21"/>
      <x:c r="J446" s="21" t="str">
        <x:v>Mounce 頻率延伸</x:v>
      </x:c>
      <x:c r="K446" s="21" t="str">
        <x:v>G4434</x:v>
      </x:c>
      <x:c r="L446" s="21" t="str">
        <x:v>否</x:v>
      </x:c>
      <x:c r="M446" s="21" t="str"/>
      <x:c r="N446" s="21" t="str">
        <x:v>source_and_lexicon_matched</x:v>
      </x:c>
      <x:c r="O446" s="21" t="str">
        <x:v>rule_generated_from_official_table</x:v>
      </x:c>
      <x:c r="P446" s="21" t="n">
        <x:v>8</x:v>
      </x:c>
      <x:c r="Q446" s="21" t="str">
        <x:v>https://doxa.billmounce.com/Flashcards%20%28BBG%29.pdf</x:v>
      </x:c>
      <x:c r="R446" s="16" t="str"/>
    </x:row>
    <x:row r="447" ht="28" customHeight="1">
      <x:c r="A447" s="21" t="n">
        <x:v>443</x:v>
      </x:c>
      <x:c r="B447" s="21" t="n">
        <x:f>ROUNDUP(A447/50,0)</x:f>
        <x:v>9</x:v>
      </x:c>
      <x:c r="C447" s="21" t="n">
        <x:f>MOD(A447-1,50)+1</x:f>
        <x:v>43</x:v>
      </x:c>
      <x:c r="D447" s="29" t="str">
        <x:v>ἀρνέομαι</x:v>
      </x:c>
      <x:c r="E447" s="29" t="str">
        <x:v>ἀρνέομαι</x:v>
      </x:c>
      <x:c r="F447" s="27" t="str">
        <x:v>arneomai</x:v>
      </x:c>
      <x:c r="G447" s="20" t="str">
        <x:v>to contradict, i.e. disavow, reject, abnegate</x:v>
      </x:c>
      <x:c r="H447" s="20" t="str"/>
      <x:c r="I447" s="21"/>
      <x:c r="J447" s="21" t="str">
        <x:v>Mounce 頻率延伸</x:v>
      </x:c>
      <x:c r="K447" s="21" t="str">
        <x:v>G720</x:v>
      </x:c>
      <x:c r="L447" s="21" t="str">
        <x:v>否</x:v>
      </x:c>
      <x:c r="M447" s="21" t="str"/>
      <x:c r="N447" s="21" t="str">
        <x:v>source_and_lexicon_matched</x:v>
      </x:c>
      <x:c r="O447" s="21" t="str">
        <x:v>rule_generated_from_official_table</x:v>
      </x:c>
      <x:c r="P447" s="21" t="n">
        <x:v>8</x:v>
      </x:c>
      <x:c r="Q447" s="21" t="str">
        <x:v>https://doxa.billmounce.com/Flashcards%20%28BBG%29.pdf</x:v>
      </x:c>
      <x:c r="R447" s="16" t="str"/>
    </x:row>
    <x:row r="448" ht="28" customHeight="1">
      <x:c r="A448" s="21" t="n">
        <x:v>444</x:v>
      </x:c>
      <x:c r="B448" s="21" t="n">
        <x:f>ROUNDUP(A448/50,0)</x:f>
        <x:v>9</x:v>
      </x:c>
      <x:c r="C448" s="21" t="n">
        <x:f>MOD(A448-1,50)+1</x:f>
        <x:v>44</x:v>
      </x:c>
      <x:c r="D448" s="29" t="str">
        <x:v>ἀσθενέω</x:v>
      </x:c>
      <x:c r="E448" s="29" t="str">
        <x:v>ἀσθενέω</x:v>
      </x:c>
      <x:c r="F448" s="27" t="str">
        <x:v>astheneō</x:v>
      </x:c>
      <x:c r="G448" s="20" t="str">
        <x:v>to be feeble (in any sense)</x:v>
      </x:c>
      <x:c r="H448" s="20" t="str"/>
      <x:c r="I448" s="21"/>
      <x:c r="J448" s="21" t="str">
        <x:v>Mounce 頻率延伸</x:v>
      </x:c>
      <x:c r="K448" s="21" t="str">
        <x:v>G770</x:v>
      </x:c>
      <x:c r="L448" s="21" t="str">
        <x:v>否</x:v>
      </x:c>
      <x:c r="M448" s="21" t="str"/>
      <x:c r="N448" s="21" t="str">
        <x:v>source_and_lexicon_matched</x:v>
      </x:c>
      <x:c r="O448" s="21" t="str">
        <x:v>rule_generated_from_official_table</x:v>
      </x:c>
      <x:c r="P448" s="21" t="n">
        <x:v>8</x:v>
      </x:c>
      <x:c r="Q448" s="21" t="str">
        <x:v>https://doxa.billmounce.com/Flashcards%20%28BBG%29.pdf</x:v>
      </x:c>
      <x:c r="R448" s="16" t="str"/>
    </x:row>
    <x:row r="449" ht="28" customHeight="1">
      <x:c r="A449" s="21" t="n">
        <x:v>445</x:v>
      </x:c>
      <x:c r="B449" s="21" t="n">
        <x:f>ROUNDUP(A449/50,0)</x:f>
        <x:v>9</x:v>
      </x:c>
      <x:c r="C449" s="21" t="n">
        <x:f>MOD(A449-1,50)+1</x:f>
        <x:v>45</x:v>
      </x:c>
      <x:c r="D449" s="29" t="str">
        <x:v>διαθήκη, -ης, ἡ</x:v>
      </x:c>
      <x:c r="E449" s="29" t="str">
        <x:v>διαθήκη</x:v>
      </x:c>
      <x:c r="F449" s="27" t="str">
        <x:v>diathēkē</x:v>
      </x:c>
      <x:c r="G449" s="20" t="str">
        <x:v>properly, a disposition, i.e. (specially) a contract (especially a devisory will)</x:v>
      </x:c>
      <x:c r="H449" s="20" t="str"/>
      <x:c r="I449" s="21"/>
      <x:c r="J449" s="21" t="str">
        <x:v>Mounce 頻率延伸</x:v>
      </x:c>
      <x:c r="K449" s="21" t="str">
        <x:v>G1242</x:v>
      </x:c>
      <x:c r="L449" s="21" t="str">
        <x:v>否</x:v>
      </x:c>
      <x:c r="M449" s="21" t="str"/>
      <x:c r="N449" s="21" t="str">
        <x:v>source_and_lexicon_matched</x:v>
      </x:c>
      <x:c r="O449" s="21" t="str">
        <x:v>rule_generated_from_official_table</x:v>
      </x:c>
      <x:c r="P449" s="21" t="n">
        <x:v>8</x:v>
      </x:c>
      <x:c r="Q449" s="21" t="str">
        <x:v>https://doxa.billmounce.com/Flashcards%20%28BBG%29.pdf</x:v>
      </x:c>
      <x:c r="R449" s="16" t="str"/>
    </x:row>
    <x:row r="450" ht="28" customHeight="1">
      <x:c r="A450" s="21" t="n">
        <x:v>446</x:v>
      </x:c>
      <x:c r="B450" s="21" t="n">
        <x:f>ROUNDUP(A450/50,0)</x:f>
        <x:v>9</x:v>
      </x:c>
      <x:c r="C450" s="21" t="n">
        <x:f>MOD(A450-1,50)+1</x:f>
        <x:v>46</x:v>
      </x:c>
      <x:c r="D450" s="29" t="str">
        <x:v>ἐκπορεύομαι</x:v>
      </x:c>
      <x:c r="E450" s="29" t="str">
        <x:v>ἐκπορεύομαι</x:v>
      </x:c>
      <x:c r="F450" s="27" t="str">
        <x:v>ekporeuomai</x:v>
      </x:c>
      <x:c r="G450" s="20" t="str">
        <x:v>to depart, be discharged, proceed, project</x:v>
      </x:c>
      <x:c r="H450" s="20" t="str"/>
      <x:c r="I450" s="21"/>
      <x:c r="J450" s="21" t="str">
        <x:v>Mounce 頻率延伸</x:v>
      </x:c>
      <x:c r="K450" s="21" t="str">
        <x:v>G1607</x:v>
      </x:c>
      <x:c r="L450" s="21" t="str">
        <x:v>否</x:v>
      </x:c>
      <x:c r="M450" s="21" t="str"/>
      <x:c r="N450" s="21" t="str">
        <x:v>source_and_lexicon_matched</x:v>
      </x:c>
      <x:c r="O450" s="21" t="str">
        <x:v>rule_generated_from_official_table</x:v>
      </x:c>
      <x:c r="P450" s="21" t="n">
        <x:v>8</x:v>
      </x:c>
      <x:c r="Q450" s="21" t="str">
        <x:v>https://doxa.billmounce.com/Flashcards%20%28BBG%29.pdf</x:v>
      </x:c>
      <x:c r="R450" s="16" t="str"/>
    </x:row>
    <x:row r="451" ht="28" customHeight="1">
      <x:c r="A451" s="21" t="n">
        <x:v>447</x:v>
      </x:c>
      <x:c r="B451" s="21" t="n">
        <x:f>ROUNDUP(A451/50,0)</x:f>
        <x:v>9</x:v>
      </x:c>
      <x:c r="C451" s="21" t="n">
        <x:f>MOD(A451-1,50)+1</x:f>
        <x:v>47</x:v>
      </x:c>
      <x:c r="D451" s="29" t="str">
        <x:v>ναί</x:v>
      </x:c>
      <x:c r="E451" s="29" t="str">
        <x:v>ναί</x:v>
      </x:c>
      <x:c r="F451" s="27" t="str">
        <x:v>nai</x:v>
      </x:c>
      <x:c r="G451" s="20" t="str">
        <x:v>yes</x:v>
      </x:c>
      <x:c r="H451" s="20" t="str"/>
      <x:c r="I451" s="21"/>
      <x:c r="J451" s="21" t="str">
        <x:v>Mounce 頻率延伸</x:v>
      </x:c>
      <x:c r="K451" s="21" t="str">
        <x:v>G3483</x:v>
      </x:c>
      <x:c r="L451" s="21" t="str">
        <x:v>否</x:v>
      </x:c>
      <x:c r="M451" s="21" t="str"/>
      <x:c r="N451" s="21" t="str">
        <x:v>source_and_lexicon_matched</x:v>
      </x:c>
      <x:c r="O451" s="21" t="str">
        <x:v>rule_generated_from_official_table</x:v>
      </x:c>
      <x:c r="P451" s="21" t="n">
        <x:v>8</x:v>
      </x:c>
      <x:c r="Q451" s="21" t="str">
        <x:v>https://doxa.billmounce.com/Flashcards%20%28BBG%29.pdf</x:v>
      </x:c>
      <x:c r="R451" s="16" t="str"/>
    </x:row>
    <x:row r="452" ht="28" customHeight="1">
      <x:c r="A452" s="21" t="n">
        <x:v>448</x:v>
      </x:c>
      <x:c r="B452" s="21" t="n">
        <x:f>ROUNDUP(A452/50,0)</x:f>
        <x:v>9</x:v>
      </x:c>
      <x:c r="C452" s="21" t="n">
        <x:f>MOD(A452-1,50)+1</x:f>
        <x:v>48</x:v>
      </x:c>
      <x:c r="D452" s="29" t="str">
        <x:v>ποῖος, -α, -ον</x:v>
      </x:c>
      <x:c r="E452" s="29" t="str">
        <x:v>ποῖος</x:v>
      </x:c>
      <x:c r="F452" s="27" t="str">
        <x:v>poios</x:v>
      </x:c>
      <x:c r="G452" s="20" t="str">
        <x:v>individualizing interrogative (of character) what sort of, or (of number) which one</x:v>
      </x:c>
      <x:c r="H452" s="20" t="str"/>
      <x:c r="I452" s="21"/>
      <x:c r="J452" s="21" t="str">
        <x:v>Mounce 頻率延伸</x:v>
      </x:c>
      <x:c r="K452" s="21" t="str">
        <x:v>G4169</x:v>
      </x:c>
      <x:c r="L452" s="21" t="str">
        <x:v>否</x:v>
      </x:c>
      <x:c r="M452" s="21" t="str"/>
      <x:c r="N452" s="21" t="str">
        <x:v>source_and_lexicon_matched</x:v>
      </x:c>
      <x:c r="O452" s="21" t="str">
        <x:v>rule_generated_from_official_table</x:v>
      </x:c>
      <x:c r="P452" s="21" t="n">
        <x:v>8</x:v>
      </x:c>
      <x:c r="Q452" s="21" t="str">
        <x:v>https://doxa.billmounce.com/Flashcards%20%28BBG%29.pdf</x:v>
      </x:c>
      <x:c r="R452" s="16" t="str"/>
    </x:row>
    <x:row r="453" ht="28" customHeight="1">
      <x:c r="A453" s="21" t="n">
        <x:v>449</x:v>
      </x:c>
      <x:c r="B453" s="21" t="n">
        <x:f>ROUNDUP(A453/50,0)</x:f>
        <x:v>9</x:v>
      </x:c>
      <x:c r="C453" s="21" t="n">
        <x:f>MOD(A453-1,50)+1</x:f>
        <x:v>49</x:v>
      </x:c>
      <x:c r="D453" s="29" t="str">
        <x:v>ἀκάθαρτος, -ον</x:v>
      </x:c>
      <x:c r="E453" s="29" t="str">
        <x:v>ἀκάθαρτος</x:v>
      </x:c>
      <x:c r="F453" s="27" t="str">
        <x:v>akathartos</x:v>
      </x:c>
      <x:c r="G453" s="20" t="str">
        <x:v>impure (ceremonially, morally (lewd) or specially, (demonic))</x:v>
      </x:c>
      <x:c r="H453" s="20" t="str"/>
      <x:c r="I453" s="21"/>
      <x:c r="J453" s="21" t="str">
        <x:v>Mounce 頻率延伸</x:v>
      </x:c>
      <x:c r="K453" s="21" t="str">
        <x:v>G169</x:v>
      </x:c>
      <x:c r="L453" s="21" t="str">
        <x:v>否</x:v>
      </x:c>
      <x:c r="M453" s="21" t="str"/>
      <x:c r="N453" s="21" t="str">
        <x:v>source_and_lexicon_matched</x:v>
      </x:c>
      <x:c r="O453" s="21" t="str">
        <x:v>rule_generated_from_official_table</x:v>
      </x:c>
      <x:c r="P453" s="21" t="n">
        <x:v>8</x:v>
      </x:c>
      <x:c r="Q453" s="21" t="str">
        <x:v>https://doxa.billmounce.com/Flashcards%20%28BBG%29.pdf</x:v>
      </x:c>
      <x:c r="R453" s="16" t="str"/>
    </x:row>
    <x:row r="454" ht="28" customHeight="1">
      <x:c r="A454" s="21" t="n">
        <x:v>450</x:v>
      </x:c>
      <x:c r="B454" s="21" t="n">
        <x:f>ROUNDUP(A454/50,0)</x:f>
        <x:v>9</x:v>
      </x:c>
      <x:c r="C454" s="21" t="n">
        <x:f>MOD(A454-1,50)+1</x:f>
        <x:v>50</x:v>
      </x:c>
      <x:c r="D454" s="29" t="str">
        <x:v>ἀναγινώσκω</x:v>
      </x:c>
      <x:c r="E454" s="29" t="str">
        <x:v>ἀναγινώσκω</x:v>
      </x:c>
      <x:c r="F454" s="27" t="str">
        <x:v>anaginōskō</x:v>
      </x:c>
      <x:c r="G454" s="20" t="str">
        <x:v>to know again, i.e. (by extension) to read</x:v>
      </x:c>
      <x:c r="H454" s="20" t="str"/>
      <x:c r="I454" s="21"/>
      <x:c r="J454" s="21" t="str">
        <x:v>Mounce 頻率延伸</x:v>
      </x:c>
      <x:c r="K454" s="21" t="str">
        <x:v>G314</x:v>
      </x:c>
      <x:c r="L454" s="21" t="str">
        <x:v>否</x:v>
      </x:c>
      <x:c r="M454" s="21" t="str"/>
      <x:c r="N454" s="21" t="str">
        <x:v>source_and_lexicon_matched</x:v>
      </x:c>
      <x:c r="O454" s="21" t="str">
        <x:v>rule_generated_from_official_table</x:v>
      </x:c>
      <x:c r="P454" s="21" t="n">
        <x:v>8</x:v>
      </x:c>
      <x:c r="Q454" s="21" t="str">
        <x:v>https://doxa.billmounce.com/Flashcards%20%28BBG%29.pdf</x:v>
      </x:c>
      <x:c r="R454" s="16" t="str"/>
    </x:row>
    <x:row r="455" ht="28" customHeight="1">
      <x:c r="A455" s="21" t="n">
        <x:v>451</x:v>
      </x:c>
      <x:c r="B455" s="21" t="n">
        <x:f>ROUNDUP(A455/50,0)</x:f>
        <x:v>10</x:v>
      </x:c>
      <x:c r="C455" s="21" t="n">
        <x:f>MOD(A455-1,50)+1</x:f>
        <x:v>1</x:v>
      </x:c>
      <x:c r="D455" s="29" t="str">
        <x:v>δυνατός, -ή, -όν</x:v>
      </x:c>
      <x:c r="E455" s="29" t="str">
        <x:v>δυνατός</x:v>
      </x:c>
      <x:c r="F455" s="27" t="str">
        <x:v>dunatos</x:v>
      </x:c>
      <x:c r="G455" s="20" t="str">
        <x:v>powerful or capable (literally or figuratively); neuter possible</x:v>
      </x:c>
      <x:c r="H455" s="20" t="str"/>
      <x:c r="I455" s="21"/>
      <x:c r="J455" s="21" t="str">
        <x:v>Mounce 頻率延伸</x:v>
      </x:c>
      <x:c r="K455" s="21" t="str">
        <x:v>G1415</x:v>
      </x:c>
      <x:c r="L455" s="21" t="str">
        <x:v>否</x:v>
      </x:c>
      <x:c r="M455" s="21" t="str"/>
      <x:c r="N455" s="21" t="str">
        <x:v>source_and_lexicon_matched</x:v>
      </x:c>
      <x:c r="O455" s="21" t="str">
        <x:v>rule_generated_from_official_table</x:v>
      </x:c>
      <x:c r="P455" s="21" t="n">
        <x:v>8</x:v>
      </x:c>
      <x:c r="Q455" s="21" t="str">
        <x:v>https://doxa.billmounce.com/Flashcards%20%28BBG%29.pdf</x:v>
      </x:c>
      <x:c r="R455" s="16" t="str"/>
    </x:row>
    <x:row r="456" ht="28" customHeight="1">
      <x:c r="A456" s="21" t="n">
        <x:v>452</x:v>
      </x:c>
      <x:c r="B456" s="21" t="n">
        <x:f>ROUNDUP(A456/50,0)</x:f>
        <x:v>10</x:v>
      </x:c>
      <x:c r="C456" s="21" t="n">
        <x:f>MOD(A456-1,50)+1</x:f>
        <x:v>2</x:v>
      </x:c>
      <x:c r="D456" s="29" t="str">
        <x:v>ἐχθρός, -ά, -όν</x:v>
      </x:c>
      <x:c r="E456" s="29" t="str">
        <x:v>ἐχθρός</x:v>
      </x:c>
      <x:c r="F456" s="27" t="str">
        <x:v>echthros</x:v>
      </x:c>
      <x:c r="G456" s="20" t="str">
        <x:v>hateful (passively, odious, or actively, hostile); usually as a noun, an adversary (especially Satan)</x:v>
      </x:c>
      <x:c r="H456" s="20" t="str"/>
      <x:c r="I456" s="21"/>
      <x:c r="J456" s="21" t="str">
        <x:v>Mounce 頻率延伸</x:v>
      </x:c>
      <x:c r="K456" s="21" t="str">
        <x:v>G2190</x:v>
      </x:c>
      <x:c r="L456" s="21" t="str">
        <x:v>否</x:v>
      </x:c>
      <x:c r="M456" s="21" t="str"/>
      <x:c r="N456" s="21" t="str">
        <x:v>source_and_lexicon_matched</x:v>
      </x:c>
      <x:c r="O456" s="21" t="str">
        <x:v>rule_generated_from_official_table</x:v>
      </x:c>
      <x:c r="P456" s="21" t="n">
        <x:v>8</x:v>
      </x:c>
      <x:c r="Q456" s="21" t="str">
        <x:v>https://doxa.billmounce.com/Flashcards%20%28BBG%29.pdf</x:v>
      </x:c>
      <x:c r="R456" s="16" t="str"/>
    </x:row>
    <x:row r="457" ht="28" customHeight="1">
      <x:c r="A457" s="21" t="n">
        <x:v>453</x:v>
      </x:c>
      <x:c r="B457" s="21" t="n">
        <x:f>ROUNDUP(A457/50,0)</x:f>
        <x:v>10</x:v>
      </x:c>
      <x:c r="C457" s="21" t="n">
        <x:f>MOD(A457-1,50)+1</x:f>
        <x:v>3</x:v>
      </x:c>
      <x:c r="D457" s="29" t="str">
        <x:v>ἥλιος, -ου, ὁ</x:v>
      </x:c>
      <x:c r="E457" s="29" t="str">
        <x:v>ἥλιος</x:v>
      </x:c>
      <x:c r="F457" s="27" t="str">
        <x:v>hēlios</x:v>
      </x:c>
      <x:c r="G457" s="20" t="str">
        <x:v>perhaps akin to the alternate of G138 (αἱρέομαι)); the sun; by implication, light</x:v>
      </x:c>
      <x:c r="H457" s="20" t="str"/>
      <x:c r="I457" s="21"/>
      <x:c r="J457" s="21" t="str">
        <x:v>Mounce 頻率延伸</x:v>
      </x:c>
      <x:c r="K457" s="21" t="str">
        <x:v>G2246</x:v>
      </x:c>
      <x:c r="L457" s="21" t="str">
        <x:v>否</x:v>
      </x:c>
      <x:c r="M457" s="21" t="str"/>
      <x:c r="N457" s="21" t="str">
        <x:v>source_and_lexicon_matched</x:v>
      </x:c>
      <x:c r="O457" s="21" t="str">
        <x:v>rule_generated_from_official_table</x:v>
      </x:c>
      <x:c r="P457" s="21" t="n">
        <x:v>8</x:v>
      </x:c>
      <x:c r="Q457" s="21" t="str">
        <x:v>https://doxa.billmounce.com/Flashcards%20%28BBG%29.pdf</x:v>
      </x:c>
      <x:c r="R457" s="16" t="str"/>
    </x:row>
    <x:row r="458" ht="28" customHeight="1">
      <x:c r="A458" s="21" t="n">
        <x:v>454</x:v>
      </x:c>
      <x:c r="B458" s="21" t="n">
        <x:f>ROUNDUP(A458/50,0)</x:f>
        <x:v>10</x:v>
      </x:c>
      <x:c r="C458" s="21" t="n">
        <x:f>MOD(A458-1,50)+1</x:f>
        <x:v>4</x:v>
      </x:c>
      <x:c r="D458" s="29" t="str">
        <x:v>παραγγέλλω</x:v>
      </x:c>
      <x:c r="E458" s="29" t="str">
        <x:v>παραγγέλλω</x:v>
      </x:c>
      <x:c r="F458" s="27" t="str">
        <x:v>parangellō</x:v>
      </x:c>
      <x:c r="G458" s="20" t="str">
        <x:v>to transmit a message, i.e. (by implication) to enjoin</x:v>
      </x:c>
      <x:c r="H458" s="20" t="str"/>
      <x:c r="I458" s="21"/>
      <x:c r="J458" s="21" t="str">
        <x:v>Mounce 頻率延伸</x:v>
      </x:c>
      <x:c r="K458" s="21" t="str">
        <x:v>G3853</x:v>
      </x:c>
      <x:c r="L458" s="21" t="str">
        <x:v>否</x:v>
      </x:c>
      <x:c r="M458" s="21" t="str"/>
      <x:c r="N458" s="21" t="str">
        <x:v>source_and_lexicon_matched</x:v>
      </x:c>
      <x:c r="O458" s="21" t="str">
        <x:v>rule_generated_from_official_table</x:v>
      </x:c>
      <x:c r="P458" s="21" t="n">
        <x:v>8</x:v>
      </x:c>
      <x:c r="Q458" s="21" t="str">
        <x:v>https://doxa.billmounce.com/Flashcards%20%28BBG%29.pdf</x:v>
      </x:c>
      <x:c r="R458" s="16" t="str"/>
    </x:row>
    <x:row r="459" ht="28" customHeight="1">
      <x:c r="A459" s="21" t="n">
        <x:v>455</x:v>
      </x:c>
      <x:c r="B459" s="21" t="n">
        <x:f>ROUNDUP(A459/50,0)</x:f>
        <x:v>10</x:v>
      </x:c>
      <x:c r="C459" s="21" t="n">
        <x:f>MOD(A459-1,50)+1</x:f>
        <x:v>5</x:v>
      </x:c>
      <x:c r="D459" s="29" t="str">
        <x:v>ὑπομονή, -ῆς, ἡ</x:v>
      </x:c>
      <x:c r="E459" s="29" t="str">
        <x:v>ὑπομονή</x:v>
      </x:c>
      <x:c r="F459" s="27" t="str">
        <x:v>hupomonē</x:v>
      </x:c>
      <x:c r="G459" s="20" t="str">
        <x:v>cheerful (or hopeful) endurance, constancy</x:v>
      </x:c>
      <x:c r="H459" s="20" t="str"/>
      <x:c r="I459" s="21"/>
      <x:c r="J459" s="21" t="str">
        <x:v>Mounce 頻率延伸</x:v>
      </x:c>
      <x:c r="K459" s="21" t="str">
        <x:v>G5281</x:v>
      </x:c>
      <x:c r="L459" s="21" t="str">
        <x:v>否</x:v>
      </x:c>
      <x:c r="M459" s="21" t="str"/>
      <x:c r="N459" s="21" t="str">
        <x:v>source_and_lexicon_matched</x:v>
      </x:c>
      <x:c r="O459" s="21" t="str">
        <x:v>rule_generated_from_official_table</x:v>
      </x:c>
      <x:c r="P459" s="21" t="n">
        <x:v>8</x:v>
      </x:c>
      <x:c r="Q459" s="21" t="str">
        <x:v>https://doxa.billmounce.com/Flashcards%20%28BBG%29.pdf</x:v>
      </x:c>
      <x:c r="R459" s="16" t="str"/>
    </x:row>
    <x:row r="460" ht="28" customHeight="1">
      <x:c r="A460" s="21" t="n">
        <x:v>456</x:v>
      </x:c>
      <x:c r="B460" s="21" t="n">
        <x:f>ROUNDUP(A460/50,0)</x:f>
        <x:v>10</x:v>
      </x:c>
      <x:c r="C460" s="21" t="n">
        <x:f>MOD(A460-1,50)+1</x:f>
        <x:v>6</x:v>
      </x:c>
      <x:c r="D460" s="29" t="str">
        <x:v>ἄνεμος, -ου, ὁ</x:v>
      </x:c>
      <x:c r="E460" s="29" t="str">
        <x:v>ἄνεμος</x:v>
      </x:c>
      <x:c r="F460" s="27" t="str">
        <x:v>anemos</x:v>
      </x:c>
      <x:c r="G460" s="20" t="str">
        <x:v>wind; (plural) by implication, (the four) quarters (of the earth)</x:v>
      </x:c>
      <x:c r="H460" s="20" t="str"/>
      <x:c r="I460" s="21"/>
      <x:c r="J460" s="21" t="str">
        <x:v>Mounce 頻率延伸</x:v>
      </x:c>
      <x:c r="K460" s="21" t="str">
        <x:v>G417</x:v>
      </x:c>
      <x:c r="L460" s="21" t="str">
        <x:v>否</x:v>
      </x:c>
      <x:c r="M460" s="21" t="str"/>
      <x:c r="N460" s="21" t="str">
        <x:v>source_and_lexicon_matched</x:v>
      </x:c>
      <x:c r="O460" s="21" t="str">
        <x:v>rule_generated_from_official_table</x:v>
      </x:c>
      <x:c r="P460" s="21" t="n">
        <x:v>8</x:v>
      </x:c>
      <x:c r="Q460" s="21" t="str">
        <x:v>https://doxa.billmounce.com/Flashcards%20%28BBG%29.pdf</x:v>
      </x:c>
      <x:c r="R460" s="16" t="str"/>
    </x:row>
    <x:row r="461" ht="28" customHeight="1">
      <x:c r="A461" s="21" t="n">
        <x:v>457</x:v>
      </x:c>
      <x:c r="B461" s="21" t="n">
        <x:f>ROUNDUP(A461/50,0)</x:f>
        <x:v>10</x:v>
      </x:c>
      <x:c r="C461" s="21" t="n">
        <x:f>MOD(A461-1,50)+1</x:f>
        <x:v>7</x:v>
      </x:c>
      <x:c r="D461" s="29" t="str">
        <x:v>ἐγγύς</x:v>
      </x:c>
      <x:c r="E461" s="29" t="str">
        <x:v>ἐγγύς</x:v>
      </x:c>
      <x:c r="F461" s="27" t="str">
        <x:v>engus</x:v>
      </x:c>
      <x:c r="G461" s="20" t="str">
        <x:v>akin to the base of G43 (ἀγκάλη)); near (literally or figuratively, of place or time)</x:v>
      </x:c>
      <x:c r="H461" s="20" t="str"/>
      <x:c r="I461" s="21"/>
      <x:c r="J461" s="21" t="str">
        <x:v>Mounce 頻率延伸</x:v>
      </x:c>
      <x:c r="K461" s="21" t="str">
        <x:v>G1451</x:v>
      </x:c>
      <x:c r="L461" s="21" t="str">
        <x:v>否</x:v>
      </x:c>
      <x:c r="M461" s="21" t="str"/>
      <x:c r="N461" s="21" t="str">
        <x:v>source_and_lexicon_matched</x:v>
      </x:c>
      <x:c r="O461" s="21" t="str">
        <x:v>rule_generated_from_official_table</x:v>
      </x:c>
      <x:c r="P461" s="21" t="n">
        <x:v>8</x:v>
      </x:c>
      <x:c r="Q461" s="21" t="str">
        <x:v>https://doxa.billmounce.com/Flashcards%20%28BBG%29.pdf</x:v>
      </x:c>
      <x:c r="R461" s="16" t="str"/>
    </x:row>
    <x:row r="462" ht="28" customHeight="1">
      <x:c r="A462" s="21" t="n">
        <x:v>458</x:v>
      </x:c>
      <x:c r="B462" s="21" t="n">
        <x:f>ROUNDUP(A462/50,0)</x:f>
        <x:v>10</x:v>
      </x:c>
      <x:c r="C462" s="21" t="n">
        <x:f>MOD(A462-1,50)+1</x:f>
        <x:v>8</x:v>
      </x:c>
      <x:c r="D462" s="29" t="str">
        <x:v>ἐλπίζω</x:v>
      </x:c>
      <x:c r="E462" s="29" t="str">
        <x:v>ἐλπίζω</x:v>
      </x:c>
      <x:c r="F462" s="27" t="str">
        <x:v>elpizō</x:v>
      </x:c>
      <x:c r="G462" s="20" t="str">
        <x:v>to expect or confide</x:v>
      </x:c>
      <x:c r="H462" s="20" t="str"/>
      <x:c r="I462" s="21"/>
      <x:c r="J462" s="21" t="str">
        <x:v>Mounce 頻率延伸</x:v>
      </x:c>
      <x:c r="K462" s="21" t="str">
        <x:v>G1679</x:v>
      </x:c>
      <x:c r="L462" s="21" t="str">
        <x:v>否</x:v>
      </x:c>
      <x:c r="M462" s="21" t="str"/>
      <x:c r="N462" s="21" t="str">
        <x:v>source_and_lexicon_matched</x:v>
      </x:c>
      <x:c r="O462" s="21" t="str">
        <x:v>rule_generated_from_official_table</x:v>
      </x:c>
      <x:c r="P462" s="21" t="n">
        <x:v>8</x:v>
      </x:c>
      <x:c r="Q462" s="21" t="str">
        <x:v>https://doxa.billmounce.com/Flashcards%20%28BBG%29.pdf</x:v>
      </x:c>
      <x:c r="R462" s="16" t="str"/>
    </x:row>
    <x:row r="463" ht="28" customHeight="1">
      <x:c r="A463" s="21" t="n">
        <x:v>459</x:v>
      </x:c>
      <x:c r="B463" s="21" t="n">
        <x:f>ROUNDUP(A463/50,0)</x:f>
        <x:v>10</x:v>
      </x:c>
      <x:c r="C463" s="21" t="n">
        <x:f>MOD(A463-1,50)+1</x:f>
        <x:v>9</x:v>
      </x:c>
      <x:c r="D463" s="29" t="str">
        <x:v>ἔξεστιν</x:v>
      </x:c>
      <x:c r="E463" s="29" t="str">
        <x:v>ἔξεστιν</x:v>
      </x:c>
      <x:c r="F463" s="27" t="str">
        <x:v>exestin</x:v>
      </x:c>
      <x:c r="G463" s="20" t="str"/>
      <x:c r="H463" s="20" t="str"/>
      <x:c r="I463" s="21"/>
      <x:c r="J463" s="21" t="str">
        <x:v>Mounce 頻率延伸</x:v>
      </x:c>
      <x:c r="K463" s="21" t="str"/>
      <x:c r="L463" s="21" t="str">
        <x:v>否</x:v>
      </x:c>
      <x:c r="M463" s="21" t="str"/>
      <x:c r="N463" s="21" t="str">
        <x:v>source_verified_lexicon_pending</x:v>
      </x:c>
      <x:c r="O463" s="21" t="str">
        <x:v>rule_generated_from_official_table</x:v>
      </x:c>
      <x:c r="P463" s="21" t="n">
        <x:v>8</x:v>
      </x:c>
      <x:c r="Q463" s="21" t="str">
        <x:v>https://doxa.billmounce.com/Flashcards%20%28BBG%29.pdf</x:v>
      </x:c>
      <x:c r="R463" s="16" t="str"/>
    </x:row>
    <x:row r="464" ht="28" customHeight="1">
      <x:c r="A464" s="21" t="n">
        <x:v>460</x:v>
      </x:c>
      <x:c r="B464" s="21" t="n">
        <x:f>ROUNDUP(A464/50,0)</x:f>
        <x:v>10</x:v>
      </x:c>
      <x:c r="C464" s="21" t="n">
        <x:f>MOD(A464-1,50)+1</x:f>
        <x:v>10</x:v>
      </x:c>
      <x:c r="D464" s="29" t="str">
        <x:v>ἱερεύς, -έως, ὁ</x:v>
      </x:c>
      <x:c r="E464" s="29" t="str">
        <x:v>ἱερεύς</x:v>
      </x:c>
      <x:c r="F464" s="27" t="str">
        <x:v>hiereus</x:v>
      </x:c>
      <x:c r="G464" s="20" t="str">
        <x:v>a priest (literally or figuratively)</x:v>
      </x:c>
      <x:c r="H464" s="20" t="str"/>
      <x:c r="I464" s="21"/>
      <x:c r="J464" s="21" t="str">
        <x:v>Mounce 頻率延伸</x:v>
      </x:c>
      <x:c r="K464" s="21" t="str">
        <x:v>G2409</x:v>
      </x:c>
      <x:c r="L464" s="21" t="str">
        <x:v>否</x:v>
      </x:c>
      <x:c r="M464" s="21" t="str"/>
      <x:c r="N464" s="21" t="str">
        <x:v>source_and_lexicon_matched</x:v>
      </x:c>
      <x:c r="O464" s="21" t="str">
        <x:v>rule_generated_from_official_table</x:v>
      </x:c>
      <x:c r="P464" s="21" t="n">
        <x:v>8</x:v>
      </x:c>
      <x:c r="Q464" s="21" t="str">
        <x:v>https://doxa.billmounce.com/Flashcards%20%28BBG%29.pdf</x:v>
      </x:c>
      <x:c r="R464" s="16" t="str"/>
    </x:row>
    <x:row r="465" ht="28" customHeight="1">
      <x:c r="A465" s="21" t="n">
        <x:v>461</x:v>
      </x:c>
      <x:c r="B465" s="21" t="n">
        <x:f>ROUNDUP(A465/50,0)</x:f>
        <x:v>10</x:v>
      </x:c>
      <x:c r="C465" s="21" t="n">
        <x:f>MOD(A465-1,50)+1</x:f>
        <x:v>11</x:v>
      </x:c>
      <x:c r="D465" s="29" t="str">
        <x:v>καθαρίζω</x:v>
      </x:c>
      <x:c r="E465" s="29" t="str">
        <x:v>καθαρίζω</x:v>
      </x:c>
      <x:c r="F465" s="27" t="str">
        <x:v>katharizō</x:v>
      </x:c>
      <x:c r="G465" s="20" t="str">
        <x:v>to cleanse (literally or figuratively)</x:v>
      </x:c>
      <x:c r="H465" s="20" t="str"/>
      <x:c r="I465" s="21"/>
      <x:c r="J465" s="21" t="str">
        <x:v>Mounce 頻率延伸</x:v>
      </x:c>
      <x:c r="K465" s="21" t="str">
        <x:v>G2511</x:v>
      </x:c>
      <x:c r="L465" s="21" t="str">
        <x:v>否</x:v>
      </x:c>
      <x:c r="M465" s="21" t="str"/>
      <x:c r="N465" s="21" t="str">
        <x:v>source_and_lexicon_matched</x:v>
      </x:c>
      <x:c r="O465" s="21" t="str">
        <x:v>rule_generated_from_official_table</x:v>
      </x:c>
      <x:c r="P465" s="21" t="n">
        <x:v>8</x:v>
      </x:c>
      <x:c r="Q465" s="21" t="str">
        <x:v>https://doxa.billmounce.com/Flashcards%20%28BBG%29.pdf</x:v>
      </x:c>
      <x:c r="R465" s="16" t="str"/>
    </x:row>
    <x:row r="466" ht="28" customHeight="1">
      <x:c r="A466" s="21" t="n">
        <x:v>462</x:v>
      </x:c>
      <x:c r="B466" s="21" t="n">
        <x:f>ROUNDUP(A466/50,0)</x:f>
        <x:v>10</x:v>
      </x:c>
      <x:c r="C466" s="21" t="n">
        <x:f>MOD(A466-1,50)+1</x:f>
        <x:v>12</x:v>
      </x:c>
      <x:c r="D466" s="29" t="str">
        <x:v>παρρησία, -ας, ἡ</x:v>
      </x:c>
      <x:c r="E466" s="29" t="str">
        <x:v>παρρησία</x:v>
      </x:c>
      <x:c r="F466" s="27" t="str">
        <x:v>parrēsia</x:v>
      </x:c>
      <x:c r="G466" s="20" t="str">
        <x:v>all out-spokenness, i.e. frankness, bluntness, publicity; by implication, assurance</x:v>
      </x:c>
      <x:c r="H466" s="20" t="str"/>
      <x:c r="I466" s="21"/>
      <x:c r="J466" s="21" t="str">
        <x:v>Mounce 頻率延伸</x:v>
      </x:c>
      <x:c r="K466" s="21" t="str">
        <x:v>G3954</x:v>
      </x:c>
      <x:c r="L466" s="21" t="str">
        <x:v>否</x:v>
      </x:c>
      <x:c r="M466" s="21" t="str"/>
      <x:c r="N466" s="21" t="str">
        <x:v>source_and_lexicon_matched</x:v>
      </x:c>
      <x:c r="O466" s="21" t="str">
        <x:v>rule_generated_from_official_table</x:v>
      </x:c>
      <x:c r="P466" s="21" t="n">
        <x:v>8</x:v>
      </x:c>
      <x:c r="Q466" s="21" t="str">
        <x:v>https://doxa.billmounce.com/Flashcards%20%28BBG%29.pdf</x:v>
      </x:c>
      <x:c r="R466" s="16" t="str"/>
    </x:row>
    <x:row r="467" ht="28" customHeight="1">
      <x:c r="A467" s="21" t="n">
        <x:v>463</x:v>
      </x:c>
      <x:c r="B467" s="21" t="n">
        <x:f>ROUNDUP(A467/50,0)</x:f>
        <x:v>10</x:v>
      </x:c>
      <x:c r="C467" s="21" t="n">
        <x:f>MOD(A467-1,50)+1</x:f>
        <x:v>13</x:v>
      </x:c>
      <x:c r="D467" s="29" t="str">
        <x:v>πλῆθος, -ους, τό</x:v>
      </x:c>
      <x:c r="E467" s="29" t="str">
        <x:v>πλῆθος</x:v>
      </x:c>
      <x:c r="F467" s="27" t="str">
        <x:v>plēthos</x:v>
      </x:c>
      <x:c r="G467" s="20" t="str">
        <x:v>a fulness, i.e. a large number, throng, populace</x:v>
      </x:c>
      <x:c r="H467" s="20" t="str"/>
      <x:c r="I467" s="21"/>
      <x:c r="J467" s="21" t="str">
        <x:v>Mounce 頻率延伸</x:v>
      </x:c>
      <x:c r="K467" s="21" t="str">
        <x:v>G4128</x:v>
      </x:c>
      <x:c r="L467" s="21" t="str">
        <x:v>否</x:v>
      </x:c>
      <x:c r="M467" s="21" t="str"/>
      <x:c r="N467" s="21" t="str">
        <x:v>source_and_lexicon_matched</x:v>
      </x:c>
      <x:c r="O467" s="21" t="str">
        <x:v>rule_generated_from_official_table</x:v>
      </x:c>
      <x:c r="P467" s="21" t="n">
        <x:v>8</x:v>
      </x:c>
      <x:c r="Q467" s="21" t="str">
        <x:v>https://doxa.billmounce.com/Flashcards%20%28BBG%29.pdf</x:v>
      </x:c>
      <x:c r="R467" s="16" t="str"/>
    </x:row>
    <x:row r="468" ht="28" customHeight="1">
      <x:c r="A468" s="21" t="n">
        <x:v>464</x:v>
      </x:c>
      <x:c r="B468" s="21" t="n">
        <x:f>ROUNDUP(A468/50,0)</x:f>
        <x:v>10</x:v>
      </x:c>
      <x:c r="C468" s="21" t="n">
        <x:f>MOD(A468-1,50)+1</x:f>
        <x:v>14</x:v>
      </x:c>
      <x:c r="D468" s="29" t="str">
        <x:v>πλήν</x:v>
      </x:c>
      <x:c r="E468" s="29" t="str">
        <x:v>πλήν</x:v>
      </x:c>
      <x:c r="F468" s="27" t="str">
        <x:v>plēn</x:v>
      </x:c>
      <x:c r="G468" s="20" t="str">
        <x:v>moreover (besides), i.e. albeit, save that, rather, yet</x:v>
      </x:c>
      <x:c r="H468" s="20" t="str"/>
      <x:c r="I468" s="21"/>
      <x:c r="J468" s="21" t="str">
        <x:v>Mounce 頻率延伸</x:v>
      </x:c>
      <x:c r="K468" s="21" t="str">
        <x:v>G4133</x:v>
      </x:c>
      <x:c r="L468" s="21" t="str">
        <x:v>否</x:v>
      </x:c>
      <x:c r="M468" s="21" t="str"/>
      <x:c r="N468" s="21" t="str">
        <x:v>source_and_lexicon_matched</x:v>
      </x:c>
      <x:c r="O468" s="21" t="str">
        <x:v>rule_generated_from_official_table</x:v>
      </x:c>
      <x:c r="P468" s="21" t="n">
        <x:v>8</x:v>
      </x:c>
      <x:c r="Q468" s="21" t="str">
        <x:v>https://doxa.billmounce.com/Flashcards%20%28BBG%29.pdf</x:v>
      </x:c>
      <x:c r="R468" s="16" t="str"/>
    </x:row>
    <x:row r="469" ht="28" customHeight="1">
      <x:c r="A469" s="21" t="n">
        <x:v>465</x:v>
      </x:c>
      <x:c r="B469" s="21" t="n">
        <x:f>ROUNDUP(A469/50,0)</x:f>
        <x:v>10</x:v>
      </x:c>
      <x:c r="C469" s="21" t="n">
        <x:f>MOD(A469-1,50)+1</x:f>
        <x:v>15</x:v>
      </x:c>
      <x:c r="D469" s="29" t="str">
        <x:v>ποτήριον, -ου, τό</x:v>
      </x:c>
      <x:c r="E469" s="29" t="str">
        <x:v>ποτήριον</x:v>
      </x:c>
      <x:c r="F469" s="27" t="str">
        <x:v>potērion</x:v>
      </x:c>
      <x:c r="G469" s="20" t="str">
        <x:v>a drinking-vessel; by extension, the contents thereof, i.e. a cupful (draught); figuratively, a lot or fate</x:v>
      </x:c>
      <x:c r="H469" s="20" t="str"/>
      <x:c r="I469" s="21"/>
      <x:c r="J469" s="21" t="str">
        <x:v>Mounce 頻率延伸</x:v>
      </x:c>
      <x:c r="K469" s="21" t="str">
        <x:v>G4221</x:v>
      </x:c>
      <x:c r="L469" s="21" t="str">
        <x:v>否</x:v>
      </x:c>
      <x:c r="M469" s="21" t="str"/>
      <x:c r="N469" s="21" t="str">
        <x:v>source_and_lexicon_matched</x:v>
      </x:c>
      <x:c r="O469" s="21" t="str">
        <x:v>rule_generated_from_official_table</x:v>
      </x:c>
      <x:c r="P469" s="21" t="n">
        <x:v>8</x:v>
      </x:c>
      <x:c r="Q469" s="21" t="str">
        <x:v>https://doxa.billmounce.com/Flashcards%20%28BBG%29.pdf</x:v>
      </x:c>
      <x:c r="R469" s="16" t="str"/>
    </x:row>
    <x:row r="470" ht="28" customHeight="1">
      <x:c r="A470" s="21" t="n">
        <x:v>466</x:v>
      </x:c>
      <x:c r="B470" s="21" t="n">
        <x:f>ROUNDUP(A470/50,0)</x:f>
        <x:v>10</x:v>
      </x:c>
      <x:c r="C470" s="21" t="n">
        <x:f>MOD(A470-1,50)+1</x:f>
        <x:v>16</x:v>
      </x:c>
      <x:c r="D470" s="29" t="str">
        <x:v>σκότος, -ους, τό</x:v>
      </x:c>
      <x:c r="E470" s="29" t="str">
        <x:v>σκότος</x:v>
      </x:c>
      <x:c r="F470" s="27" t="str">
        <x:v>skotos</x:v>
      </x:c>
      <x:c r="G470" s="20" t="str">
        <x:v>shadiness, i.e. obscurity (literally or figuratively)</x:v>
      </x:c>
      <x:c r="H470" s="20" t="str"/>
      <x:c r="I470" s="21"/>
      <x:c r="J470" s="21" t="str">
        <x:v>Mounce 頻率延伸</x:v>
      </x:c>
      <x:c r="K470" s="21" t="str">
        <x:v>G4655</x:v>
      </x:c>
      <x:c r="L470" s="21" t="str">
        <x:v>否</x:v>
      </x:c>
      <x:c r="M470" s="21" t="str"/>
      <x:c r="N470" s="21" t="str">
        <x:v>source_and_lexicon_matched</x:v>
      </x:c>
      <x:c r="O470" s="21" t="str">
        <x:v>rule_generated_from_official_table</x:v>
      </x:c>
      <x:c r="P470" s="21" t="n">
        <x:v>8</x:v>
      </x:c>
      <x:c r="Q470" s="21" t="str">
        <x:v>https://doxa.billmounce.com/Flashcards%20%28BBG%29.pdf</x:v>
      </x:c>
      <x:c r="R470" s="16" t="str"/>
    </x:row>
    <x:row r="471" ht="28" customHeight="1">
      <x:c r="A471" s="21" t="n">
        <x:v>467</x:v>
      </x:c>
      <x:c r="B471" s="21" t="n">
        <x:f>ROUNDUP(A471/50,0)</x:f>
        <x:v>10</x:v>
      </x:c>
      <x:c r="C471" s="21" t="n">
        <x:f>MOD(A471-1,50)+1</x:f>
        <x:v>17</x:v>
      </x:c>
      <x:c r="D471" s="29" t="str">
        <x:v>φαίνω</x:v>
      </x:c>
      <x:c r="E471" s="29" t="str">
        <x:v>φαίνω</x:v>
      </x:c>
      <x:c r="F471" s="27" t="str">
        <x:v>phainō</x:v>
      </x:c>
      <x:c r="G471" s="20" t="str">
        <x:v>to lighten (shine), i.e. show (transitive or intransitive, literal or figurative)</x:v>
      </x:c>
      <x:c r="H471" s="20" t="str"/>
      <x:c r="I471" s="21"/>
      <x:c r="J471" s="21" t="str">
        <x:v>Mounce 頻率延伸</x:v>
      </x:c>
      <x:c r="K471" s="21" t="str">
        <x:v>G5316</x:v>
      </x:c>
      <x:c r="L471" s="21" t="str">
        <x:v>否</x:v>
      </x:c>
      <x:c r="M471" s="21" t="str"/>
      <x:c r="N471" s="21" t="str">
        <x:v>source_and_lexicon_matched</x:v>
      </x:c>
      <x:c r="O471" s="21" t="str">
        <x:v>rule_generated_from_official_table</x:v>
      </x:c>
      <x:c r="P471" s="21" t="n">
        <x:v>8</x:v>
      </x:c>
      <x:c r="Q471" s="21" t="str">
        <x:v>https://doxa.billmounce.com/Flashcards%20%28BBG%29.pdf</x:v>
      </x:c>
      <x:c r="R471" s="16" t="str"/>
    </x:row>
    <x:row r="472" ht="28" customHeight="1">
      <x:c r="A472" s="21" t="n">
        <x:v>468</x:v>
      </x:c>
      <x:c r="B472" s="21" t="n">
        <x:f>ROUNDUP(A472/50,0)</x:f>
        <x:v>10</x:v>
      </x:c>
      <x:c r="C472" s="21" t="n">
        <x:f>MOD(A472-1,50)+1</x:f>
        <x:v>18</x:v>
      </x:c>
      <x:c r="D472" s="29" t="str">
        <x:v>φυλάσσω</x:v>
      </x:c>
      <x:c r="E472" s="29" t="str">
        <x:v>φυλάσσω</x:v>
      </x:c>
      <x:c r="F472" s="27" t="str">
        <x:v>phulassō</x:v>
      </x:c>
      <x:c r="G472" s="20" t="str">
        <x:v>to watch, i.e. be on guard (literally of figuratively); by implication, to preserve, obey, avoid</x:v>
      </x:c>
      <x:c r="H472" s="20" t="str"/>
      <x:c r="I472" s="21"/>
      <x:c r="J472" s="21" t="str">
        <x:v>Mounce 頻率延伸</x:v>
      </x:c>
      <x:c r="K472" s="21" t="str">
        <x:v>G5442</x:v>
      </x:c>
      <x:c r="L472" s="21" t="str">
        <x:v>否</x:v>
      </x:c>
      <x:c r="M472" s="21" t="str"/>
      <x:c r="N472" s="21" t="str">
        <x:v>source_and_lexicon_matched</x:v>
      </x:c>
      <x:c r="O472" s="21" t="str">
        <x:v>rule_generated_from_official_table</x:v>
      </x:c>
      <x:c r="P472" s="21" t="n">
        <x:v>8</x:v>
      </x:c>
      <x:c r="Q472" s="21" t="str">
        <x:v>https://doxa.billmounce.com/Flashcards%20%28BBG%29.pdf</x:v>
      </x:c>
      <x:c r="R472" s="16" t="str"/>
    </x:row>
    <x:row r="473" ht="28" customHeight="1">
      <x:c r="A473" s="21" t="n">
        <x:v>469</x:v>
      </x:c>
      <x:c r="B473" s="21" t="n">
        <x:f>ROUNDUP(A473/50,0)</x:f>
        <x:v>10</x:v>
      </x:c>
      <x:c r="C473" s="21" t="n">
        <x:f>MOD(A473-1,50)+1</x:f>
        <x:v>19</x:v>
      </x:c>
      <x:c r="D473" s="29" t="str">
        <x:v>φυλή, -ῆς, ἡ</x:v>
      </x:c>
      <x:c r="E473" s="29" t="str">
        <x:v>φυλή</x:v>
      </x:c>
      <x:c r="F473" s="27" t="str">
        <x:v>phulē</x:v>
      </x:c>
      <x:c r="G473" s="20" t="str">
        <x:v>an offshoot, i.e. race or clan</x:v>
      </x:c>
      <x:c r="H473" s="20" t="str"/>
      <x:c r="I473" s="21"/>
      <x:c r="J473" s="21" t="str">
        <x:v>Mounce 頻率延伸</x:v>
      </x:c>
      <x:c r="K473" s="21" t="str">
        <x:v>G5443</x:v>
      </x:c>
      <x:c r="L473" s="21" t="str">
        <x:v>否</x:v>
      </x:c>
      <x:c r="M473" s="21" t="str"/>
      <x:c r="N473" s="21" t="str">
        <x:v>source_and_lexicon_matched</x:v>
      </x:c>
      <x:c r="O473" s="21" t="str">
        <x:v>rule_generated_from_official_table</x:v>
      </x:c>
      <x:c r="P473" s="21" t="n">
        <x:v>8</x:v>
      </x:c>
      <x:c r="Q473" s="21" t="str">
        <x:v>https://doxa.billmounce.com/Flashcards%20%28BBG%29.pdf</x:v>
      </x:c>
      <x:c r="R473" s="16" t="str"/>
    </x:row>
    <x:row r="474" ht="28" customHeight="1">
      <x:c r="A474" s="21" t="n">
        <x:v>470</x:v>
      </x:c>
      <x:c r="B474" s="21" t="n">
        <x:f>ROUNDUP(A474/50,0)</x:f>
        <x:v>10</x:v>
      </x:c>
      <x:c r="C474" s="21" t="n">
        <x:f>MOD(A474-1,50)+1</x:f>
        <x:v>20</x:v>
      </x:c>
      <x:c r="D474" s="29" t="str">
        <x:v>ἀγοράζω</x:v>
      </x:c>
      <x:c r="E474" s="29" t="str">
        <x:v>ἀγοράζω</x:v>
      </x:c>
      <x:c r="F474" s="27" t="str">
        <x:v>agorazō</x:v>
      </x:c>
      <x:c r="G474" s="20" t="str">
        <x:v>properly, to go to market, i.e. (by implication) to purchase; specially, to redeem</x:v>
      </x:c>
      <x:c r="H474" s="20" t="str"/>
      <x:c r="I474" s="21"/>
      <x:c r="J474" s="21" t="str">
        <x:v>Mounce 頻率延伸</x:v>
      </x:c>
      <x:c r="K474" s="21" t="str">
        <x:v>G59</x:v>
      </x:c>
      <x:c r="L474" s="21" t="str">
        <x:v>否</x:v>
      </x:c>
      <x:c r="M474" s="21" t="str"/>
      <x:c r="N474" s="21" t="str">
        <x:v>source_and_lexicon_matched</x:v>
      </x:c>
      <x:c r="O474" s="21" t="str">
        <x:v>rule_generated_from_official_table</x:v>
      </x:c>
      <x:c r="P474" s="21" t="n">
        <x:v>8</x:v>
      </x:c>
      <x:c r="Q474" s="21" t="str">
        <x:v>https://doxa.billmounce.com/Flashcards%20%28BBG%29.pdf</x:v>
      </x:c>
      <x:c r="R474" s="16" t="str"/>
    </x:row>
    <x:row r="475" ht="28" customHeight="1">
      <x:c r="A475" s="21" t="n">
        <x:v>471</x:v>
      </x:c>
      <x:c r="B475" s="21" t="n">
        <x:f>ROUNDUP(A475/50,0)</x:f>
        <x:v>10</x:v>
      </x:c>
      <x:c r="C475" s="21" t="n">
        <x:f>MOD(A475-1,50)+1</x:f>
        <x:v>21</x:v>
      </x:c>
      <x:c r="D475" s="29" t="str">
        <x:v>ἀρνίον, -ου, τό</x:v>
      </x:c>
      <x:c r="E475" s="29" t="str">
        <x:v>ἀρνίον</x:v>
      </x:c>
      <x:c r="F475" s="27" t="str">
        <x:v>arnion</x:v>
      </x:c>
      <x:c r="G475" s="20" t="str">
        <x:v>a lambkin</x:v>
      </x:c>
      <x:c r="H475" s="20" t="str"/>
      <x:c r="I475" s="21"/>
      <x:c r="J475" s="21" t="str">
        <x:v>Mounce 頻率延伸</x:v>
      </x:c>
      <x:c r="K475" s="21" t="str">
        <x:v>G721</x:v>
      </x:c>
      <x:c r="L475" s="21" t="str">
        <x:v>否</x:v>
      </x:c>
      <x:c r="M475" s="21" t="str"/>
      <x:c r="N475" s="21" t="str">
        <x:v>source_and_lexicon_matched</x:v>
      </x:c>
      <x:c r="O475" s="21" t="str">
        <x:v>rule_generated_from_official_table</x:v>
      </x:c>
      <x:c r="P475" s="21" t="n">
        <x:v>8</x:v>
      </x:c>
      <x:c r="Q475" s="21" t="str">
        <x:v>https://doxa.billmounce.com/Flashcards%20%28BBG%29.pdf</x:v>
      </x:c>
      <x:c r="R475" s="16" t="str"/>
    </x:row>
    <x:row r="476" ht="28" customHeight="1">
      <x:c r="A476" s="21" t="n">
        <x:v>472</x:v>
      </x:c>
      <x:c r="B476" s="21" t="n">
        <x:f>ROUNDUP(A476/50,0)</x:f>
        <x:v>10</x:v>
      </x:c>
      <x:c r="C476" s="21" t="n">
        <x:f>MOD(A476-1,50)+1</x:f>
        <x:v>22</x:v>
      </x:c>
      <x:c r="D476" s="29" t="str">
        <x:v>διδαχή, -ῆς, ἡ</x:v>
      </x:c>
      <x:c r="E476" s="29" t="str">
        <x:v>διδαχή</x:v>
      </x:c>
      <x:c r="F476" s="27" t="str">
        <x:v>didachē</x:v>
      </x:c>
      <x:c r="G476" s="20" t="str">
        <x:v>instruction (the act or the matter)</x:v>
      </x:c>
      <x:c r="H476" s="20" t="str"/>
      <x:c r="I476" s="21"/>
      <x:c r="J476" s="21" t="str">
        <x:v>Mounce 頻率延伸</x:v>
      </x:c>
      <x:c r="K476" s="21" t="str">
        <x:v>G1322</x:v>
      </x:c>
      <x:c r="L476" s="21" t="str">
        <x:v>否</x:v>
      </x:c>
      <x:c r="M476" s="21" t="str"/>
      <x:c r="N476" s="21" t="str">
        <x:v>source_and_lexicon_matched</x:v>
      </x:c>
      <x:c r="O476" s="21" t="str">
        <x:v>rule_generated_from_official_table</x:v>
      </x:c>
      <x:c r="P476" s="21" t="n">
        <x:v>8</x:v>
      </x:c>
      <x:c r="Q476" s="21" t="str">
        <x:v>https://doxa.billmounce.com/Flashcards%20%28BBG%29.pdf</x:v>
      </x:c>
      <x:c r="R476" s="16" t="str"/>
    </x:row>
    <x:row r="477" ht="28" customHeight="1">
      <x:c r="A477" s="21" t="n">
        <x:v>473</x:v>
      </x:c>
      <x:c r="B477" s="21" t="n">
        <x:f>ROUNDUP(A477/50,0)</x:f>
        <x:v>10</x:v>
      </x:c>
      <x:c r="C477" s="21" t="n">
        <x:f>MOD(A477-1,50)+1</x:f>
        <x:v>23</x:v>
      </x:c>
      <x:c r="D477" s="29" t="str">
        <x:v>ἐπικαλέω</x:v>
      </x:c>
      <x:c r="E477" s="29" t="str">
        <x:v>ἐπικαλέω</x:v>
      </x:c>
      <x:c r="F477" s="27" t="str">
        <x:v>epikaleō</x:v>
      </x:c>
      <x:c r="G477" s="20" t="str"/>
      <x:c r="H477" s="20" t="str"/>
      <x:c r="I477" s="21"/>
      <x:c r="J477" s="21" t="str">
        <x:v>Mounce 頻率延伸</x:v>
      </x:c>
      <x:c r="K477" s="21" t="str"/>
      <x:c r="L477" s="21" t="str">
        <x:v>否</x:v>
      </x:c>
      <x:c r="M477" s="21" t="str"/>
      <x:c r="N477" s="21" t="str">
        <x:v>source_verified_lexicon_pending</x:v>
      </x:c>
      <x:c r="O477" s="21" t="str">
        <x:v>rule_generated_from_official_table</x:v>
      </x:c>
      <x:c r="P477" s="21" t="n">
        <x:v>8</x:v>
      </x:c>
      <x:c r="Q477" s="21" t="str">
        <x:v>https://doxa.billmounce.com/Flashcards%20%28BBG%29.pdf</x:v>
      </x:c>
      <x:c r="R477" s="16" t="str"/>
    </x:row>
    <x:row r="478" ht="28" customHeight="1">
      <x:c r="A478" s="21" t="n">
        <x:v>474</x:v>
      </x:c>
      <x:c r="B478" s="21" t="n">
        <x:f>ROUNDUP(A478/50,0)</x:f>
        <x:v>10</x:v>
      </x:c>
      <x:c r="C478" s="21" t="n">
        <x:f>MOD(A478-1,50)+1</x:f>
        <x:v>24</x:v>
      </x:c>
      <x:c r="D478" s="29" t="str">
        <x:v>ὁμοίως</x:v>
      </x:c>
      <x:c r="E478" s="29" t="str">
        <x:v>ὁμοίως</x:v>
      </x:c>
      <x:c r="F478" s="27" t="str">
        <x:v>homoiōs</x:v>
      </x:c>
      <x:c r="G478" s="20" t="str">
        <x:v>similarly</x:v>
      </x:c>
      <x:c r="H478" s="20" t="str"/>
      <x:c r="I478" s="21"/>
      <x:c r="J478" s="21" t="str">
        <x:v>Mounce 頻率延伸</x:v>
      </x:c>
      <x:c r="K478" s="21" t="str">
        <x:v>G3668</x:v>
      </x:c>
      <x:c r="L478" s="21" t="str">
        <x:v>否</x:v>
      </x:c>
      <x:c r="M478" s="21" t="str"/>
      <x:c r="N478" s="21" t="str">
        <x:v>source_and_lexicon_matched</x:v>
      </x:c>
      <x:c r="O478" s="21" t="str">
        <x:v>rule_generated_from_official_table</x:v>
      </x:c>
      <x:c r="P478" s="21" t="n">
        <x:v>8</x:v>
      </x:c>
      <x:c r="Q478" s="21" t="str">
        <x:v>https://doxa.billmounce.com/Flashcards%20%28BBG%29.pdf</x:v>
      </x:c>
      <x:c r="R478" s="16" t="str"/>
    </x:row>
    <x:row r="479" ht="28" customHeight="1">
      <x:c r="A479" s="21" t="n">
        <x:v>475</x:v>
      </x:c>
      <x:c r="B479" s="21" t="n">
        <x:f>ROUNDUP(A479/50,0)</x:f>
        <x:v>10</x:v>
      </x:c>
      <x:c r="C479" s="21" t="n">
        <x:f>MOD(A479-1,50)+1</x:f>
        <x:v>25</x:v>
      </x:c>
      <x:c r="D479" s="29" t="str">
        <x:v>συνείδησις, -εως, ἡ</x:v>
      </x:c>
      <x:c r="E479" s="29" t="str">
        <x:v>συνείδησις</x:v>
      </x:c>
      <x:c r="F479" s="27" t="str">
        <x:v>suneidēsis</x:v>
      </x:c>
      <x:c r="G479" s="20" t="str">
        <x:v>co-perception, i.e. moral consciousness</x:v>
      </x:c>
      <x:c r="H479" s="20" t="str"/>
      <x:c r="I479" s="21"/>
      <x:c r="J479" s="21" t="str">
        <x:v>Mounce 頻率延伸</x:v>
      </x:c>
      <x:c r="K479" s="21" t="str">
        <x:v>G4893</x:v>
      </x:c>
      <x:c r="L479" s="21" t="str">
        <x:v>否</x:v>
      </x:c>
      <x:c r="M479" s="21" t="str"/>
      <x:c r="N479" s="21" t="str">
        <x:v>source_and_lexicon_matched</x:v>
      </x:c>
      <x:c r="O479" s="21" t="str">
        <x:v>rule_generated_from_official_table</x:v>
      </x:c>
      <x:c r="P479" s="21" t="n">
        <x:v>8</x:v>
      </x:c>
      <x:c r="Q479" s="21" t="str">
        <x:v>https://doxa.billmounce.com/Flashcards%20%28BBG%29.pdf</x:v>
      </x:c>
      <x:c r="R479" s="16" t="str"/>
    </x:row>
    <x:row r="480" ht="28" customHeight="1">
      <x:c r="A480" s="21" t="n">
        <x:v>476</x:v>
      </x:c>
      <x:c r="B480" s="21" t="n">
        <x:f>ROUNDUP(A480/50,0)</x:f>
        <x:v>10</x:v>
      </x:c>
      <x:c r="C480" s="21" t="n">
        <x:f>MOD(A480-1,50)+1</x:f>
        <x:v>26</x:v>
      </x:c>
      <x:c r="D480" s="29" t="str">
        <x:v>συνέρχομαι</x:v>
      </x:c>
      <x:c r="E480" s="29" t="str">
        <x:v>συνέρχομαι</x:v>
      </x:c>
      <x:c r="F480" s="27" t="str">
        <x:v>sunerchomai</x:v>
      </x:c>
      <x:c r="G480" s="20" t="str">
        <x:v>to convene, depart in company with, associate with, or (specially), cohabit (conjugally)</x:v>
      </x:c>
      <x:c r="H480" s="20" t="str"/>
      <x:c r="I480" s="21"/>
      <x:c r="J480" s="21" t="str">
        <x:v>Mounce 頻率延伸</x:v>
      </x:c>
      <x:c r="K480" s="21" t="str">
        <x:v>G4905</x:v>
      </x:c>
      <x:c r="L480" s="21" t="str">
        <x:v>否</x:v>
      </x:c>
      <x:c r="M480" s="21" t="str"/>
      <x:c r="N480" s="21" t="str">
        <x:v>source_and_lexicon_matched</x:v>
      </x:c>
      <x:c r="O480" s="21" t="str">
        <x:v>rule_generated_from_official_table</x:v>
      </x:c>
      <x:c r="P480" s="21" t="n">
        <x:v>8</x:v>
      </x:c>
      <x:c r="Q480" s="21" t="str">
        <x:v>https://doxa.billmounce.com/Flashcards%20%28BBG%29.pdf</x:v>
      </x:c>
      <x:c r="R480" s="16" t="str"/>
    </x:row>
    <x:row r="481" ht="28" customHeight="1">
      <x:c r="A481" s="21" t="n">
        <x:v>477</x:v>
      </x:c>
      <x:c r="B481" s="21" t="n">
        <x:f>ROUNDUP(A481/50,0)</x:f>
        <x:v>10</x:v>
      </x:c>
      <x:c r="C481" s="21" t="n">
        <x:f>MOD(A481-1,50)+1</x:f>
        <x:v>27</x:v>
      </x:c>
      <x:c r="D481" s="29" t="str">
        <x:v>γνῶσις, -εως, ἡ</x:v>
      </x:c>
      <x:c r="E481" s="29" t="str">
        <x:v>γνῶσις</x:v>
      </x:c>
      <x:c r="F481" s="27" t="str">
        <x:v>gnōsis</x:v>
      </x:c>
      <x:c r="G481" s="20" t="str">
        <x:v>knowing (the act), i.e. (by implication) knowledge</x:v>
      </x:c>
      <x:c r="H481" s="20" t="str"/>
      <x:c r="I481" s="21"/>
      <x:c r="J481" s="21" t="str">
        <x:v>Mounce 頻率延伸</x:v>
      </x:c>
      <x:c r="K481" s="21" t="str">
        <x:v>G1108</x:v>
      </x:c>
      <x:c r="L481" s="21" t="str">
        <x:v>否</x:v>
      </x:c>
      <x:c r="M481" s="21" t="str"/>
      <x:c r="N481" s="21" t="str">
        <x:v>source_and_lexicon_matched</x:v>
      </x:c>
      <x:c r="O481" s="21" t="str">
        <x:v>rule_generated_from_official_table</x:v>
      </x:c>
      <x:c r="P481" s="21" t="n">
        <x:v>8</x:v>
      </x:c>
      <x:c r="Q481" s="21" t="str">
        <x:v>https://doxa.billmounce.com/Flashcards%20%28BBG%29.pdf</x:v>
      </x:c>
      <x:c r="R481" s="16" t="str"/>
    </x:row>
    <x:row r="482" ht="28" customHeight="1">
      <x:c r="A482" s="21" t="n">
        <x:v>478</x:v>
      </x:c>
      <x:c r="B482" s="21" t="n">
        <x:f>ROUNDUP(A482/50,0)</x:f>
        <x:v>10</x:v>
      </x:c>
      <x:c r="C482" s="21" t="n">
        <x:f>MOD(A482-1,50)+1</x:f>
        <x:v>28</x:v>
      </x:c>
      <x:c r="D482" s="29" t="str">
        <x:v>διάκονος, -ου, ὁ or ἡ</x:v>
      </x:c>
      <x:c r="E482" s="29" t="str">
        <x:v>διάκονος</x:v>
      </x:c>
      <x:c r="F482" s="27" t="str">
        <x:v>diakonos</x:v>
      </x:c>
      <x:c r="G482" s="20" t="str">
        <x:v>an attendant, i.e. (genitive case) a waiter (at table or in other menial duties); specially, a Christian teacher and pastor (technically, a deacon or deaconess)</x:v>
      </x:c>
      <x:c r="H482" s="20" t="str"/>
      <x:c r="I482" s="21"/>
      <x:c r="J482" s="21" t="str">
        <x:v>Mounce 頻率延伸</x:v>
      </x:c>
      <x:c r="K482" s="21" t="str">
        <x:v>G1249</x:v>
      </x:c>
      <x:c r="L482" s="21" t="str">
        <x:v>否</x:v>
      </x:c>
      <x:c r="M482" s="21" t="str"/>
      <x:c r="N482" s="21" t="str">
        <x:v>source_and_lexicon_matched</x:v>
      </x:c>
      <x:c r="O482" s="21" t="str">
        <x:v>rule_generated_from_official_table</x:v>
      </x:c>
      <x:c r="P482" s="21" t="n">
        <x:v>8</x:v>
      </x:c>
      <x:c r="Q482" s="21" t="str">
        <x:v>https://doxa.billmounce.com/Flashcards%20%28BBG%29.pdf</x:v>
      </x:c>
      <x:c r="R482" s="16" t="str"/>
    </x:row>
    <x:row r="483" ht="28" customHeight="1">
      <x:c r="A483" s="21" t="n">
        <x:v>479</x:v>
      </x:c>
      <x:c r="B483" s="21" t="n">
        <x:f>ROUNDUP(A483/50,0)</x:f>
        <x:v>10</x:v>
      </x:c>
      <x:c r="C483" s="21" t="n">
        <x:f>MOD(A483-1,50)+1</x:f>
        <x:v>29</x:v>
      </x:c>
      <x:c r="D483" s="29" t="str">
        <x:v>ἐπιτιμάω</x:v>
      </x:c>
      <x:c r="E483" s="29" t="str">
        <x:v>ἐπιτιμάω</x:v>
      </x:c>
      <x:c r="F483" s="27" t="str">
        <x:v>epitimaō</x:v>
      </x:c>
      <x:c r="G483" s="20" t="str">
        <x:v>to tax upon, i.e. censure or admonish; by implication, forbid</x:v>
      </x:c>
      <x:c r="H483" s="20" t="str"/>
      <x:c r="I483" s="21"/>
      <x:c r="J483" s="21" t="str">
        <x:v>Mounce 頻率延伸</x:v>
      </x:c>
      <x:c r="K483" s="21" t="str">
        <x:v>G2008</x:v>
      </x:c>
      <x:c r="L483" s="21" t="str">
        <x:v>否</x:v>
      </x:c>
      <x:c r="M483" s="21" t="str"/>
      <x:c r="N483" s="21" t="str">
        <x:v>source_and_lexicon_matched</x:v>
      </x:c>
      <x:c r="O483" s="21" t="str">
        <x:v>rule_generated_from_official_table</x:v>
      </x:c>
      <x:c r="P483" s="21" t="n">
        <x:v>8</x:v>
      </x:c>
      <x:c r="Q483" s="21" t="str">
        <x:v>https://doxa.billmounce.com/Flashcards%20%28BBG%29.pdf</x:v>
      </x:c>
      <x:c r="R483" s="16" t="str"/>
    </x:row>
    <x:row r="484" ht="28" customHeight="1">
      <x:c r="A484" s="21" t="n">
        <x:v>480</x:v>
      </x:c>
      <x:c r="B484" s="21" t="n">
        <x:f>ROUNDUP(A484/50,0)</x:f>
        <x:v>10</x:v>
      </x:c>
      <x:c r="C484" s="21" t="n">
        <x:f>MOD(A484-1,50)+1</x:f>
        <x:v>30</x:v>
      </x:c>
      <x:c r="D484" s="29" t="str">
        <x:v>Ἠλίας, -ου, ὁ</x:v>
      </x:c>
      <x:c r="E484" s="29" t="str">
        <x:v>Ἠλίας</x:v>
      </x:c>
      <x:c r="F484" s="27" t="str">
        <x:v>Ēlias</x:v>
      </x:c>
      <x:c r="G484" s="20" t="str">
        <x:v>Helias (i.e. Elijah), an Israelite</x:v>
      </x:c>
      <x:c r="H484" s="20" t="str"/>
      <x:c r="I484" s="21"/>
      <x:c r="J484" s="21" t="str">
        <x:v>Mounce 頻率延伸</x:v>
      </x:c>
      <x:c r="K484" s="21" t="str">
        <x:v>G2243</x:v>
      </x:c>
      <x:c r="L484" s="21" t="str">
        <x:v>是</x:v>
      </x:c>
      <x:c r="M484" s="21" t="str">
        <x:v>人名</x:v>
      </x:c>
      <x:c r="N484" s="21" t="str">
        <x:v>source_and_lexicon_matched</x:v>
      </x:c>
      <x:c r="O484" s="21" t="str">
        <x:v>rule_generated_from_official_table</x:v>
      </x:c>
      <x:c r="P484" s="21" t="n">
        <x:v>8</x:v>
      </x:c>
      <x:c r="Q484" s="21" t="str">
        <x:v>https://doxa.billmounce.com/Flashcards%20%28BBG%29.pdf</x:v>
      </x:c>
      <x:c r="R484" s="16" t="str"/>
    </x:row>
    <x:row r="485" ht="28" customHeight="1">
      <x:c r="A485" s="21" t="n">
        <x:v>481</x:v>
      </x:c>
      <x:c r="B485" s="21" t="n">
        <x:f>ROUNDUP(A485/50,0)</x:f>
        <x:v>10</x:v>
      </x:c>
      <x:c r="C485" s="21" t="n">
        <x:f>MOD(A485-1,50)+1</x:f>
        <x:v>31</x:v>
      </x:c>
      <x:c r="D485" s="29" t="str">
        <x:v>ἰσχυρός, -ά, -όν</x:v>
      </x:c>
      <x:c r="E485" s="29" t="str">
        <x:v>ἰσχυρός</x:v>
      </x:c>
      <x:c r="F485" s="27" t="str">
        <x:v>ischuros</x:v>
      </x:c>
      <x:c r="G485" s="20" t="str">
        <x:v>forcible (literally or figuratively)</x:v>
      </x:c>
      <x:c r="H485" s="20" t="str"/>
      <x:c r="I485" s="21"/>
      <x:c r="J485" s="21" t="str">
        <x:v>Mounce 頻率延伸</x:v>
      </x:c>
      <x:c r="K485" s="21" t="str">
        <x:v>G2478</x:v>
      </x:c>
      <x:c r="L485" s="21" t="str">
        <x:v>否</x:v>
      </x:c>
      <x:c r="M485" s="21" t="str"/>
      <x:c r="N485" s="21" t="str">
        <x:v>source_and_lexicon_matched</x:v>
      </x:c>
      <x:c r="O485" s="21" t="str">
        <x:v>rule_generated_from_official_table</x:v>
      </x:c>
      <x:c r="P485" s="21" t="n">
        <x:v>9</x:v>
      </x:c>
      <x:c r="Q485" s="21" t="str">
        <x:v>https://doxa.billmounce.com/Flashcards%20%28BBG%29.pdf</x:v>
      </x:c>
      <x:c r="R485" s="16" t="str"/>
    </x:row>
    <x:row r="486" ht="28" customHeight="1">
      <x:c r="A486" s="21" t="n">
        <x:v>482</x:v>
      </x:c>
      <x:c r="B486" s="21" t="n">
        <x:f>ROUNDUP(A486/50,0)</x:f>
        <x:v>10</x:v>
      </x:c>
      <x:c r="C486" s="21" t="n">
        <x:f>MOD(A486-1,50)+1</x:f>
        <x:v>32</x:v>
      </x:c>
      <x:c r="D486" s="29" t="str">
        <x:v>Καῖσαρ, -ος, ὁ</x:v>
      </x:c>
      <x:c r="E486" s="29" t="str">
        <x:v>Καῖσαρ</x:v>
      </x:c>
      <x:c r="F486" s="27" t="str">
        <x:v>Kaisar</x:v>
      </x:c>
      <x:c r="G486" s="20" t="str">
        <x:v>Cæsar, a title of the Roman emperor</x:v>
      </x:c>
      <x:c r="H486" s="20" t="str"/>
      <x:c r="I486" s="21"/>
      <x:c r="J486" s="21" t="str">
        <x:v>Mounce 頻率延伸</x:v>
      </x:c>
      <x:c r="K486" s="21" t="str">
        <x:v>G2541</x:v>
      </x:c>
      <x:c r="L486" s="21" t="str">
        <x:v>是</x:v>
      </x:c>
      <x:c r="M486" s="21" t="str">
        <x:v>人名</x:v>
      </x:c>
      <x:c r="N486" s="21" t="str">
        <x:v>source_and_lexicon_matched</x:v>
      </x:c>
      <x:c r="O486" s="21" t="str">
        <x:v>rule_generated_from_official_table</x:v>
      </x:c>
      <x:c r="P486" s="21" t="n">
        <x:v>9</x:v>
      </x:c>
      <x:c r="Q486" s="21" t="str">
        <x:v>https://doxa.billmounce.com/Flashcards%20%28BBG%29.pdf</x:v>
      </x:c>
      <x:c r="R486" s="16" t="str"/>
    </x:row>
    <x:row r="487" ht="28" customHeight="1">
      <x:c r="A487" s="21" t="n">
        <x:v>483</x:v>
      </x:c>
      <x:c r="B487" s="21" t="n">
        <x:f>ROUNDUP(A487/50,0)</x:f>
        <x:v>10</x:v>
      </x:c>
      <x:c r="C487" s="21" t="n">
        <x:f>MOD(A487-1,50)+1</x:f>
        <x:v>33</x:v>
      </x:c>
      <x:c r="D487" s="29" t="str">
        <x:v>μάχαιρα, -ης, ἡ</x:v>
      </x:c>
      <x:c r="E487" s="29" t="str">
        <x:v>μάχαιρα</x:v>
      </x:c>
      <x:c r="F487" s="27" t="str">
        <x:v>machaira</x:v>
      </x:c>
      <x:c r="G487" s="20" t="str">
        <x:v>a knife, i.e. dirk; figuratively, war, judicial punishment</x:v>
      </x:c>
      <x:c r="H487" s="20" t="str"/>
      <x:c r="I487" s="21"/>
      <x:c r="J487" s="21" t="str">
        <x:v>Mounce 頻率延伸</x:v>
      </x:c>
      <x:c r="K487" s="21" t="str">
        <x:v>G3162</x:v>
      </x:c>
      <x:c r="L487" s="21" t="str">
        <x:v>否</x:v>
      </x:c>
      <x:c r="M487" s="21" t="str"/>
      <x:c r="N487" s="21" t="str">
        <x:v>source_and_lexicon_matched</x:v>
      </x:c>
      <x:c r="O487" s="21" t="str">
        <x:v>rule_generated_from_official_table</x:v>
      </x:c>
      <x:c r="P487" s="21" t="n">
        <x:v>9</x:v>
      </x:c>
      <x:c r="Q487" s="21" t="str">
        <x:v>https://doxa.billmounce.com/Flashcards%20%28BBG%29.pdf</x:v>
      </x:c>
      <x:c r="R487" s="16" t="str"/>
    </x:row>
    <x:row r="488" ht="28" customHeight="1">
      <x:c r="A488" s="21" t="n">
        <x:v>484</x:v>
      </x:c>
      <x:c r="B488" s="21" t="n">
        <x:f>ROUNDUP(A488/50,0)</x:f>
        <x:v>10</x:v>
      </x:c>
      <x:c r="C488" s="21" t="n">
        <x:f>MOD(A488-1,50)+1</x:f>
        <x:v>34</x:v>
      </x:c>
      <x:c r="D488" s="29" t="str">
        <x:v>μισθός, -οῦ, ὁ</x:v>
      </x:c>
      <x:c r="E488" s="29" t="str">
        <x:v>μισθός</x:v>
      </x:c>
      <x:c r="F488" s="27" t="str">
        <x:v>misthos</x:v>
      </x:c>
      <x:c r="G488" s="20" t="str">
        <x:v>pay for service (literally or figuratively), good or bad</x:v>
      </x:c>
      <x:c r="H488" s="20" t="str"/>
      <x:c r="I488" s="21"/>
      <x:c r="J488" s="21" t="str">
        <x:v>Mounce 頻率延伸</x:v>
      </x:c>
      <x:c r="K488" s="21" t="str">
        <x:v>G3408</x:v>
      </x:c>
      <x:c r="L488" s="21" t="str">
        <x:v>否</x:v>
      </x:c>
      <x:c r="M488" s="21" t="str"/>
      <x:c r="N488" s="21" t="str">
        <x:v>source_and_lexicon_matched</x:v>
      </x:c>
      <x:c r="O488" s="21" t="str">
        <x:v>rule_generated_from_official_table</x:v>
      </x:c>
      <x:c r="P488" s="21" t="n">
        <x:v>9</x:v>
      </x:c>
      <x:c r="Q488" s="21" t="str">
        <x:v>https://doxa.billmounce.com/Flashcards%20%28BBG%29.pdf</x:v>
      </x:c>
      <x:c r="R488" s="16" t="str"/>
    </x:row>
    <x:row r="489" ht="28" customHeight="1">
      <x:c r="A489" s="21" t="n">
        <x:v>485</x:v>
      </x:c>
      <x:c r="B489" s="21" t="n">
        <x:f>ROUNDUP(A489/50,0)</x:f>
        <x:v>10</x:v>
      </x:c>
      <x:c r="C489" s="21" t="n">
        <x:f>MOD(A489-1,50)+1</x:f>
        <x:v>35</x:v>
      </x:c>
      <x:c r="D489" s="29" t="str">
        <x:v>παράκλησις, -εως, ἡ</x:v>
      </x:c>
      <x:c r="E489" s="29" t="str">
        <x:v>παράκλησις</x:v>
      </x:c>
      <x:c r="F489" s="27" t="str">
        <x:v>paraklēsis</x:v>
      </x:c>
      <x:c r="G489" s="20" t="str">
        <x:v>imploration, hortation, solace</x:v>
      </x:c>
      <x:c r="H489" s="20" t="str"/>
      <x:c r="I489" s="21"/>
      <x:c r="J489" s="21" t="str">
        <x:v>Mounce 頻率延伸</x:v>
      </x:c>
      <x:c r="K489" s="21" t="str">
        <x:v>G3874</x:v>
      </x:c>
      <x:c r="L489" s="21" t="str">
        <x:v>否</x:v>
      </x:c>
      <x:c r="M489" s="21" t="str"/>
      <x:c r="N489" s="21" t="str">
        <x:v>source_and_lexicon_matched</x:v>
      </x:c>
      <x:c r="O489" s="21" t="str">
        <x:v>rule_generated_from_official_table</x:v>
      </x:c>
      <x:c r="P489" s="21" t="n">
        <x:v>9</x:v>
      </x:c>
      <x:c r="Q489" s="21" t="str">
        <x:v>https://doxa.billmounce.com/Flashcards%20%28BBG%29.pdf</x:v>
      </x:c>
      <x:c r="R489" s="16" t="str"/>
    </x:row>
    <x:row r="490" ht="28" customHeight="1">
      <x:c r="A490" s="21" t="n">
        <x:v>486</x:v>
      </x:c>
      <x:c r="B490" s="21" t="n">
        <x:f>ROUNDUP(A490/50,0)</x:f>
        <x:v>10</x:v>
      </x:c>
      <x:c r="C490" s="21" t="n">
        <x:f>MOD(A490-1,50)+1</x:f>
        <x:v>36</x:v>
      </x:c>
      <x:c r="D490" s="29" t="str">
        <x:v>παρέρχομαι</x:v>
      </x:c>
      <x:c r="E490" s="29" t="str">
        <x:v>παρέρχομαι</x:v>
      </x:c>
      <x:c r="F490" s="27" t="str">
        <x:v>parerchomai</x:v>
      </x:c>
      <x:c r="G490" s="20" t="str">
        <x:v>to come near or aside, i.e. to approach (arrive), go by (or away), (figuratively) perish or neglect, (causative) avert</x:v>
      </x:c>
      <x:c r="H490" s="20" t="str"/>
      <x:c r="I490" s="21"/>
      <x:c r="J490" s="21" t="str">
        <x:v>Mounce 頻率延伸</x:v>
      </x:c>
      <x:c r="K490" s="21" t="str">
        <x:v>G3928</x:v>
      </x:c>
      <x:c r="L490" s="21" t="str">
        <x:v>否</x:v>
      </x:c>
      <x:c r="M490" s="21" t="str"/>
      <x:c r="N490" s="21" t="str">
        <x:v>source_and_lexicon_matched</x:v>
      </x:c>
      <x:c r="O490" s="21" t="str">
        <x:v>rule_generated_from_official_table</x:v>
      </x:c>
      <x:c r="P490" s="21" t="n">
        <x:v>9</x:v>
      </x:c>
      <x:c r="Q490" s="21" t="str">
        <x:v>https://doxa.billmounce.com/Flashcards%20%28BBG%29.pdf</x:v>
      </x:c>
      <x:c r="R490" s="16" t="str"/>
    </x:row>
    <x:row r="491" ht="28" customHeight="1">
      <x:c r="A491" s="21" t="n">
        <x:v>487</x:v>
      </x:c>
      <x:c r="B491" s="21" t="n">
        <x:f>ROUNDUP(A491/50,0)</x:f>
        <x:v>10</x:v>
      </x:c>
      <x:c r="C491" s="21" t="n">
        <x:f>MOD(A491-1,50)+1</x:f>
        <x:v>37</x:v>
      </x:c>
      <x:c r="D491" s="29" t="str">
        <x:v>πάσχα, τό</x:v>
      </x:c>
      <x:c r="E491" s="29" t="str">
        <x:v>πάσχα</x:v>
      </x:c>
      <x:c r="F491" s="27" t="str">
        <x:v>pascha</x:v>
      </x:c>
      <x:c r="G491" s="20" t="str">
        <x:v>the Passover (the meal, the day, the festival or the special sacrifices connected with it)</x:v>
      </x:c>
      <x:c r="H491" s="20" t="str"/>
      <x:c r="I491" s="21"/>
      <x:c r="J491" s="21" t="str">
        <x:v>Mounce 頻率延伸</x:v>
      </x:c>
      <x:c r="K491" s="21" t="str">
        <x:v>G3957</x:v>
      </x:c>
      <x:c r="L491" s="21" t="str">
        <x:v>否</x:v>
      </x:c>
      <x:c r="M491" s="21" t="str"/>
      <x:c r="N491" s="21" t="str">
        <x:v>source_and_lexicon_matched</x:v>
      </x:c>
      <x:c r="O491" s="21" t="str">
        <x:v>rule_generated_from_official_table</x:v>
      </x:c>
      <x:c r="P491" s="21" t="n">
        <x:v>9</x:v>
      </x:c>
      <x:c r="Q491" s="21" t="str">
        <x:v>https://doxa.billmounce.com/Flashcards%20%28BBG%29.pdf</x:v>
      </x:c>
      <x:c r="R491" s="16" t="str"/>
    </x:row>
    <x:row r="492" ht="28" customHeight="1">
      <x:c r="A492" s="21" t="n">
        <x:v>488</x:v>
      </x:c>
      <x:c r="B492" s="21" t="n">
        <x:f>ROUNDUP(A492/50,0)</x:f>
        <x:v>10</x:v>
      </x:c>
      <x:c r="C492" s="21" t="n">
        <x:f>MOD(A492-1,50)+1</x:f>
        <x:v>38</x:v>
      </x:c>
      <x:c r="D492" s="29" t="str">
        <x:v>πόθεν</x:v>
      </x:c>
      <x:c r="E492" s="29" t="str">
        <x:v>πόθεν</x:v>
      </x:c>
      <x:c r="F492" s="27" t="str">
        <x:v>pothen</x:v>
      </x:c>
      <x:c r="G492" s="20" t="str">
        <x:v>from which (as interrogative) or what (as relative) place, state, source or cause</x:v>
      </x:c>
      <x:c r="H492" s="20" t="str"/>
      <x:c r="I492" s="21"/>
      <x:c r="J492" s="21" t="str">
        <x:v>Mounce 頻率延伸</x:v>
      </x:c>
      <x:c r="K492" s="21" t="str">
        <x:v>G4159</x:v>
      </x:c>
      <x:c r="L492" s="21" t="str">
        <x:v>否</x:v>
      </x:c>
      <x:c r="M492" s="21" t="str"/>
      <x:c r="N492" s="21" t="str">
        <x:v>source_and_lexicon_matched</x:v>
      </x:c>
      <x:c r="O492" s="21" t="str">
        <x:v>rule_generated_from_official_table</x:v>
      </x:c>
      <x:c r="P492" s="21" t="n">
        <x:v>9</x:v>
      </x:c>
      <x:c r="Q492" s="21" t="str">
        <x:v>https://doxa.billmounce.com/Flashcards%20%28BBG%29.pdf</x:v>
      </x:c>
      <x:c r="R492" s="16" t="str"/>
    </x:row>
    <x:row r="493" ht="28" customHeight="1">
      <x:c r="A493" s="21" t="n">
        <x:v>489</x:v>
      </x:c>
      <x:c r="B493" s="21" t="n">
        <x:f>ROUNDUP(A493/50,0)</x:f>
        <x:v>10</x:v>
      </x:c>
      <x:c r="C493" s="21" t="n">
        <x:f>MOD(A493-1,50)+1</x:f>
        <x:v>39</x:v>
      </x:c>
      <x:c r="D493" s="29" t="str">
        <x:v>ποτέ</x:v>
      </x:c>
      <x:c r="E493" s="29" t="str">
        <x:v>ποτέ</x:v>
      </x:c>
      <x:c r="F493" s="27" t="str">
        <x:v>pote</x:v>
      </x:c>
      <x:c r="G493" s="20" t="str">
        <x:v>indefinite adverb, at some time, ever</x:v>
      </x:c>
      <x:c r="H493" s="20" t="str"/>
      <x:c r="I493" s="21"/>
      <x:c r="J493" s="21" t="str">
        <x:v>Mounce 頻率延伸</x:v>
      </x:c>
      <x:c r="K493" s="21" t="str">
        <x:v>G4218</x:v>
      </x:c>
      <x:c r="L493" s="21" t="str">
        <x:v>否</x:v>
      </x:c>
      <x:c r="M493" s="21" t="str"/>
      <x:c r="N493" s="21" t="str">
        <x:v>source_and_lexicon_matched</x:v>
      </x:c>
      <x:c r="O493" s="21" t="str">
        <x:v>rule_generated_from_official_table</x:v>
      </x:c>
      <x:c r="P493" s="21" t="n">
        <x:v>9</x:v>
      </x:c>
      <x:c r="Q493" s="21" t="str">
        <x:v>https://doxa.billmounce.com/Flashcards%20%28BBG%29.pdf</x:v>
      </x:c>
      <x:c r="R493" s="16" t="str"/>
    </x:row>
    <x:row r="494" ht="28" customHeight="1">
      <x:c r="A494" s="21" t="n">
        <x:v>490</x:v>
      </x:c>
      <x:c r="B494" s="21" t="n">
        <x:f>ROUNDUP(A494/50,0)</x:f>
        <x:v>10</x:v>
      </x:c>
      <x:c r="C494" s="21" t="n">
        <x:f>MOD(A494-1,50)+1</x:f>
        <x:v>40</x:v>
      </x:c>
      <x:c r="D494" s="29" t="str">
        <x:v>προσκαλέω</x:v>
      </x:c>
      <x:c r="E494" s="29" t="str">
        <x:v>προσκαλέω</x:v>
      </x:c>
      <x:c r="F494" s="27" t="str">
        <x:v>proskaleō</x:v>
      </x:c>
      <x:c r="G494" s="20" t="str"/>
      <x:c r="H494" s="20" t="str"/>
      <x:c r="I494" s="21"/>
      <x:c r="J494" s="21" t="str">
        <x:v>Mounce 頻率延伸</x:v>
      </x:c>
      <x:c r="K494" s="21" t="str"/>
      <x:c r="L494" s="21" t="str">
        <x:v>否</x:v>
      </x:c>
      <x:c r="M494" s="21" t="str"/>
      <x:c r="N494" s="21" t="str">
        <x:v>source_verified_lexicon_pending</x:v>
      </x:c>
      <x:c r="O494" s="21" t="str">
        <x:v>rule_generated_from_official_table</x:v>
      </x:c>
      <x:c r="P494" s="21" t="n">
        <x:v>9</x:v>
      </x:c>
      <x:c r="Q494" s="21" t="str">
        <x:v>https://doxa.billmounce.com/Flashcards%20%28BBG%29.pdf</x:v>
      </x:c>
      <x:c r="R494" s="16" t="str"/>
    </x:row>
    <x:row r="495" ht="28" customHeight="1">
      <x:c r="A495" s="21" t="n">
        <x:v>491</x:v>
      </x:c>
      <x:c r="B495" s="21" t="n">
        <x:f>ROUNDUP(A495/50,0)</x:f>
        <x:v>10</x:v>
      </x:c>
      <x:c r="C495" s="21" t="n">
        <x:f>MOD(A495-1,50)+1</x:f>
        <x:v>41</x:v>
      </x:c>
      <x:c r="D495" s="29" t="str">
        <x:v>σκανδαλίζω</x:v>
      </x:c>
      <x:c r="E495" s="29" t="str">
        <x:v>σκανδαλίζω</x:v>
      </x:c>
      <x:c r="F495" s="27" t="str">
        <x:v>skandalizō</x:v>
      </x:c>
      <x:c r="G495" s="20" t="str">
        <x:v>to entrap, i.e. trip up (figuratively, stumble (transitively) or entice to sin, apostasy or displeasure)</x:v>
      </x:c>
      <x:c r="H495" s="20" t="str"/>
      <x:c r="I495" s="21"/>
      <x:c r="J495" s="21" t="str">
        <x:v>Mounce 頻率延伸</x:v>
      </x:c>
      <x:c r="K495" s="21" t="str">
        <x:v>G4624</x:v>
      </x:c>
      <x:c r="L495" s="21" t="str">
        <x:v>否</x:v>
      </x:c>
      <x:c r="M495" s="21" t="str"/>
      <x:c r="N495" s="21" t="str">
        <x:v>source_and_lexicon_matched</x:v>
      </x:c>
      <x:c r="O495" s="21" t="str">
        <x:v>rule_generated_from_official_table</x:v>
      </x:c>
      <x:c r="P495" s="21" t="n">
        <x:v>9</x:v>
      </x:c>
      <x:c r="Q495" s="21" t="str">
        <x:v>https://doxa.billmounce.com/Flashcards%20%28BBG%29.pdf</x:v>
      </x:c>
      <x:c r="R495" s="16" t="str"/>
    </x:row>
    <x:row r="496" ht="28" customHeight="1">
      <x:c r="A496" s="21" t="n">
        <x:v>492</x:v>
      </x:c>
      <x:c r="B496" s="21" t="n">
        <x:f>ROUNDUP(A496/50,0)</x:f>
        <x:v>10</x:v>
      </x:c>
      <x:c r="C496" s="21" t="n">
        <x:f>MOD(A496-1,50)+1</x:f>
        <x:v>42</x:v>
      </x:c>
      <x:c r="D496" s="29" t="str">
        <x:v>φεύγω</x:v>
      </x:c>
      <x:c r="E496" s="29" t="str">
        <x:v>φεύγω</x:v>
      </x:c>
      <x:c r="F496" s="27" t="str">
        <x:v>pheugō</x:v>
      </x:c>
      <x:c r="G496" s="20" t="str">
        <x:v>to run away (literally or figuratively); by implication, to shun; by analogy, to vanish</x:v>
      </x:c>
      <x:c r="H496" s="20" t="str"/>
      <x:c r="I496" s="21"/>
      <x:c r="J496" s="21" t="str">
        <x:v>Mounce 頻率延伸</x:v>
      </x:c>
      <x:c r="K496" s="21" t="str">
        <x:v>G5343</x:v>
      </x:c>
      <x:c r="L496" s="21" t="str">
        <x:v>否</x:v>
      </x:c>
      <x:c r="M496" s="21" t="str"/>
      <x:c r="N496" s="21" t="str">
        <x:v>source_and_lexicon_matched</x:v>
      </x:c>
      <x:c r="O496" s="21" t="str">
        <x:v>rule_generated_from_official_table</x:v>
      </x:c>
      <x:c r="P496" s="21" t="n">
        <x:v>9</x:v>
      </x:c>
      <x:c r="Q496" s="21" t="str">
        <x:v>https://doxa.billmounce.com/Flashcards%20%28BBG%29.pdf</x:v>
      </x:c>
      <x:c r="R496" s="16" t="str"/>
    </x:row>
    <x:row r="497" ht="28" customHeight="1">
      <x:c r="A497" s="21" t="n">
        <x:v>493</x:v>
      </x:c>
      <x:c r="B497" s="21" t="n">
        <x:f>ROUNDUP(A497/50,0)</x:f>
        <x:v>10</x:v>
      </x:c>
      <x:c r="C497" s="21" t="n">
        <x:f>MOD(A497-1,50)+1</x:f>
        <x:v>43</x:v>
      </x:c>
      <x:c r="D497" s="29" t="str">
        <x:v>φίλος, -η, -ον</x:v>
      </x:c>
      <x:c r="E497" s="29" t="str">
        <x:v>φίλος</x:v>
      </x:c>
      <x:c r="F497" s="27" t="str">
        <x:v>philos</x:v>
      </x:c>
      <x:c r="G497" s="20" t="str">
        <x:v>actively, fond, i.e. friendly (still as a noun, an associate, neighbor, etc.)</x:v>
      </x:c>
      <x:c r="H497" s="20" t="str"/>
      <x:c r="I497" s="21"/>
      <x:c r="J497" s="21" t="str">
        <x:v>Mounce 頻率延伸</x:v>
      </x:c>
      <x:c r="K497" s="21" t="str">
        <x:v>G5384</x:v>
      </x:c>
      <x:c r="L497" s="21" t="str">
        <x:v>否</x:v>
      </x:c>
      <x:c r="M497" s="21" t="str"/>
      <x:c r="N497" s="21" t="str">
        <x:v>source_and_lexicon_matched</x:v>
      </x:c>
      <x:c r="O497" s="21" t="str">
        <x:v>rule_generated_from_official_table</x:v>
      </x:c>
      <x:c r="P497" s="21" t="n">
        <x:v>9</x:v>
      </x:c>
      <x:c r="Q497" s="21" t="str">
        <x:v>https://doxa.billmounce.com/Flashcards%20%28BBG%29.pdf</x:v>
      </x:c>
      <x:c r="R497" s="16" t="str"/>
    </x:row>
    <x:row r="498" ht="28" customHeight="1">
      <x:c r="A498" s="21" t="n">
        <x:v>494</x:v>
      </x:c>
      <x:c r="B498" s="21" t="n">
        <x:f>ROUNDUP(A498/50,0)</x:f>
        <x:v>10</x:v>
      </x:c>
      <x:c r="C498" s="21" t="n">
        <x:f>MOD(A498-1,50)+1</x:f>
        <x:v>44</x:v>
      </x:c>
      <x:c r="D498" s="29" t="str">
        <x:v>ἀδικέω</x:v>
      </x:c>
      <x:c r="E498" s="29" t="str">
        <x:v>ἀδικέω</x:v>
      </x:c>
      <x:c r="F498" s="27" t="str">
        <x:v>adikeō</x:v>
      </x:c>
      <x:c r="G498" s="20" t="str">
        <x:v>to be unjust, i.e. (actively) do wrong (morally, socially or physically)</x:v>
      </x:c>
      <x:c r="H498" s="20" t="str"/>
      <x:c r="I498" s="21"/>
      <x:c r="J498" s="21" t="str">
        <x:v>Mounce 頻率延伸</x:v>
      </x:c>
      <x:c r="K498" s="21" t="str">
        <x:v>G91</x:v>
      </x:c>
      <x:c r="L498" s="21" t="str">
        <x:v>否</x:v>
      </x:c>
      <x:c r="M498" s="21" t="str"/>
      <x:c r="N498" s="21" t="str">
        <x:v>source_and_lexicon_matched</x:v>
      </x:c>
      <x:c r="O498" s="21" t="str">
        <x:v>rule_generated_from_official_table</x:v>
      </x:c>
      <x:c r="P498" s="21" t="n">
        <x:v>9</x:v>
      </x:c>
      <x:c r="Q498" s="21" t="str">
        <x:v>https://doxa.billmounce.com/Flashcards%20%28BBG%29.pdf</x:v>
      </x:c>
      <x:c r="R498" s="16" t="str"/>
    </x:row>
    <x:row r="499" ht="28" customHeight="1">
      <x:c r="A499" s="21" t="n">
        <x:v>495</x:v>
      </x:c>
      <x:c r="B499" s="21" t="n">
        <x:f>ROUNDUP(A499/50,0)</x:f>
        <x:v>10</x:v>
      </x:c>
      <x:c r="C499" s="21" t="n">
        <x:f>MOD(A499-1,50)+1</x:f>
        <x:v>45</x:v>
      </x:c>
      <x:c r="D499" s="29" t="str">
        <x:v>ἀληθινός, -ή, -όν</x:v>
      </x:c>
      <x:c r="E499" s="29" t="str">
        <x:v>ἀληθινός</x:v>
      </x:c>
      <x:c r="F499" s="27" t="str">
        <x:v>alēthinos</x:v>
      </x:c>
      <x:c r="G499" s="20" t="str">
        <x:v>truthful</x:v>
      </x:c>
      <x:c r="H499" s="20" t="str"/>
      <x:c r="I499" s="21"/>
      <x:c r="J499" s="21" t="str">
        <x:v>Mounce 頻率延伸</x:v>
      </x:c>
      <x:c r="K499" s="21" t="str">
        <x:v>G228</x:v>
      </x:c>
      <x:c r="L499" s="21" t="str">
        <x:v>否</x:v>
      </x:c>
      <x:c r="M499" s="21" t="str"/>
      <x:c r="N499" s="21" t="str">
        <x:v>source_and_lexicon_matched</x:v>
      </x:c>
      <x:c r="O499" s="21" t="str">
        <x:v>rule_generated_from_official_table</x:v>
      </x:c>
      <x:c r="P499" s="21" t="n">
        <x:v>9</x:v>
      </x:c>
      <x:c r="Q499" s="21" t="str">
        <x:v>https://doxa.billmounce.com/Flashcards%20%28BBG%29.pdf</x:v>
      </x:c>
      <x:c r="R499" s="16" t="str"/>
    </x:row>
    <x:row r="500" ht="28" customHeight="1">
      <x:c r="A500" s="21" t="n">
        <x:v>496</x:v>
      </x:c>
      <x:c r="B500" s="21" t="n">
        <x:f>ROUNDUP(A500/50,0)</x:f>
        <x:v>10</x:v>
      </x:c>
      <x:c r="C500" s="21" t="n">
        <x:f>MOD(A500-1,50)+1</x:f>
        <x:v>46</x:v>
      </x:c>
      <x:c r="D500" s="29" t="str">
        <x:v>Βαρναβᾶς, -ᾶ, ὁ</x:v>
      </x:c>
      <x:c r="E500" s="29" t="str">
        <x:v>Βαρναβᾶς</x:v>
      </x:c>
      <x:c r="F500" s="27" t="str">
        <x:v>Barnabas</x:v>
      </x:c>
      <x:c r="G500" s="20" t="str">
        <x:v>son of Nabas (i.e. prophecy); Barnabas, an Israelite</x:v>
      </x:c>
      <x:c r="H500" s="20" t="str"/>
      <x:c r="I500" s="21"/>
      <x:c r="J500" s="21" t="str">
        <x:v>Mounce 頻率延伸</x:v>
      </x:c>
      <x:c r="K500" s="21" t="str">
        <x:v>G921</x:v>
      </x:c>
      <x:c r="L500" s="21" t="str">
        <x:v>是</x:v>
      </x:c>
      <x:c r="M500" s="21" t="str">
        <x:v>人名</x:v>
      </x:c>
      <x:c r="N500" s="21" t="str">
        <x:v>source_and_lexicon_matched</x:v>
      </x:c>
      <x:c r="O500" s="21" t="str">
        <x:v>rule_generated_from_official_table</x:v>
      </x:c>
      <x:c r="P500" s="21" t="n">
        <x:v>9</x:v>
      </x:c>
      <x:c r="Q500" s="21" t="str">
        <x:v>https://doxa.billmounce.com/Flashcards%20%28BBG%29.pdf</x:v>
      </x:c>
      <x:c r="R500" s="16" t="str"/>
    </x:row>
    <x:row r="501" ht="28" customHeight="1">
      <x:c r="A501" s="21" t="n">
        <x:v>497</x:v>
      </x:c>
      <x:c r="B501" s="21" t="n">
        <x:f>ROUNDUP(A501/50,0)</x:f>
        <x:v>10</x:v>
      </x:c>
      <x:c r="C501" s="21" t="n">
        <x:f>MOD(A501-1,50)+1</x:f>
        <x:v>47</x:v>
      </x:c>
      <x:c r="D501" s="29" t="str">
        <x:v>γαμέω</x:v>
      </x:c>
      <x:c r="E501" s="29" t="str">
        <x:v>γαμέω</x:v>
      </x:c>
      <x:c r="F501" s="27" t="str">
        <x:v>gameō</x:v>
      </x:c>
      <x:c r="G501" s="20" t="str">
        <x:v>to wed (of either sex)</x:v>
      </x:c>
      <x:c r="H501" s="20" t="str"/>
      <x:c r="I501" s="21"/>
      <x:c r="J501" s="21" t="str">
        <x:v>Mounce 頻率延伸</x:v>
      </x:c>
      <x:c r="K501" s="21" t="str">
        <x:v>G1060</x:v>
      </x:c>
      <x:c r="L501" s="21" t="str">
        <x:v>否</x:v>
      </x:c>
      <x:c r="M501" s="21" t="str"/>
      <x:c r="N501" s="21" t="str">
        <x:v>source_and_lexicon_matched</x:v>
      </x:c>
      <x:c r="O501" s="21" t="str">
        <x:v>rule_generated_from_official_table</x:v>
      </x:c>
      <x:c r="P501" s="21" t="n">
        <x:v>9</x:v>
      </x:c>
      <x:c r="Q501" s="21" t="str">
        <x:v>https://doxa.billmounce.com/Flashcards%20%28BBG%29.pdf</x:v>
      </x:c>
      <x:c r="R501" s="16" t="str"/>
    </x:row>
    <x:row r="502" ht="28" customHeight="1">
      <x:c r="A502" s="21" t="n">
        <x:v>498</x:v>
      </x:c>
      <x:c r="B502" s="21" t="n">
        <x:f>ROUNDUP(A502/50,0)</x:f>
        <x:v>10</x:v>
      </x:c>
      <x:c r="C502" s="21" t="n">
        <x:f>MOD(A502-1,50)+1</x:f>
        <x:v>48</x:v>
      </x:c>
      <x:c r="D502" s="29" t="str">
        <x:v>ἐλεέω</x:v>
      </x:c>
      <x:c r="E502" s="29" t="str">
        <x:v>ἐλεέω</x:v>
      </x:c>
      <x:c r="F502" s="27" t="str">
        <x:v>eleeō</x:v>
      </x:c>
      <x:c r="G502" s="20" t="str">
        <x:v>to compassionate (by word or deed, specially, by divine grace)</x:v>
      </x:c>
      <x:c r="H502" s="20" t="str"/>
      <x:c r="I502" s="21"/>
      <x:c r="J502" s="21" t="str">
        <x:v>Mounce 頻率延伸</x:v>
      </x:c>
      <x:c r="K502" s="21" t="str">
        <x:v>G1653</x:v>
      </x:c>
      <x:c r="L502" s="21" t="str">
        <x:v>否</x:v>
      </x:c>
      <x:c r="M502" s="21" t="str"/>
      <x:c r="N502" s="21" t="str">
        <x:v>source_and_lexicon_matched</x:v>
      </x:c>
      <x:c r="O502" s="21" t="str">
        <x:v>rule_generated_from_official_table</x:v>
      </x:c>
      <x:c r="P502" s="21" t="n">
        <x:v>9</x:v>
      </x:c>
      <x:c r="Q502" s="21" t="str">
        <x:v>https://doxa.billmounce.com/Flashcards%20%28BBG%29.pdf</x:v>
      </x:c>
      <x:c r="R502" s="16" t="str"/>
    </x:row>
    <x:row r="503" ht="28" customHeight="1">
      <x:c r="A503" s="21" t="n">
        <x:v>499</x:v>
      </x:c>
      <x:c r="B503" s="21" t="n">
        <x:f>ROUNDUP(A503/50,0)</x:f>
        <x:v>10</x:v>
      </x:c>
      <x:c r="C503" s="21" t="n">
        <x:f>MOD(A503-1,50)+1</x:f>
        <x:v>49</x:v>
      </x:c>
      <x:c r="D503" s="29" t="str">
        <x:v>ἡγέομαι</x:v>
      </x:c>
      <x:c r="E503" s="29" t="str">
        <x:v>ἡγέομαι</x:v>
      </x:c>
      <x:c r="F503" s="27" t="str">
        <x:v>hēgeomai</x:v>
      </x:c>
      <x:c r="G503" s="20" t="str">
        <x:v>to lead, i.e. command (with official authority); figuratively, to deem, i.e. consider</x:v>
      </x:c>
      <x:c r="H503" s="20" t="str"/>
      <x:c r="I503" s="21"/>
      <x:c r="J503" s="21" t="str">
        <x:v>Mounce 頻率延伸</x:v>
      </x:c>
      <x:c r="K503" s="21" t="str">
        <x:v>G2233</x:v>
      </x:c>
      <x:c r="L503" s="21" t="str">
        <x:v>否</x:v>
      </x:c>
      <x:c r="M503" s="21" t="str"/>
      <x:c r="N503" s="21" t="str">
        <x:v>source_and_lexicon_matched</x:v>
      </x:c>
      <x:c r="O503" s="21" t="str">
        <x:v>rule_generated_from_official_table</x:v>
      </x:c>
      <x:c r="P503" s="21" t="n">
        <x:v>9</x:v>
      </x:c>
      <x:c r="Q503" s="21" t="str">
        <x:v>https://doxa.billmounce.com/Flashcards%20%28BBG%29.pdf</x:v>
      </x:c>
      <x:c r="R503" s="16" t="str"/>
    </x:row>
    <x:row r="504" ht="28" customHeight="1">
      <x:c r="A504" s="21" t="n">
        <x:v>500</x:v>
      </x:c>
      <x:c r="B504" s="21" t="n">
        <x:f>ROUNDUP(A504/50,0)</x:f>
        <x:v>10</x:v>
      </x:c>
      <x:c r="C504" s="21" t="n">
        <x:f>MOD(A504-1,50)+1</x:f>
        <x:v>50</x:v>
      </x:c>
      <x:c r="D504" s="29" t="str">
        <x:v>θυγάτηρ, -τρός, ἡ</x:v>
      </x:c>
      <x:c r="E504" s="29" t="str">
        <x:v>θυγάτηρ</x:v>
      </x:c>
      <x:c r="F504" s="27" t="str">
        <x:v>thugatēr</x:v>
      </x:c>
      <x:c r="G504" s="20" t="str">
        <x:v>a female child, or (by Hebraism) descendant (or inhabitant)</x:v>
      </x:c>
      <x:c r="H504" s="20" t="str"/>
      <x:c r="I504" s="21"/>
      <x:c r="J504" s="21" t="str">
        <x:v>Mounce 頻率延伸</x:v>
      </x:c>
      <x:c r="K504" s="21" t="str">
        <x:v>G2364</x:v>
      </x:c>
      <x:c r="L504" s="21" t="str">
        <x:v>否</x:v>
      </x:c>
      <x:c r="M504" s="21" t="str"/>
      <x:c r="N504" s="21" t="str">
        <x:v>source_and_lexicon_matched</x:v>
      </x:c>
      <x:c r="O504" s="21" t="str">
        <x:v>rule_generated_from_official_table</x:v>
      </x:c>
      <x:c r="P504" s="21" t="n">
        <x:v>9</x:v>
      </x:c>
      <x:c r="Q504" s="21" t="str">
        <x:v>https://doxa.billmounce.com/Flashcards%20%28BBG%29.pdf</x:v>
      </x:c>
      <x:c r="R504" s="16" t="str"/>
    </x:row>
    <x:row r="505" ht="28" customHeight="1">
      <x:c r="A505" s="21" t="n">
        <x:v>501</x:v>
      </x:c>
      <x:c r="B505" s="21" t="n">
        <x:f>ROUNDUP(A505/50,0)</x:f>
        <x:v>11</x:v>
      </x:c>
      <x:c r="C505" s="21" t="n">
        <x:f>MOD(A505-1,50)+1</x:f>
        <x:v>1</x:v>
      </x:c>
      <x:c r="D505" s="29" t="str">
        <x:v>θυσία, -ας, ἡ</x:v>
      </x:c>
      <x:c r="E505" s="29" t="str">
        <x:v>θυσία</x:v>
      </x:c>
      <x:c r="F505" s="27" t="str">
        <x:v>thusia</x:v>
      </x:c>
      <x:c r="G505" s="20" t="str">
        <x:v>sacrifice (the act or the victim, literally or figuratively)</x:v>
      </x:c>
      <x:c r="H505" s="20" t="str"/>
      <x:c r="I505" s="21"/>
      <x:c r="J505" s="21" t="str">
        <x:v>Mounce 頻率延伸</x:v>
      </x:c>
      <x:c r="K505" s="21" t="str">
        <x:v>G2378</x:v>
      </x:c>
      <x:c r="L505" s="21" t="str">
        <x:v>否</x:v>
      </x:c>
      <x:c r="M505" s="21" t="str"/>
      <x:c r="N505" s="21" t="str">
        <x:v>source_and_lexicon_matched</x:v>
      </x:c>
      <x:c r="O505" s="21" t="str">
        <x:v>rule_generated_from_official_table</x:v>
      </x:c>
      <x:c r="P505" s="21" t="n">
        <x:v>9</x:v>
      </x:c>
      <x:c r="Q505" s="21" t="str">
        <x:v>https://doxa.billmounce.com/Flashcards%20%28BBG%29.pdf</x:v>
      </x:c>
      <x:c r="R505" s="16" t="str"/>
    </x:row>
    <x:row r="506" ht="28" customHeight="1">
      <x:c r="A506" s="21" t="n">
        <x:v>502</x:v>
      </x:c>
      <x:c r="B506" s="21" t="n">
        <x:f>ROUNDUP(A506/50,0)</x:f>
        <x:v>11</x:v>
      </x:c>
      <x:c r="C506" s="21" t="n">
        <x:f>MOD(A506-1,50)+1</x:f>
        <x:v>2</x:v>
      </x:c>
      <x:c r="D506" s="29" t="str">
        <x:v>ἰσχύω</x:v>
      </x:c>
      <x:c r="E506" s="29" t="str">
        <x:v>ἰσχύω</x:v>
      </x:c>
      <x:c r="F506" s="27" t="str">
        <x:v>ischuō</x:v>
      </x:c>
      <x:c r="G506" s="20" t="str">
        <x:v>to have (or exercise) force (literally or figuratively)</x:v>
      </x:c>
      <x:c r="H506" s="20" t="str"/>
      <x:c r="I506" s="21"/>
      <x:c r="J506" s="21" t="str">
        <x:v>Mounce 頻率延伸</x:v>
      </x:c>
      <x:c r="K506" s="21" t="str">
        <x:v>G2480</x:v>
      </x:c>
      <x:c r="L506" s="21" t="str">
        <x:v>否</x:v>
      </x:c>
      <x:c r="M506" s="21" t="str"/>
      <x:c r="N506" s="21" t="str">
        <x:v>source_and_lexicon_matched</x:v>
      </x:c>
      <x:c r="O506" s="21" t="str">
        <x:v>rule_generated_from_official_table</x:v>
      </x:c>
      <x:c r="P506" s="21" t="n">
        <x:v>9</x:v>
      </x:c>
      <x:c r="Q506" s="21" t="str">
        <x:v>https://doxa.billmounce.com/Flashcards%20%28BBG%29.pdf</x:v>
      </x:c>
      <x:c r="R506" s="16" t="str"/>
    </x:row>
    <x:row r="507" ht="28" customHeight="1">
      <x:c r="A507" s="21" t="n">
        <x:v>503</x:v>
      </x:c>
      <x:c r="B507" s="21" t="n">
        <x:f>ROUNDUP(A507/50,0)</x:f>
        <x:v>11</x:v>
      </x:c>
      <x:c r="C507" s="21" t="n">
        <x:f>MOD(A507-1,50)+1</x:f>
        <x:v>3</x:v>
      </x:c>
      <x:c r="D507" s="29" t="str">
        <x:v>μυστήριον, -ου, τό</x:v>
      </x:c>
      <x:c r="E507" s="29" t="str">
        <x:v>μυστήριον</x:v>
      </x:c>
      <x:c r="F507" s="27" t="str">
        <x:v>mustērion</x:v>
      </x:c>
      <x:c r="G507" s="20" t="str">
        <x:v>a secret or "mystery" (through the idea of silence imposed by initiation into religious rites)</x:v>
      </x:c>
      <x:c r="H507" s="20" t="str"/>
      <x:c r="I507" s="21"/>
      <x:c r="J507" s="21" t="str">
        <x:v>Mounce 頻率延伸</x:v>
      </x:c>
      <x:c r="K507" s="21" t="str">
        <x:v>G3466</x:v>
      </x:c>
      <x:c r="L507" s="21" t="str">
        <x:v>否</x:v>
      </x:c>
      <x:c r="M507" s="21" t="str"/>
      <x:c r="N507" s="21" t="str">
        <x:v>source_and_lexicon_matched</x:v>
      </x:c>
      <x:c r="O507" s="21" t="str">
        <x:v>rule_generated_from_official_table</x:v>
      </x:c>
      <x:c r="P507" s="21" t="n">
        <x:v>9</x:v>
      </x:c>
      <x:c r="Q507" s="21" t="str">
        <x:v>https://doxa.billmounce.com/Flashcards%20%28BBG%29.pdf</x:v>
      </x:c>
      <x:c r="R507" s="16" t="str"/>
    </x:row>
    <x:row r="508" ht="28" customHeight="1">
      <x:c r="A508" s="21" t="n">
        <x:v>504</x:v>
      </x:c>
      <x:c r="B508" s="21" t="n">
        <x:f>ROUNDUP(A508/50,0)</x:f>
        <x:v>11</x:v>
      </x:c>
      <x:c r="C508" s="21" t="n">
        <x:f>MOD(A508-1,50)+1</x:f>
        <x:v>4</x:v>
      </x:c>
      <x:c r="D508" s="29" t="str">
        <x:v>νικάω</x:v>
      </x:c>
      <x:c r="E508" s="29" t="str">
        <x:v>νικάω</x:v>
      </x:c>
      <x:c r="F508" s="27" t="str">
        <x:v>nikaō</x:v>
      </x:c>
      <x:c r="G508" s="20" t="str">
        <x:v>to subdue (literally or figuratively)</x:v>
      </x:c>
      <x:c r="H508" s="20" t="str"/>
      <x:c r="I508" s="21"/>
      <x:c r="J508" s="21" t="str">
        <x:v>Mounce 頻率延伸</x:v>
      </x:c>
      <x:c r="K508" s="21" t="str">
        <x:v>G3528</x:v>
      </x:c>
      <x:c r="L508" s="21" t="str">
        <x:v>否</x:v>
      </x:c>
      <x:c r="M508" s="21" t="str"/>
      <x:c r="N508" s="21" t="str">
        <x:v>source_and_lexicon_matched</x:v>
      </x:c>
      <x:c r="O508" s="21" t="str">
        <x:v>rule_generated_from_official_table</x:v>
      </x:c>
      <x:c r="P508" s="21" t="n">
        <x:v>9</x:v>
      </x:c>
      <x:c r="Q508" s="21" t="str">
        <x:v>https://doxa.billmounce.com/Flashcards%20%28BBG%29.pdf</x:v>
      </x:c>
      <x:c r="R508" s="16" t="str"/>
    </x:row>
    <x:row r="509" ht="28" customHeight="1">
      <x:c r="A509" s="21" t="n">
        <x:v>505</x:v>
      </x:c>
      <x:c r="B509" s="21" t="n">
        <x:f>ROUNDUP(A509/50,0)</x:f>
        <x:v>11</x:v>
      </x:c>
      <x:c r="C509" s="21" t="n">
        <x:f>MOD(A509-1,50)+1</x:f>
        <x:v>5</x:v>
      </x:c>
      <x:c r="D509" s="29" t="str">
        <x:v>πλούσιος, -α, -ον</x:v>
      </x:c>
      <x:c r="E509" s="29" t="str">
        <x:v>πλούσιος</x:v>
      </x:c>
      <x:c r="F509" s="27" t="str">
        <x:v>plousios</x:v>
      </x:c>
      <x:c r="G509" s="20" t="str">
        <x:v>wealthy; figuratively, abounding with</x:v>
      </x:c>
      <x:c r="H509" s="20" t="str"/>
      <x:c r="I509" s="21"/>
      <x:c r="J509" s="21" t="str">
        <x:v>Mounce 頻率延伸</x:v>
      </x:c>
      <x:c r="K509" s="21" t="str">
        <x:v>G4145</x:v>
      </x:c>
      <x:c r="L509" s="21" t="str">
        <x:v>否</x:v>
      </x:c>
      <x:c r="M509" s="21" t="str"/>
      <x:c r="N509" s="21" t="str">
        <x:v>source_and_lexicon_matched</x:v>
      </x:c>
      <x:c r="O509" s="21" t="str">
        <x:v>rule_generated_from_official_table</x:v>
      </x:c>
      <x:c r="P509" s="21" t="n">
        <x:v>9</x:v>
      </x:c>
      <x:c r="Q509" s="21" t="str">
        <x:v>https://doxa.billmounce.com/Flashcards%20%28BBG%29.pdf</x:v>
      </x:c>
      <x:c r="R509" s="16" t="str"/>
    </x:row>
    <x:row r="510" ht="28" customHeight="1">
      <x:c r="A510" s="21" t="n">
        <x:v>506</x:v>
      </x:c>
      <x:c r="B510" s="21" t="n">
        <x:f>ROUNDUP(A510/50,0)</x:f>
        <x:v>11</x:v>
      </x:c>
      <x:c r="C510" s="21" t="n">
        <x:f>MOD(A510-1,50)+1</x:f>
        <x:v>6</x:v>
      </x:c>
      <x:c r="D510" s="29" t="str">
        <x:v>προφητεύω</x:v>
      </x:c>
      <x:c r="E510" s="29" t="str">
        <x:v>προφητεύω</x:v>
      </x:c>
      <x:c r="F510" s="27" t="str">
        <x:v>prophēteuō</x:v>
      </x:c>
      <x:c r="G510" s="20" t="str">
        <x:v>to foretell events, divine, speak under inspiration, exercise the prophetic office</x:v>
      </x:c>
      <x:c r="H510" s="20" t="str"/>
      <x:c r="I510" s="21"/>
      <x:c r="J510" s="21" t="str">
        <x:v>Mounce 頻率延伸</x:v>
      </x:c>
      <x:c r="K510" s="21" t="str">
        <x:v>G4395</x:v>
      </x:c>
      <x:c r="L510" s="21" t="str">
        <x:v>否</x:v>
      </x:c>
      <x:c r="M510" s="21" t="str"/>
      <x:c r="N510" s="21" t="str">
        <x:v>source_and_lexicon_matched</x:v>
      </x:c>
      <x:c r="O510" s="21" t="str">
        <x:v>rule_generated_from_official_table</x:v>
      </x:c>
      <x:c r="P510" s="21" t="n">
        <x:v>9</x:v>
      </x:c>
      <x:c r="Q510" s="21" t="str">
        <x:v>https://doxa.billmounce.com/Flashcards%20%28BBG%29.pdf</x:v>
      </x:c>
      <x:c r="R510" s="16" t="str"/>
    </x:row>
    <x:row r="511" ht="28" customHeight="1">
      <x:c r="A511" s="21" t="n">
        <x:v>507</x:v>
      </x:c>
      <x:c r="B511" s="21" t="n">
        <x:f>ROUNDUP(A511/50,0)</x:f>
        <x:v>11</x:v>
      </x:c>
      <x:c r="C511" s="21" t="n">
        <x:f>MOD(A511-1,50)+1</x:f>
        <x:v>7</x:v>
      </x:c>
      <x:c r="D511" s="29" t="str">
        <x:v>τελέω</x:v>
      </x:c>
      <x:c r="E511" s="29" t="str">
        <x:v>τελέω</x:v>
      </x:c>
      <x:c r="F511" s="27" t="str">
        <x:v>teleō</x:v>
      </x:c>
      <x:c r="G511" s="20" t="str">
        <x:v>to end, i.e. complete, execute, conclude, discharge (a debt)</x:v>
      </x:c>
      <x:c r="H511" s="20" t="str"/>
      <x:c r="I511" s="21"/>
      <x:c r="J511" s="21" t="str">
        <x:v>Mounce 頻率延伸</x:v>
      </x:c>
      <x:c r="K511" s="21" t="str">
        <x:v>G5055</x:v>
      </x:c>
      <x:c r="L511" s="21" t="str">
        <x:v>否</x:v>
      </x:c>
      <x:c r="M511" s="21" t="str"/>
      <x:c r="N511" s="21" t="str">
        <x:v>source_and_lexicon_matched</x:v>
      </x:c>
      <x:c r="O511" s="21" t="str">
        <x:v>rule_generated_from_official_table</x:v>
      </x:c>
      <x:c r="P511" s="21" t="n">
        <x:v>9</x:v>
      </x:c>
      <x:c r="Q511" s="21" t="str">
        <x:v>https://doxa.billmounce.com/Flashcards%20%28BBG%29.pdf</x:v>
      </x:c>
      <x:c r="R511" s="16" t="str"/>
    </x:row>
    <x:row r="512" ht="28" customHeight="1">
      <x:c r="A512" s="21" t="n">
        <x:v>508</x:v>
      </x:c>
      <x:c r="B512" s="21" t="n">
        <x:f>ROUNDUP(A512/50,0)</x:f>
        <x:v>11</x:v>
      </x:c>
      <x:c r="C512" s="21" t="n">
        <x:f>MOD(A512-1,50)+1</x:f>
        <x:v>8</x:v>
      </x:c>
      <x:c r="D512" s="29" t="str">
        <x:v>χώρα, -ας, ἡ</x:v>
      </x:c>
      <x:c r="E512" s="29" t="str">
        <x:v>χώρα</x:v>
      </x:c>
      <x:c r="F512" s="27" t="str">
        <x:v>chōra</x:v>
      </x:c>
      <x:c r="G512" s="20" t="str">
        <x:v>room, i.e. a space of territory (more or less extensive; often including its inhabitants)</x:v>
      </x:c>
      <x:c r="H512" s="20" t="str"/>
      <x:c r="I512" s="21"/>
      <x:c r="J512" s="21" t="str">
        <x:v>Mounce 頻率延伸</x:v>
      </x:c>
      <x:c r="K512" s="21" t="str">
        <x:v>G5561</x:v>
      </x:c>
      <x:c r="L512" s="21" t="str">
        <x:v>否</x:v>
      </x:c>
      <x:c r="M512" s="21" t="str"/>
      <x:c r="N512" s="21" t="str">
        <x:v>source_and_lexicon_matched</x:v>
      </x:c>
      <x:c r="O512" s="21" t="str">
        <x:v>rule_generated_from_official_table</x:v>
      </x:c>
      <x:c r="P512" s="21" t="n">
        <x:v>9</x:v>
      </x:c>
      <x:c r="Q512" s="21" t="str">
        <x:v>https://doxa.billmounce.com/Flashcards%20%28BBG%29.pdf</x:v>
      </x:c>
      <x:c r="R512" s="16" t="str"/>
    </x:row>
    <x:row r="513" ht="28" customHeight="1">
      <x:c r="A513" s="21" t="n">
        <x:v>509</x:v>
      </x:c>
      <x:c r="B513" s="21" t="n">
        <x:f>ROUNDUP(A513/50,0)</x:f>
        <x:v>11</x:v>
      </x:c>
      <x:c r="C513" s="21" t="n">
        <x:f>MOD(A513-1,50)+1</x:f>
        <x:v>9</x:v>
      </x:c>
      <x:c r="D513" s="29" t="str">
        <x:v>βαστάζω</x:v>
      </x:c>
      <x:c r="E513" s="29" t="str">
        <x:v>βαστάζω</x:v>
      </x:c>
      <x:c r="F513" s="27" t="str">
        <x:v>bastazō</x:v>
      </x:c>
      <x:c r="G513" s="20" t="str">
        <x:v>to lift, literally or figuratively (endure, declare, sustain, receive, etc.)</x:v>
      </x:c>
      <x:c r="H513" s="20" t="str"/>
      <x:c r="I513" s="21"/>
      <x:c r="J513" s="21" t="str">
        <x:v>Mounce 頻率延伸</x:v>
      </x:c>
      <x:c r="K513" s="21" t="str">
        <x:v>G941</x:v>
      </x:c>
      <x:c r="L513" s="21" t="str">
        <x:v>否</x:v>
      </x:c>
      <x:c r="M513" s="21" t="str"/>
      <x:c r="N513" s="21" t="str">
        <x:v>source_and_lexicon_matched</x:v>
      </x:c>
      <x:c r="O513" s="21" t="str">
        <x:v>rule_generated_from_official_table</x:v>
      </x:c>
      <x:c r="P513" s="21" t="n">
        <x:v>9</x:v>
      </x:c>
      <x:c r="Q513" s="21" t="str">
        <x:v>https://doxa.billmounce.com/Flashcards%20%28BBG%29.pdf</x:v>
      </x:c>
      <x:c r="R513" s="16" t="str"/>
    </x:row>
    <x:row r="514" ht="28" customHeight="1">
      <x:c r="A514" s="21" t="n">
        <x:v>510</x:v>
      </x:c>
      <x:c r="B514" s="21" t="n">
        <x:f>ROUNDUP(A514/50,0)</x:f>
        <x:v>11</x:v>
      </x:c>
      <x:c r="C514" s="21" t="n">
        <x:f>MOD(A514-1,50)+1</x:f>
        <x:v>10</x:v>
      </x:c>
      <x:c r="D514" s="29" t="str">
        <x:v>ἔλεος, -ους, τό</x:v>
      </x:c>
      <x:c r="E514" s="29" t="str">
        <x:v>ἔλεος</x:v>
      </x:c>
      <x:c r="F514" s="27" t="str">
        <x:v>eleos</x:v>
      </x:c>
      <x:c r="G514" s="20" t="str">
        <x:v>compassion (human or divine, especially active)</x:v>
      </x:c>
      <x:c r="H514" s="20" t="str"/>
      <x:c r="I514" s="21"/>
      <x:c r="J514" s="21" t="str">
        <x:v>Mounce 頻率延伸</x:v>
      </x:c>
      <x:c r="K514" s="21" t="str">
        <x:v>G1656</x:v>
      </x:c>
      <x:c r="L514" s="21" t="str">
        <x:v>否</x:v>
      </x:c>
      <x:c r="M514" s="21" t="str"/>
      <x:c r="N514" s="21" t="str">
        <x:v>source_and_lexicon_matched</x:v>
      </x:c>
      <x:c r="O514" s="21" t="str">
        <x:v>rule_generated_from_official_table</x:v>
      </x:c>
      <x:c r="P514" s="21" t="n">
        <x:v>9</x:v>
      </x:c>
      <x:c r="Q514" s="21" t="str">
        <x:v>https://doxa.billmounce.com/Flashcards%20%28BBG%29.pdf</x:v>
      </x:c>
      <x:c r="R514" s="16" t="str"/>
    </x:row>
    <x:row r="515" ht="28" customHeight="1">
      <x:c r="A515" s="21" t="n">
        <x:v>511</x:v>
      </x:c>
      <x:c r="B515" s="21" t="n">
        <x:f>ROUNDUP(A515/50,0)</x:f>
        <x:v>11</x:v>
      </x:c>
      <x:c r="C515" s="21" t="n">
        <x:f>MOD(A515-1,50)+1</x:f>
        <x:v>11</x:v>
      </x:c>
      <x:c r="D515" s="29" t="str">
        <x:v>ἐνδύω</x:v>
      </x:c>
      <x:c r="E515" s="29" t="str">
        <x:v>ἐνδύω</x:v>
      </x:c>
      <x:c r="F515" s="27" t="str">
        <x:v>enduō</x:v>
      </x:c>
      <x:c r="G515" s="20" t="str">
        <x:v>to invest with clothing (literally or figuratively)</x:v>
      </x:c>
      <x:c r="H515" s="20" t="str"/>
      <x:c r="I515" s="21"/>
      <x:c r="J515" s="21" t="str">
        <x:v>Mounce 頻率延伸</x:v>
      </x:c>
      <x:c r="K515" s="21" t="str">
        <x:v>G1746</x:v>
      </x:c>
      <x:c r="L515" s="21" t="str">
        <x:v>否</x:v>
      </x:c>
      <x:c r="M515" s="21" t="str"/>
      <x:c r="N515" s="21" t="str">
        <x:v>source_and_lexicon_matched</x:v>
      </x:c>
      <x:c r="O515" s="21" t="str">
        <x:v>rule_generated_from_official_table</x:v>
      </x:c>
      <x:c r="P515" s="21" t="n">
        <x:v>9</x:v>
      </x:c>
      <x:c r="Q515" s="21" t="str">
        <x:v>https://doxa.billmounce.com/Flashcards%20%28BBG%29.pdf</x:v>
      </x:c>
      <x:c r="R515" s="16" t="str"/>
    </x:row>
    <x:row r="516" ht="28" customHeight="1">
      <x:c r="A516" s="21" t="n">
        <x:v>512</x:v>
      </x:c>
      <x:c r="B516" s="21" t="n">
        <x:f>ROUNDUP(A516/50,0)</x:f>
        <x:v>11</x:v>
      </x:c>
      <x:c r="C516" s="21" t="n">
        <x:f>MOD(A516-1,50)+1</x:f>
        <x:v>12</x:v>
      </x:c>
      <x:c r="D516" s="29" t="str">
        <x:v>Ἰακώβ, ὁ</x:v>
      </x:c>
      <x:c r="E516" s="29" t="str">
        <x:v>Ἰακώβ</x:v>
      </x:c>
      <x:c r="F516" s="27" t="str">
        <x:v>Iakōb</x:v>
      </x:c>
      <x:c r="G516" s="20" t="str">
        <x:v>Jacob (i.e. Ja`akob), the progenitor of the Israelites</x:v>
      </x:c>
      <x:c r="H516" s="20" t="str"/>
      <x:c r="I516" s="21"/>
      <x:c r="J516" s="21" t="str">
        <x:v>Mounce 頻率延伸</x:v>
      </x:c>
      <x:c r="K516" s="21" t="str">
        <x:v>G2384</x:v>
      </x:c>
      <x:c r="L516" s="21" t="str">
        <x:v>是</x:v>
      </x:c>
      <x:c r="M516" s="21" t="str">
        <x:v>人名</x:v>
      </x:c>
      <x:c r="N516" s="21" t="str">
        <x:v>source_and_lexicon_matched</x:v>
      </x:c>
      <x:c r="O516" s="21" t="str">
        <x:v>rule_generated_from_official_table</x:v>
      </x:c>
      <x:c r="P516" s="21" t="n">
        <x:v>9</x:v>
      </x:c>
      <x:c r="Q516" s="21" t="str">
        <x:v>https://doxa.billmounce.com/Flashcards%20%28BBG%29.pdf</x:v>
      </x:c>
      <x:c r="R516" s="16" t="str"/>
    </x:row>
    <x:row r="517" ht="28" customHeight="1">
      <x:c r="A517" s="21" t="n">
        <x:v>513</x:v>
      </x:c>
      <x:c r="B517" s="21" t="n">
        <x:f>ROUNDUP(A517/50,0)</x:f>
        <x:v>11</x:v>
      </x:c>
      <x:c r="C517" s="21" t="n">
        <x:f>MOD(A517-1,50)+1</x:f>
        <x:v>13</x:v>
      </x:c>
      <x:c r="D517" s="29" t="str">
        <x:v>καθαρός, -ά, -όν</x:v>
      </x:c>
      <x:c r="E517" s="29" t="str">
        <x:v>καθαρός</x:v>
      </x:c>
      <x:c r="F517" s="27" t="str">
        <x:v>katharos</x:v>
      </x:c>
      <x:c r="G517" s="20" t="str">
        <x:v>clean (literally or figuratively)</x:v>
      </x:c>
      <x:c r="H517" s="20" t="str"/>
      <x:c r="I517" s="21"/>
      <x:c r="J517" s="21" t="str">
        <x:v>Mounce 頻率延伸</x:v>
      </x:c>
      <x:c r="K517" s="21" t="str">
        <x:v>G2513</x:v>
      </x:c>
      <x:c r="L517" s="21" t="str">
        <x:v>否</x:v>
      </x:c>
      <x:c r="M517" s="21" t="str"/>
      <x:c r="N517" s="21" t="str">
        <x:v>source_and_lexicon_matched</x:v>
      </x:c>
      <x:c r="O517" s="21" t="str">
        <x:v>rule_generated_from_official_table</x:v>
      </x:c>
      <x:c r="P517" s="21" t="n">
        <x:v>9</x:v>
      </x:c>
      <x:c r="Q517" s="21" t="str">
        <x:v>https://doxa.billmounce.com/Flashcards%20%28BBG%29.pdf</x:v>
      </x:c>
      <x:c r="R517" s="16" t="str"/>
    </x:row>
    <x:row r="518" ht="28" customHeight="1">
      <x:c r="A518" s="21" t="n">
        <x:v>514</x:v>
      </x:c>
      <x:c r="B518" s="21" t="n">
        <x:f>ROUNDUP(A518/50,0)</x:f>
        <x:v>11</x:v>
      </x:c>
      <x:c r="C518" s="21" t="n">
        <x:f>MOD(A518-1,50)+1</x:f>
        <x:v>14</x:v>
      </x:c>
      <x:c r="D518" s="29" t="str">
        <x:v>καταργέω</x:v>
      </x:c>
      <x:c r="E518" s="29" t="str">
        <x:v>καταργέω</x:v>
      </x:c>
      <x:c r="F518" s="27" t="str">
        <x:v>katargeō</x:v>
      </x:c>
      <x:c r="G518" s="20" t="str">
        <x:v>to be (render) entirely idle (useless), literally or figuratively</x:v>
      </x:c>
      <x:c r="H518" s="20" t="str"/>
      <x:c r="I518" s="21"/>
      <x:c r="J518" s="21" t="str">
        <x:v>Mounce 頻率延伸</x:v>
      </x:c>
      <x:c r="K518" s="21" t="str">
        <x:v>G2673</x:v>
      </x:c>
      <x:c r="L518" s="21" t="str">
        <x:v>否</x:v>
      </x:c>
      <x:c r="M518" s="21" t="str"/>
      <x:c r="N518" s="21" t="str">
        <x:v>source_and_lexicon_matched</x:v>
      </x:c>
      <x:c r="O518" s="21" t="str">
        <x:v>rule_generated_from_official_table</x:v>
      </x:c>
      <x:c r="P518" s="21" t="n">
        <x:v>9</x:v>
      </x:c>
      <x:c r="Q518" s="21" t="str">
        <x:v>https://doxa.billmounce.com/Flashcards%20%28BBG%29.pdf</x:v>
      </x:c>
      <x:c r="R518" s="16" t="str"/>
    </x:row>
    <x:row r="519" ht="28" customHeight="1">
      <x:c r="A519" s="21" t="n">
        <x:v>515</x:v>
      </x:c>
      <x:c r="B519" s="21" t="n">
        <x:f>ROUNDUP(A519/50,0)</x:f>
        <x:v>11</x:v>
      </x:c>
      <x:c r="C519" s="21" t="n">
        <x:f>MOD(A519-1,50)+1</x:f>
        <x:v>15</x:v>
      </x:c>
      <x:c r="D519" s="29" t="str">
        <x:v>κρίμα, -ατος, τό</x:v>
      </x:c>
      <x:c r="E519" s="29" t="str">
        <x:v>κρίμα</x:v>
      </x:c>
      <x:c r="F519" s="27" t="str">
        <x:v>krima</x:v>
      </x:c>
      <x:c r="G519" s="20" t="str">
        <x:v>a decision (the function or the effect, for or against ("crime"))</x:v>
      </x:c>
      <x:c r="H519" s="20" t="str"/>
      <x:c r="I519" s="21"/>
      <x:c r="J519" s="21" t="str">
        <x:v>Mounce 頻率延伸</x:v>
      </x:c>
      <x:c r="K519" s="21" t="str">
        <x:v>G2917</x:v>
      </x:c>
      <x:c r="L519" s="21" t="str">
        <x:v>否</x:v>
      </x:c>
      <x:c r="M519" s="21" t="str"/>
      <x:c r="N519" s="21" t="str">
        <x:v>source_and_lexicon_matched</x:v>
      </x:c>
      <x:c r="O519" s="21" t="str">
        <x:v>rule_generated_from_official_table</x:v>
      </x:c>
      <x:c r="P519" s="21" t="n">
        <x:v>9</x:v>
      </x:c>
      <x:c r="Q519" s="21" t="str">
        <x:v>https://doxa.billmounce.com/Flashcards%20%28BBG%29.pdf</x:v>
      </x:c>
      <x:c r="R519" s="16" t="str"/>
    </x:row>
    <x:row r="520" ht="28" customHeight="1">
      <x:c r="A520" s="21" t="n">
        <x:v>516</x:v>
      </x:c>
      <x:c r="B520" s="21" t="n">
        <x:f>ROUNDUP(A520/50,0)</x:f>
        <x:v>11</x:v>
      </x:c>
      <x:c r="C520" s="21" t="n">
        <x:f>MOD(A520-1,50)+1</x:f>
        <x:v>16</x:v>
      </x:c>
      <x:c r="D520" s="29" t="str">
        <x:v>κώμη, -ης, ἡ</x:v>
      </x:c>
      <x:c r="E520" s="29" t="str">
        <x:v>κώμη</x:v>
      </x:c>
      <x:c r="F520" s="27" t="str">
        <x:v>kōmē</x:v>
      </x:c>
      <x:c r="G520" s="20" t="str">
        <x:v>a hamlet (as if laid down)</x:v>
      </x:c>
      <x:c r="H520" s="20" t="str"/>
      <x:c r="I520" s="21"/>
      <x:c r="J520" s="21" t="str">
        <x:v>Mounce 頻率延伸</x:v>
      </x:c>
      <x:c r="K520" s="21" t="str">
        <x:v>G2968</x:v>
      </x:c>
      <x:c r="L520" s="21" t="str">
        <x:v>否</x:v>
      </x:c>
      <x:c r="M520" s="21" t="str"/>
      <x:c r="N520" s="21" t="str">
        <x:v>source_and_lexicon_matched</x:v>
      </x:c>
      <x:c r="O520" s="21" t="str">
        <x:v>rule_generated_from_official_table</x:v>
      </x:c>
      <x:c r="P520" s="21" t="n">
        <x:v>9</x:v>
      </x:c>
      <x:c r="Q520" s="21" t="str">
        <x:v>https://doxa.billmounce.com/Flashcards%20%28BBG%29.pdf</x:v>
      </x:c>
      <x:c r="R520" s="16" t="str"/>
    </x:row>
    <x:row r="521" ht="28" customHeight="1">
      <x:c r="A521" s="21" t="n">
        <x:v>517</x:v>
      </x:c>
      <x:c r="B521" s="21" t="n">
        <x:f>ROUNDUP(A521/50,0)</x:f>
        <x:v>11</x:v>
      </x:c>
      <x:c r="C521" s="21" t="n">
        <x:f>MOD(A521-1,50)+1</x:f>
        <x:v>17</x:v>
      </x:c>
      <x:c r="D521" s="29" t="str">
        <x:v>Μαρία, -ας, ἡ</x:v>
      </x:c>
      <x:c r="E521" s="29" t="str">
        <x:v>Μαρία</x:v>
      </x:c>
      <x:c r="F521" s="27" t="str">
        <x:v>Maria</x:v>
      </x:c>
      <x:c r="G521" s="20" t="str">
        <x:v>Maria or Mariam (i.e. Mirjam), the name of six Christian females</x:v>
      </x:c>
      <x:c r="H521" s="20" t="str"/>
      <x:c r="I521" s="21"/>
      <x:c r="J521" s="21" t="str">
        <x:v>Mounce 頻率延伸</x:v>
      </x:c>
      <x:c r="K521" s="21" t="str">
        <x:v>G3137</x:v>
      </x:c>
      <x:c r="L521" s="21" t="str">
        <x:v>是</x:v>
      </x:c>
      <x:c r="M521" s="21" t="str">
        <x:v>人名</x:v>
      </x:c>
      <x:c r="N521" s="21" t="str">
        <x:v>source_and_lexicon_matched</x:v>
      </x:c>
      <x:c r="O521" s="21" t="str">
        <x:v>rule_generated_from_official_table</x:v>
      </x:c>
      <x:c r="P521" s="21" t="n">
        <x:v>9</x:v>
      </x:c>
      <x:c r="Q521" s="21" t="str">
        <x:v>https://doxa.billmounce.com/Flashcards%20%28BBG%29.pdf</x:v>
      </x:c>
      <x:c r="R521" s="16" t="str"/>
    </x:row>
    <x:row r="522" ht="28" customHeight="1">
      <x:c r="A522" s="21" t="n">
        <x:v>518</x:v>
      </x:c>
      <x:c r="B522" s="21" t="n">
        <x:f>ROUNDUP(A522/50,0)</x:f>
        <x:v>11</x:v>
      </x:c>
      <x:c r="C522" s="21" t="n">
        <x:f>MOD(A522-1,50)+1</x:f>
        <x:v>18</x:v>
      </x:c>
      <x:c r="D522" s="29" t="str">
        <x:v>Μαριάμ, ἡ</x:v>
      </x:c>
      <x:c r="E522" s="29" t="str">
        <x:v>Μαριάμ</x:v>
      </x:c>
      <x:c r="F522" s="27" t="str">
        <x:v>Mariam</x:v>
      </x:c>
      <x:c r="G522" s="20" t="str"/>
      <x:c r="H522" s="20" t="str"/>
      <x:c r="I522" s="21"/>
      <x:c r="J522" s="21" t="str">
        <x:v>Mounce 頻率延伸</x:v>
      </x:c>
      <x:c r="K522" s="21" t="str"/>
      <x:c r="L522" s="21" t="str">
        <x:v>是</x:v>
      </x:c>
      <x:c r="M522" s="21" t="str">
        <x:v>人名</x:v>
      </x:c>
      <x:c r="N522" s="21" t="str">
        <x:v>source_verified_lexicon_pending</x:v>
      </x:c>
      <x:c r="O522" s="21" t="str">
        <x:v>rule_generated_from_official_table</x:v>
      </x:c>
      <x:c r="P522" s="21" t="n">
        <x:v>9</x:v>
      </x:c>
      <x:c r="Q522" s="21" t="str">
        <x:v>https://doxa.billmounce.com/Flashcards%20%28BBG%29.pdf</x:v>
      </x:c>
      <x:c r="R522" s="16" t="str"/>
    </x:row>
    <x:row r="523" ht="28" customHeight="1">
      <x:c r="A523" s="21" t="n">
        <x:v>519</x:v>
      </x:c>
      <x:c r="B523" s="21" t="n">
        <x:f>ROUNDUP(A523/50,0)</x:f>
        <x:v>11</x:v>
      </x:c>
      <x:c r="C523" s="21" t="n">
        <x:f>MOD(A523-1,50)+1</x:f>
        <x:v>19</x:v>
      </x:c>
      <x:c r="D523" s="29" t="str">
        <x:v>πόσος, -η, -ον</x:v>
      </x:c>
      <x:c r="E523" s="29" t="str">
        <x:v>πόσος</x:v>
      </x:c>
      <x:c r="F523" s="27" t="str">
        <x:v>posos</x:v>
      </x:c>
      <x:c r="G523" s="20" t="str">
        <x:v>interrogative pronoun (of amount) how much (large, long or (plural) many)</x:v>
      </x:c>
      <x:c r="H523" s="20" t="str"/>
      <x:c r="I523" s="21"/>
      <x:c r="J523" s="21" t="str">
        <x:v>Mounce 頻率延伸</x:v>
      </x:c>
      <x:c r="K523" s="21" t="str">
        <x:v>G4214</x:v>
      </x:c>
      <x:c r="L523" s="21" t="str">
        <x:v>否</x:v>
      </x:c>
      <x:c r="M523" s="21" t="str"/>
      <x:c r="N523" s="21" t="str">
        <x:v>source_and_lexicon_matched</x:v>
      </x:c>
      <x:c r="O523" s="21" t="str">
        <x:v>rule_generated_from_official_table</x:v>
      </x:c>
      <x:c r="P523" s="21" t="n">
        <x:v>9</x:v>
      </x:c>
      <x:c r="Q523" s="21" t="str">
        <x:v>https://doxa.billmounce.com/Flashcards%20%28BBG%29.pdf</x:v>
      </x:c>
      <x:c r="R523" s="16" t="str"/>
    </x:row>
    <x:row r="524" ht="28" customHeight="1">
      <x:c r="A524" s="21" t="n">
        <x:v>520</x:v>
      </x:c>
      <x:c r="B524" s="21" t="n">
        <x:f>ROUNDUP(A524/50,0)</x:f>
        <x:v>11</x:v>
      </x:c>
      <x:c r="C524" s="21" t="n">
        <x:f>MOD(A524-1,50)+1</x:f>
        <x:v>20</x:v>
      </x:c>
      <x:c r="D524" s="29" t="str">
        <x:v>σταυρός, -οῦ, ὁ</x:v>
      </x:c>
      <x:c r="E524" s="29" t="str">
        <x:v>σταυρός</x:v>
      </x:c>
      <x:c r="F524" s="27" t="str">
        <x:v>stauros</x:v>
      </x:c>
      <x:c r="G524" s="20" t="str">
        <x:v>a stake or post (as set upright), i.e. (specially), a pole or cross (as an instrument of capital punishment); figuratively, exposure to death, i.e. self-denial; by implication, the atonement of Christ</x:v>
      </x:c>
      <x:c r="H524" s="20" t="str"/>
      <x:c r="I524" s="21"/>
      <x:c r="J524" s="21" t="str">
        <x:v>Mounce 頻率延伸</x:v>
      </x:c>
      <x:c r="K524" s="21" t="str">
        <x:v>G4716</x:v>
      </x:c>
      <x:c r="L524" s="21" t="str">
        <x:v>否</x:v>
      </x:c>
      <x:c r="M524" s="21" t="str"/>
      <x:c r="N524" s="21" t="str">
        <x:v>source_and_lexicon_matched</x:v>
      </x:c>
      <x:c r="O524" s="21" t="str">
        <x:v>rule_generated_from_official_table</x:v>
      </x:c>
      <x:c r="P524" s="21" t="n">
        <x:v>9</x:v>
      </x:c>
      <x:c r="Q524" s="21" t="str">
        <x:v>https://doxa.billmounce.com/Flashcards%20%28BBG%29.pdf</x:v>
      </x:c>
      <x:c r="R524" s="16" t="str"/>
    </x:row>
    <x:row r="525" ht="28" customHeight="1">
      <x:c r="A525" s="21" t="n">
        <x:v>521</x:v>
      </x:c>
      <x:c r="B525" s="21" t="n">
        <x:f>ROUNDUP(A525/50,0)</x:f>
        <x:v>11</x:v>
      </x:c>
      <x:c r="C525" s="21" t="n">
        <x:f>MOD(A525-1,50)+1</x:f>
        <x:v>21</x:v>
      </x:c>
      <x:c r="D525" s="29" t="str">
        <x:v>ἀδελφή, -ῆς, ἡ</x:v>
      </x:c>
      <x:c r="E525" s="29" t="str">
        <x:v>ἀδελφή</x:v>
      </x:c>
      <x:c r="F525" s="27" t="str">
        <x:v>adelphē</x:v>
      </x:c>
      <x:c r="G525" s="20" t="str">
        <x:v>a sister (naturally or ecclesiastically)</x:v>
      </x:c>
      <x:c r="H525" s="20" t="str"/>
      <x:c r="I525" s="21"/>
      <x:c r="J525" s="21" t="str">
        <x:v>Mounce 頻率延伸</x:v>
      </x:c>
      <x:c r="K525" s="21" t="str">
        <x:v>G79</x:v>
      </x:c>
      <x:c r="L525" s="21" t="str">
        <x:v>否</x:v>
      </x:c>
      <x:c r="M525" s="21" t="str"/>
      <x:c r="N525" s="21" t="str">
        <x:v>source_and_lexicon_matched</x:v>
      </x:c>
      <x:c r="O525" s="21" t="str">
        <x:v>rule_generated_from_official_table</x:v>
      </x:c>
      <x:c r="P525" s="21" t="n">
        <x:v>9</x:v>
      </x:c>
      <x:c r="Q525" s="21" t="str">
        <x:v>https://doxa.billmounce.com/Flashcards%20%28BBG%29.pdf</x:v>
      </x:c>
      <x:c r="R525" s="16" t="str"/>
    </x:row>
    <x:row r="526" ht="28" customHeight="1">
      <x:c r="A526" s="21" t="n">
        <x:v>522</x:v>
      </x:c>
      <x:c r="B526" s="21" t="n">
        <x:f>ROUNDUP(A526/50,0)</x:f>
        <x:v>11</x:v>
      </x:c>
      <x:c r="C526" s="21" t="n">
        <x:f>MOD(A526-1,50)+1</x:f>
        <x:v>22</x:v>
      </x:c>
      <x:c r="D526" s="29" t="str">
        <x:v>ἀληθής, -ές</x:v>
      </x:c>
      <x:c r="E526" s="29" t="str">
        <x:v>ἀληθής</x:v>
      </x:c>
      <x:c r="F526" s="27" t="str">
        <x:v>alēthēs</x:v>
      </x:c>
      <x:c r="G526" s="20" t="str">
        <x:v>true (as not concealing)</x:v>
      </x:c>
      <x:c r="H526" s="20" t="str"/>
      <x:c r="I526" s="21"/>
      <x:c r="J526" s="21" t="str">
        <x:v>Mounce 頻率延伸</x:v>
      </x:c>
      <x:c r="K526" s="21" t="str">
        <x:v>G227</x:v>
      </x:c>
      <x:c r="L526" s="21" t="str">
        <x:v>否</x:v>
      </x:c>
      <x:c r="M526" s="21" t="str"/>
      <x:c r="N526" s="21" t="str">
        <x:v>source_and_lexicon_matched</x:v>
      </x:c>
      <x:c r="O526" s="21" t="str">
        <x:v>rule_generated_from_official_table</x:v>
      </x:c>
      <x:c r="P526" s="21" t="n">
        <x:v>9</x:v>
      </x:c>
      <x:c r="Q526" s="21" t="str">
        <x:v>https://doxa.billmounce.com/Flashcards%20%28BBG%29.pdf</x:v>
      </x:c>
      <x:c r="R526" s="16" t="str"/>
    </x:row>
    <x:row r="527" ht="28" customHeight="1">
      <x:c r="A527" s="21" t="n">
        <x:v>523</x:v>
      </x:c>
      <x:c r="B527" s="21" t="n">
        <x:f>ROUNDUP(A527/50,0)</x:f>
        <x:v>11</x:v>
      </x:c>
      <x:c r="C527" s="21" t="n">
        <x:f>MOD(A527-1,50)+1</x:f>
        <x:v>23</x:v>
      </x:c>
      <x:c r="D527" s="29" t="str">
        <x:v>ἀποκαλύπτω</x:v>
      </x:c>
      <x:c r="E527" s="29" t="str">
        <x:v>ἀποκαλύπτω</x:v>
      </x:c>
      <x:c r="F527" s="27" t="str">
        <x:v>apokaluptō</x:v>
      </x:c>
      <x:c r="G527" s="20" t="str">
        <x:v>to take off the cover, i.e. disclose</x:v>
      </x:c>
      <x:c r="H527" s="20" t="str"/>
      <x:c r="I527" s="21"/>
      <x:c r="J527" s="21" t="str">
        <x:v>Mounce 頻率延伸</x:v>
      </x:c>
      <x:c r="K527" s="21" t="str">
        <x:v>G601</x:v>
      </x:c>
      <x:c r="L527" s="21" t="str">
        <x:v>否</x:v>
      </x:c>
      <x:c r="M527" s="21" t="str"/>
      <x:c r="N527" s="21" t="str">
        <x:v>source_and_lexicon_matched</x:v>
      </x:c>
      <x:c r="O527" s="21" t="str">
        <x:v>rule_generated_from_official_table</x:v>
      </x:c>
      <x:c r="P527" s="21" t="n">
        <x:v>9</x:v>
      </x:c>
      <x:c r="Q527" s="21" t="str">
        <x:v>https://doxa.billmounce.com/Flashcards%20%28BBG%29.pdf</x:v>
      </x:c>
      <x:c r="R527" s="16" t="str"/>
    </x:row>
    <x:row r="528" ht="28" customHeight="1">
      <x:c r="A528" s="21" t="n">
        <x:v>524</x:v>
      </x:c>
      <x:c r="B528" s="21" t="n">
        <x:f>ROUNDUP(A528/50,0)</x:f>
        <x:v>11</x:v>
      </x:c>
      <x:c r="C528" s="21" t="n">
        <x:f>MOD(A528-1,50)+1</x:f>
        <x:v>24</x:v>
      </x:c>
      <x:c r="D528" s="29" t="str">
        <x:v>ἀσθενής, -ές</x:v>
      </x:c>
      <x:c r="E528" s="29" t="str">
        <x:v>ἀσθενής</x:v>
      </x:c>
      <x:c r="F528" s="27" t="str">
        <x:v>asthenēs</x:v>
      </x:c>
      <x:c r="G528" s="20" t="str">
        <x:v>strengthless (in various applications, literal, figurative and moral)</x:v>
      </x:c>
      <x:c r="H528" s="20" t="str"/>
      <x:c r="I528" s="21"/>
      <x:c r="J528" s="21" t="str">
        <x:v>Mounce 頻率延伸</x:v>
      </x:c>
      <x:c r="K528" s="21" t="str">
        <x:v>G772</x:v>
      </x:c>
      <x:c r="L528" s="21" t="str">
        <x:v>否</x:v>
      </x:c>
      <x:c r="M528" s="21" t="str"/>
      <x:c r="N528" s="21" t="str">
        <x:v>source_and_lexicon_matched</x:v>
      </x:c>
      <x:c r="O528" s="21" t="str">
        <x:v>rule_generated_from_official_table</x:v>
      </x:c>
      <x:c r="P528" s="21" t="n">
        <x:v>9</x:v>
      </x:c>
      <x:c r="Q528" s="21" t="str">
        <x:v>https://doxa.billmounce.com/Flashcards%20%28BBG%29.pdf</x:v>
      </x:c>
      <x:c r="R528" s="16" t="str"/>
    </x:row>
    <x:row r="529" ht="28" customHeight="1">
      <x:c r="A529" s="21" t="n">
        <x:v>525</x:v>
      </x:c>
      <x:c r="B529" s="21" t="n">
        <x:f>ROUNDUP(A529/50,0)</x:f>
        <x:v>11</x:v>
      </x:c>
      <x:c r="C529" s="21" t="n">
        <x:f>MOD(A529-1,50)+1</x:f>
        <x:v>25</x:v>
      </x:c>
      <x:c r="D529" s="29" t="str">
        <x:v>γε</x:v>
      </x:c>
      <x:c r="E529" s="29" t="str">
        <x:v>γε</x:v>
      </x:c>
      <x:c r="F529" s="27" t="str">
        <x:v>ge</x:v>
      </x:c>
      <x:c r="G529" s="20" t="str"/>
      <x:c r="H529" s="20" t="str"/>
      <x:c r="I529" s="21"/>
      <x:c r="J529" s="21" t="str">
        <x:v>Mounce 頻率延伸</x:v>
      </x:c>
      <x:c r="K529" s="21" t="str">
        <x:v>G1065</x:v>
      </x:c>
      <x:c r="L529" s="21" t="str">
        <x:v>否</x:v>
      </x:c>
      <x:c r="M529" s="21" t="str"/>
      <x:c r="N529" s="21" t="str">
        <x:v>source_and_lexicon_matched</x:v>
      </x:c>
      <x:c r="O529" s="21" t="str">
        <x:v>rule_generated_from_official_table</x:v>
      </x:c>
      <x:c r="P529" s="21" t="n">
        <x:v>9</x:v>
      </x:c>
      <x:c r="Q529" s="21" t="str">
        <x:v>https://doxa.billmounce.com/Flashcards%20%28BBG%29.pdf</x:v>
      </x:c>
      <x:c r="R529" s="16" t="str"/>
    </x:row>
    <x:row r="530" ht="28" customHeight="1">
      <x:c r="A530" s="21" t="n">
        <x:v>526</x:v>
      </x:c>
      <x:c r="B530" s="21" t="n">
        <x:f>ROUNDUP(A530/50,0)</x:f>
        <x:v>11</x:v>
      </x:c>
      <x:c r="C530" s="21" t="n">
        <x:f>MOD(A530-1,50)+1</x:f>
        <x:v>26</x:v>
      </x:c>
      <x:c r="D530" s="29" t="str">
        <x:v>ἐπεί</x:v>
      </x:c>
      <x:c r="E530" s="29" t="str">
        <x:v>ἐπεί</x:v>
      </x:c>
      <x:c r="F530" s="27" t="str">
        <x:v>epei</x:v>
      </x:c>
      <x:c r="G530" s="20" t="str">
        <x:v>thereupon, i.e. since (of time or cause)</x:v>
      </x:c>
      <x:c r="H530" s="20" t="str"/>
      <x:c r="I530" s="21"/>
      <x:c r="J530" s="21" t="str">
        <x:v>Mounce 頻率延伸</x:v>
      </x:c>
      <x:c r="K530" s="21" t="str">
        <x:v>G1893</x:v>
      </x:c>
      <x:c r="L530" s="21" t="str">
        <x:v>否</x:v>
      </x:c>
      <x:c r="M530" s="21" t="str"/>
      <x:c r="N530" s="21" t="str">
        <x:v>source_and_lexicon_matched</x:v>
      </x:c>
      <x:c r="O530" s="21" t="str">
        <x:v>rule_generated_from_official_table</x:v>
      </x:c>
      <x:c r="P530" s="21" t="n">
        <x:v>9</x:v>
      </x:c>
      <x:c r="Q530" s="21" t="str">
        <x:v>https://doxa.billmounce.com/Flashcards%20%28BBG%29.pdf</x:v>
      </x:c>
      <x:c r="R530" s="16" t="str"/>
    </x:row>
    <x:row r="531" ht="28" customHeight="1">
      <x:c r="A531" s="21" t="n">
        <x:v>527</x:v>
      </x:c>
      <x:c r="B531" s="21" t="n">
        <x:f>ROUNDUP(A531/50,0)</x:f>
        <x:v>11</x:v>
      </x:c>
      <x:c r="C531" s="21" t="n">
        <x:f>MOD(A531-1,50)+1</x:f>
        <x:v>27</x:v>
      </x:c>
      <x:c r="D531" s="29" t="str">
        <x:v>ἥκω</x:v>
      </x:c>
      <x:c r="E531" s="29" t="str">
        <x:v>ἥκω</x:v>
      </x:c>
      <x:c r="F531" s="27" t="str">
        <x:v>hēkō</x:v>
      </x:c>
      <x:c r="G531" s="20" t="str">
        <x:v>to arrive, i.e. be present (literally or figuratively)</x:v>
      </x:c>
      <x:c r="H531" s="20" t="str"/>
      <x:c r="I531" s="21"/>
      <x:c r="J531" s="21" t="str">
        <x:v>Mounce 頻率延伸</x:v>
      </x:c>
      <x:c r="K531" s="21" t="str">
        <x:v>G2240</x:v>
      </x:c>
      <x:c r="L531" s="21" t="str">
        <x:v>否</x:v>
      </x:c>
      <x:c r="M531" s="21" t="str"/>
      <x:c r="N531" s="21" t="str">
        <x:v>source_and_lexicon_matched</x:v>
      </x:c>
      <x:c r="O531" s="21" t="str">
        <x:v>rule_generated_from_official_table</x:v>
      </x:c>
      <x:c r="P531" s="21" t="n">
        <x:v>9</x:v>
      </x:c>
      <x:c r="Q531" s="21" t="str">
        <x:v>https://doxa.billmounce.com/Flashcards%20%28BBG%29.pdf</x:v>
      </x:c>
      <x:c r="R531" s="16" t="str"/>
    </x:row>
    <x:row r="532" ht="28" customHeight="1">
      <x:c r="A532" s="21" t="n">
        <x:v>528</x:v>
      </x:c>
      <x:c r="B532" s="21" t="n">
        <x:f>ROUNDUP(A532/50,0)</x:f>
        <x:v>11</x:v>
      </x:c>
      <x:c r="C532" s="21" t="n">
        <x:f>MOD(A532-1,50)+1</x:f>
        <x:v>28</x:v>
      </x:c>
      <x:c r="D532" s="29" t="str">
        <x:v>ἰάομαι</x:v>
      </x:c>
      <x:c r="E532" s="29" t="str">
        <x:v>ἰάομαι</x:v>
      </x:c>
      <x:c r="F532" s="27" t="str">
        <x:v>iaomai</x:v>
      </x:c>
      <x:c r="G532" s="20" t="str">
        <x:v>to cure (literally or figuratively)</x:v>
      </x:c>
      <x:c r="H532" s="20" t="str"/>
      <x:c r="I532" s="21"/>
      <x:c r="J532" s="21" t="str">
        <x:v>Mounce 頻率延伸</x:v>
      </x:c>
      <x:c r="K532" s="21" t="str">
        <x:v>G2390</x:v>
      </x:c>
      <x:c r="L532" s="21" t="str">
        <x:v>否</x:v>
      </x:c>
      <x:c r="M532" s="21" t="str"/>
      <x:c r="N532" s="21" t="str">
        <x:v>source_and_lexicon_matched</x:v>
      </x:c>
      <x:c r="O532" s="21" t="str">
        <x:v>rule_generated_from_official_table</x:v>
      </x:c>
      <x:c r="P532" s="21" t="n">
        <x:v>9</x:v>
      </x:c>
      <x:c r="Q532" s="21" t="str">
        <x:v>https://doxa.billmounce.com/Flashcards%20%28BBG%29.pdf</x:v>
      </x:c>
      <x:c r="R532" s="16" t="str"/>
    </x:row>
    <x:row r="533" ht="28" customHeight="1">
      <x:c r="A533" s="21" t="n">
        <x:v>529</x:v>
      </x:c>
      <x:c r="B533" s="21" t="n">
        <x:f>ROUNDUP(A533/50,0)</x:f>
        <x:v>11</x:v>
      </x:c>
      <x:c r="C533" s="21" t="n">
        <x:f>MOD(A533-1,50)+1</x:f>
        <x:v>29</x:v>
      </x:c>
      <x:c r="D533" s="29" t="str">
        <x:v>λυπέω</x:v>
      </x:c>
      <x:c r="E533" s="29" t="str">
        <x:v>λυπέω</x:v>
      </x:c>
      <x:c r="F533" s="27" t="str">
        <x:v>lupeō</x:v>
      </x:c>
      <x:c r="G533" s="20" t="str">
        <x:v>to distress; reflexively or passively, to be sad</x:v>
      </x:c>
      <x:c r="H533" s="20" t="str"/>
      <x:c r="I533" s="21"/>
      <x:c r="J533" s="21" t="str">
        <x:v>Mounce 頻率延伸</x:v>
      </x:c>
      <x:c r="K533" s="21" t="str">
        <x:v>G3076</x:v>
      </x:c>
      <x:c r="L533" s="21" t="str">
        <x:v>否</x:v>
      </x:c>
      <x:c r="M533" s="21" t="str"/>
      <x:c r="N533" s="21" t="str">
        <x:v>source_and_lexicon_matched</x:v>
      </x:c>
      <x:c r="O533" s="21" t="str">
        <x:v>rule_generated_from_official_table</x:v>
      </x:c>
      <x:c r="P533" s="21" t="n">
        <x:v>9</x:v>
      </x:c>
      <x:c r="Q533" s="21" t="str">
        <x:v>https://doxa.billmounce.com/Flashcards%20%28BBG%29.pdf</x:v>
      </x:c>
      <x:c r="R533" s="16" t="str"/>
    </x:row>
    <x:row r="534" ht="28" customHeight="1">
      <x:c r="A534" s="21" t="n">
        <x:v>530</x:v>
      </x:c>
      <x:c r="B534" s="21" t="n">
        <x:f>ROUNDUP(A534/50,0)</x:f>
        <x:v>11</x:v>
      </x:c>
      <x:c r="C534" s="21" t="n">
        <x:f>MOD(A534-1,50)+1</x:f>
        <x:v>30</x:v>
      </x:c>
      <x:c r="D534" s="29" t="str">
        <x:v>ὁμολογέω</x:v>
      </x:c>
      <x:c r="E534" s="29" t="str">
        <x:v>ὁμολογέω</x:v>
      </x:c>
      <x:c r="F534" s="27" t="str">
        <x:v>homologeō</x:v>
      </x:c>
      <x:c r="G534" s="20" t="str">
        <x:v>to assent, i.e. covenant, acknowledge</x:v>
      </x:c>
      <x:c r="H534" s="20" t="str"/>
      <x:c r="I534" s="21"/>
      <x:c r="J534" s="21" t="str">
        <x:v>Mounce 頻率延伸</x:v>
      </x:c>
      <x:c r="K534" s="21" t="str">
        <x:v>G3670</x:v>
      </x:c>
      <x:c r="L534" s="21" t="str">
        <x:v>否</x:v>
      </x:c>
      <x:c r="M534" s="21" t="str"/>
      <x:c r="N534" s="21" t="str">
        <x:v>source_and_lexicon_matched</x:v>
      </x:c>
      <x:c r="O534" s="21" t="str">
        <x:v>rule_generated_from_official_table</x:v>
      </x:c>
      <x:c r="P534" s="21" t="n">
        <x:v>9</x:v>
      </x:c>
      <x:c r="Q534" s="21" t="str">
        <x:v>https://doxa.billmounce.com/Flashcards%20%28BBG%29.pdf</x:v>
      </x:c>
      <x:c r="R534" s="16" t="str"/>
    </x:row>
    <x:row r="535" ht="28" customHeight="1">
      <x:c r="A535" s="21" t="n">
        <x:v>531</x:v>
      </x:c>
      <x:c r="B535" s="21" t="n">
        <x:f>ROUNDUP(A535/50,0)</x:f>
        <x:v>11</x:v>
      </x:c>
      <x:c r="C535" s="21" t="n">
        <x:f>MOD(A535-1,50)+1</x:f>
        <x:v>31</x:v>
      </x:c>
      <x:c r="D535" s="29" t="str">
        <x:v>οὔπω</x:v>
      </x:c>
      <x:c r="E535" s="29" t="str">
        <x:v>οὔπω</x:v>
      </x:c>
      <x:c r="F535" s="27" t="str">
        <x:v>oupō</x:v>
      </x:c>
      <x:c r="G535" s="20" t="str">
        <x:v>not yet</x:v>
      </x:c>
      <x:c r="H535" s="20" t="str"/>
      <x:c r="I535" s="21"/>
      <x:c r="J535" s="21" t="str">
        <x:v>Mounce 頻率延伸</x:v>
      </x:c>
      <x:c r="K535" s="21" t="str">
        <x:v>G3768</x:v>
      </x:c>
      <x:c r="L535" s="21" t="str">
        <x:v>否</x:v>
      </x:c>
      <x:c r="M535" s="21" t="str"/>
      <x:c r="N535" s="21" t="str">
        <x:v>source_and_lexicon_matched</x:v>
      </x:c>
      <x:c r="O535" s="21" t="str">
        <x:v>rule_generated_from_official_table</x:v>
      </x:c>
      <x:c r="P535" s="21" t="n">
        <x:v>9</x:v>
      </x:c>
      <x:c r="Q535" s="21" t="str">
        <x:v>https://doxa.billmounce.com/Flashcards%20%28BBG%29.pdf</x:v>
      </x:c>
      <x:c r="R535" s="16" t="str"/>
    </x:row>
    <x:row r="536" ht="28" customHeight="1">
      <x:c r="A536" s="21" t="n">
        <x:v>532</x:v>
      </x:c>
      <x:c r="B536" s="21" t="n">
        <x:f>ROUNDUP(A536/50,0)</x:f>
        <x:v>11</x:v>
      </x:c>
      <x:c r="C536" s="21" t="n">
        <x:f>MOD(A536-1,50)+1</x:f>
        <x:v>32</x:v>
      </x:c>
      <x:c r="D536" s="29" t="str">
        <x:v>πνευματικός, -ή, -όν</x:v>
      </x:c>
      <x:c r="E536" s="29" t="str">
        <x:v>πνευματικός</x:v>
      </x:c>
      <x:c r="F536" s="27" t="str">
        <x:v>pneumatikos</x:v>
      </x:c>
      <x:c r="G536" s="20" t="str">
        <x:v>non-carnal, i.e. (humanly) ethereal (as opposed to gross), or (dæmoniacally) a spirit (concretely), or (divinely) supernatural, regenerate, religious</x:v>
      </x:c>
      <x:c r="H536" s="20" t="str"/>
      <x:c r="I536" s="21"/>
      <x:c r="J536" s="21" t="str">
        <x:v>Mounce 頻率延伸</x:v>
      </x:c>
      <x:c r="K536" s="21" t="str">
        <x:v>G4152</x:v>
      </x:c>
      <x:c r="L536" s="21" t="str">
        <x:v>否</x:v>
      </x:c>
      <x:c r="M536" s="21" t="str"/>
      <x:c r="N536" s="21" t="str">
        <x:v>source_and_lexicon_matched</x:v>
      </x:c>
      <x:c r="O536" s="21" t="str">
        <x:v>rule_generated_from_official_table</x:v>
      </x:c>
      <x:c r="P536" s="21" t="n">
        <x:v>9</x:v>
      </x:c>
      <x:c r="Q536" s="21" t="str">
        <x:v>https://doxa.billmounce.com/Flashcards%20%28BBG%29.pdf</x:v>
      </x:c>
      <x:c r="R536" s="16" t="str"/>
    </x:row>
    <x:row r="537" ht="28" customHeight="1">
      <x:c r="A537" s="21" t="n">
        <x:v>533</x:v>
      </x:c>
      <x:c r="B537" s="21" t="n">
        <x:f>ROUNDUP(A537/50,0)</x:f>
        <x:v>11</x:v>
      </x:c>
      <x:c r="C537" s="21" t="n">
        <x:f>MOD(A537-1,50)+1</x:f>
        <x:v>33</x:v>
      </x:c>
      <x:c r="D537" s="29" t="str">
        <x:v>στρατιώτης, -οῦ, ὁ</x:v>
      </x:c>
      <x:c r="E537" s="29" t="str">
        <x:v>στρατιώτης</x:v>
      </x:c>
      <x:c r="F537" s="27" t="str">
        <x:v>stratiōtēs</x:v>
      </x:c>
      <x:c r="G537" s="20" t="str">
        <x:v>a camper-out, i.e. a (common) warrior (literally or figuratively)</x:v>
      </x:c>
      <x:c r="H537" s="20" t="str"/>
      <x:c r="I537" s="21"/>
      <x:c r="J537" s="21" t="str">
        <x:v>Mounce 頻率延伸</x:v>
      </x:c>
      <x:c r="K537" s="21" t="str">
        <x:v>G4757</x:v>
      </x:c>
      <x:c r="L537" s="21" t="str">
        <x:v>否</x:v>
      </x:c>
      <x:c r="M537" s="21" t="str"/>
      <x:c r="N537" s="21" t="str">
        <x:v>source_and_lexicon_matched</x:v>
      </x:c>
      <x:c r="O537" s="21" t="str">
        <x:v>rule_generated_from_official_table</x:v>
      </x:c>
      <x:c r="P537" s="21" t="n">
        <x:v>9</x:v>
      </x:c>
      <x:c r="Q537" s="21" t="str">
        <x:v>https://doxa.billmounce.com/Flashcards%20%28BBG%29.pdf</x:v>
      </x:c>
      <x:c r="R537" s="16" t="str"/>
    </x:row>
    <x:row r="538" ht="28" customHeight="1">
      <x:c r="A538" s="21" t="n">
        <x:v>534</x:v>
      </x:c>
      <x:c r="B538" s="21" t="n">
        <x:f>ROUNDUP(A538/50,0)</x:f>
        <x:v>11</x:v>
      </x:c>
      <x:c r="C538" s="21" t="n">
        <x:f>MOD(A538-1,50)+1</x:f>
        <x:v>34</x:v>
      </x:c>
      <x:c r="D538" s="29" t="str">
        <x:v>συνίημι</x:v>
      </x:c>
      <x:c r="E538" s="29" t="str">
        <x:v>συνίημι</x:v>
      </x:c>
      <x:c r="F538" s="27" t="str">
        <x:v>suniēmi</x:v>
      </x:c>
      <x:c r="G538" s="20" t="str">
        <x:v>to put together, i.e. (mentally) to comprehend; by implication, to act piously</x:v>
      </x:c>
      <x:c r="H538" s="20" t="str"/>
      <x:c r="I538" s="21"/>
      <x:c r="J538" s="21" t="str">
        <x:v>Mounce 頻率延伸</x:v>
      </x:c>
      <x:c r="K538" s="21" t="str">
        <x:v>G4920</x:v>
      </x:c>
      <x:c r="L538" s="21" t="str">
        <x:v>否</x:v>
      </x:c>
      <x:c r="M538" s="21" t="str"/>
      <x:c r="N538" s="21" t="str">
        <x:v>source_and_lexicon_matched</x:v>
      </x:c>
      <x:c r="O538" s="21" t="str">
        <x:v>rule_generated_from_official_table</x:v>
      </x:c>
      <x:c r="P538" s="21" t="n">
        <x:v>9</x:v>
      </x:c>
      <x:c r="Q538" s="21" t="str">
        <x:v>https://doxa.billmounce.com/Flashcards%20%28BBG%29.pdf</x:v>
      </x:c>
      <x:c r="R538" s="16" t="str"/>
    </x:row>
    <x:row r="539" ht="28" customHeight="1">
      <x:c r="A539" s="21" t="n">
        <x:v>535</x:v>
      </x:c>
      <x:c r="B539" s="21" t="n">
        <x:f>ROUNDUP(A539/50,0)</x:f>
        <x:v>11</x:v>
      </x:c>
      <x:c r="C539" s="21" t="n">
        <x:f>MOD(A539-1,50)+1</x:f>
        <x:v>35</x:v>
      </x:c>
      <x:c r="D539" s="29" t="str">
        <x:v>φρονέω</x:v>
      </x:c>
      <x:c r="E539" s="29" t="str">
        <x:v>φρονέω</x:v>
      </x:c>
      <x:c r="F539" s="27" t="str">
        <x:v>phroneō</x:v>
      </x:c>
      <x:c r="G539" s="20" t="str">
        <x:v>to exercise the mind, i.e. entertain or have a sentiment or opinion; by implication, to be (mentally) disposed (more or less earnestly in a certain direction); intensively, to interest oneself in (with concern or obedience)</x:v>
      </x:c>
      <x:c r="H539" s="20" t="str"/>
      <x:c r="I539" s="21"/>
      <x:c r="J539" s="21" t="str">
        <x:v>Mounce 頻率延伸</x:v>
      </x:c>
      <x:c r="K539" s="21" t="str">
        <x:v>G5426</x:v>
      </x:c>
      <x:c r="L539" s="21" t="str">
        <x:v>否</x:v>
      </x:c>
      <x:c r="M539" s="21" t="str"/>
      <x:c r="N539" s="21" t="str">
        <x:v>source_and_lexicon_matched</x:v>
      </x:c>
      <x:c r="O539" s="21" t="str">
        <x:v>rule_generated_from_official_table</x:v>
      </x:c>
      <x:c r="P539" s="21" t="n">
        <x:v>9</x:v>
      </x:c>
      <x:c r="Q539" s="21" t="str">
        <x:v>https://doxa.billmounce.com/Flashcards%20%28BBG%29.pdf</x:v>
      </x:c>
      <x:c r="R539" s="16" t="str"/>
    </x:row>
    <x:row r="540" ht="28" customHeight="1">
      <x:c r="A540" s="21" t="n">
        <x:v>536</x:v>
      </x:c>
      <x:c r="B540" s="21" t="n">
        <x:f>ROUNDUP(A540/50,0)</x:f>
        <x:v>11</x:v>
      </x:c>
      <x:c r="C540" s="21" t="n">
        <x:f>MOD(A540-1,50)+1</x:f>
        <x:v>36</x:v>
      </x:c>
      <x:c r="D540" s="29" t="str">
        <x:v>χήρα, -ας, ἡ</x:v>
      </x:c>
      <x:c r="E540" s="29" t="str">
        <x:v>χήρα</x:v>
      </x:c>
      <x:c r="F540" s="27" t="str">
        <x:v>chēra</x:v>
      </x:c>
      <x:c r="G540" s="20" t="str">
        <x:v>a widow (as lacking a husband), literally or figuratively</x:v>
      </x:c>
      <x:c r="H540" s="20" t="str"/>
      <x:c r="I540" s="21"/>
      <x:c r="J540" s="21" t="str">
        <x:v>Mounce 頻率延伸</x:v>
      </x:c>
      <x:c r="K540" s="21" t="str">
        <x:v>G5503</x:v>
      </x:c>
      <x:c r="L540" s="21" t="str">
        <x:v>否</x:v>
      </x:c>
      <x:c r="M540" s="21" t="str"/>
      <x:c r="N540" s="21" t="str">
        <x:v>source_and_lexicon_matched</x:v>
      </x:c>
      <x:c r="O540" s="21" t="str">
        <x:v>rule_generated_from_official_table</x:v>
      </x:c>
      <x:c r="P540" s="21" t="n">
        <x:v>9</x:v>
      </x:c>
      <x:c r="Q540" s="21" t="str">
        <x:v>https://doxa.billmounce.com/Flashcards%20%28BBG%29.pdf</x:v>
      </x:c>
      <x:c r="R540" s="16" t="str"/>
    </x:row>
    <x:row r="541" ht="28" customHeight="1">
      <x:c r="A541" s="21" t="n">
        <x:v>537</x:v>
      </x:c>
      <x:c r="B541" s="21" t="n">
        <x:f>ROUNDUP(A541/50,0)</x:f>
        <x:v>11</x:v>
      </x:c>
      <x:c r="C541" s="21" t="n">
        <x:f>MOD(A541-1,50)+1</x:f>
        <x:v>37</x:v>
      </x:c>
      <x:c r="D541" s="29" t="str">
        <x:v>ἀδικία, -ας, ἡ</x:v>
      </x:c>
      <x:c r="E541" s="29" t="str">
        <x:v>ἀδικία</x:v>
      </x:c>
      <x:c r="F541" s="27" t="str">
        <x:v>adikia</x:v>
      </x:c>
      <x:c r="G541" s="20" t="str">
        <x:v>(legal) injustice (properly, the quality, by implication, the act); morally, wrongfulness (of character, life or act)</x:v>
      </x:c>
      <x:c r="H541" s="20" t="str"/>
      <x:c r="I541" s="21"/>
      <x:c r="J541" s="21" t="str">
        <x:v>Mounce 頻率延伸</x:v>
      </x:c>
      <x:c r="K541" s="21" t="str">
        <x:v>G93</x:v>
      </x:c>
      <x:c r="L541" s="21" t="str">
        <x:v>否</x:v>
      </x:c>
      <x:c r="M541" s="21" t="str"/>
      <x:c r="N541" s="21" t="str">
        <x:v>source_and_lexicon_matched</x:v>
      </x:c>
      <x:c r="O541" s="21" t="str">
        <x:v>rule_generated_from_official_table</x:v>
      </x:c>
      <x:c r="P541" s="21" t="n">
        <x:v>9</x:v>
      </x:c>
      <x:c r="Q541" s="21" t="str">
        <x:v>https://doxa.billmounce.com/Flashcards%20%28BBG%29.pdf</x:v>
      </x:c>
      <x:c r="R541" s="16" t="str"/>
    </x:row>
    <x:row r="542" ht="28" customHeight="1">
      <x:c r="A542" s="21" t="n">
        <x:v>538</x:v>
      </x:c>
      <x:c r="B542" s="21" t="n">
        <x:f>ROUNDUP(A542/50,0)</x:f>
        <x:v>11</x:v>
      </x:c>
      <x:c r="C542" s="21" t="n">
        <x:f>MOD(A542-1,50)+1</x:f>
        <x:v>38</x:v>
      </x:c>
      <x:c r="D542" s="29" t="str">
        <x:v>Αἴγυπτος, -ου, ἡ</x:v>
      </x:c>
      <x:c r="E542" s="29" t="str">
        <x:v>Αἴγυπτος</x:v>
      </x:c>
      <x:c r="F542" s="27" t="str">
        <x:v>Aiguptos</x:v>
      </x:c>
      <x:c r="G542" s="20" t="str">
        <x:v>Ægyptus, the land of the Nile</x:v>
      </x:c>
      <x:c r="H542" s="20" t="str"/>
      <x:c r="I542" s="21"/>
      <x:c r="J542" s="21" t="str">
        <x:v>Mounce 頻率延伸</x:v>
      </x:c>
      <x:c r="K542" s="21" t="str">
        <x:v>G125</x:v>
      </x:c>
      <x:c r="L542" s="21" t="str">
        <x:v>是</x:v>
      </x:c>
      <x:c r="M542" s="21" t="str">
        <x:v>地名</x:v>
      </x:c>
      <x:c r="N542" s="21" t="str">
        <x:v>source_and_lexicon_matched</x:v>
      </x:c>
      <x:c r="O542" s="21" t="str">
        <x:v>rule_generated_from_official_table</x:v>
      </x:c>
      <x:c r="P542" s="21" t="n">
        <x:v>9</x:v>
      </x:c>
      <x:c r="Q542" s="21" t="str">
        <x:v>https://doxa.billmounce.com/Flashcards%20%28BBG%29.pdf</x:v>
      </x:c>
      <x:c r="R542" s="16" t="str"/>
    </x:row>
    <x:row r="543" ht="28" customHeight="1">
      <x:c r="A543" s="21" t="n">
        <x:v>539</x:v>
      </x:c>
      <x:c r="B543" s="21" t="n">
        <x:f>ROUNDUP(A543/50,0)</x:f>
        <x:v>11</x:v>
      </x:c>
      <x:c r="C543" s="21" t="n">
        <x:f>MOD(A543-1,50)+1</x:f>
        <x:v>39</x:v>
      </x:c>
      <x:c r="D543" s="29" t="str">
        <x:v>ἀναβλέπω</x:v>
      </x:c>
      <x:c r="E543" s="29" t="str">
        <x:v>ἀναβλέπω</x:v>
      </x:c>
      <x:c r="F543" s="27" t="str">
        <x:v>anablepō</x:v>
      </x:c>
      <x:c r="G543" s="20" t="str">
        <x:v>to look up; by implication, to recover sight</x:v>
      </x:c>
      <x:c r="H543" s="20" t="str"/>
      <x:c r="I543" s="21"/>
      <x:c r="J543" s="21" t="str">
        <x:v>Mounce 頻率延伸</x:v>
      </x:c>
      <x:c r="K543" s="21" t="str">
        <x:v>G308</x:v>
      </x:c>
      <x:c r="L543" s="21" t="str">
        <x:v>否</x:v>
      </x:c>
      <x:c r="M543" s="21" t="str"/>
      <x:c r="N543" s="21" t="str">
        <x:v>source_and_lexicon_matched</x:v>
      </x:c>
      <x:c r="O543" s="21" t="str">
        <x:v>rule_generated_from_official_table</x:v>
      </x:c>
      <x:c r="P543" s="21" t="n">
        <x:v>9</x:v>
      </x:c>
      <x:c r="Q543" s="21" t="str">
        <x:v>https://doxa.billmounce.com/Flashcards%20%28BBG%29.pdf</x:v>
      </x:c>
      <x:c r="R543" s="16" t="str"/>
    </x:row>
    <x:row r="544" ht="28" customHeight="1">
      <x:c r="A544" s="21" t="n">
        <x:v>540</x:v>
      </x:c>
      <x:c r="B544" s="21" t="n">
        <x:f>ROUNDUP(A544/50,0)</x:f>
        <x:v>11</x:v>
      </x:c>
      <x:c r="C544" s="21" t="n">
        <x:f>MOD(A544-1,50)+1</x:f>
        <x:v>40</x:v>
      </x:c>
      <x:c r="D544" s="29" t="str">
        <x:v>γνωρίζω</x:v>
      </x:c>
      <x:c r="E544" s="29" t="str">
        <x:v>γνωρίζω</x:v>
      </x:c>
      <x:c r="F544" s="27" t="str">
        <x:v>gnōrizō</x:v>
      </x:c>
      <x:c r="G544" s="20" t="str">
        <x:v>to make known; subjectively, to know</x:v>
      </x:c>
      <x:c r="H544" s="20" t="str"/>
      <x:c r="I544" s="21"/>
      <x:c r="J544" s="21" t="str">
        <x:v>Mounce 頻率延伸</x:v>
      </x:c>
      <x:c r="K544" s="21" t="str">
        <x:v>G1107</x:v>
      </x:c>
      <x:c r="L544" s="21" t="str">
        <x:v>否</x:v>
      </x:c>
      <x:c r="M544" s="21" t="str"/>
      <x:c r="N544" s="21" t="str">
        <x:v>source_and_lexicon_matched</x:v>
      </x:c>
      <x:c r="O544" s="21" t="str">
        <x:v>rule_generated_from_official_table</x:v>
      </x:c>
      <x:c r="P544" s="21" t="n">
        <x:v>9</x:v>
      </x:c>
      <x:c r="Q544" s="21" t="str">
        <x:v>https://doxa.billmounce.com/Flashcards%20%28BBG%29.pdf</x:v>
      </x:c>
      <x:c r="R544" s="16" t="str"/>
    </x:row>
    <x:row r="545" ht="28" customHeight="1">
      <x:c r="A545" s="21" t="n">
        <x:v>541</x:v>
      </x:c>
      <x:c r="B545" s="21" t="n">
        <x:f>ROUNDUP(A545/50,0)</x:f>
        <x:v>11</x:v>
      </x:c>
      <x:c r="C545" s="21" t="n">
        <x:f>MOD(A545-1,50)+1</x:f>
        <x:v>41</x:v>
      </x:c>
      <x:c r="D545" s="29" t="str">
        <x:v>δέκα</x:v>
      </x:c>
      <x:c r="E545" s="29" t="str">
        <x:v>δέκα</x:v>
      </x:c>
      <x:c r="F545" s="27" t="str">
        <x:v>deka</x:v>
      </x:c>
      <x:c r="G545" s="20" t="str">
        <x:v>ten</x:v>
      </x:c>
      <x:c r="H545" s="20" t="str"/>
      <x:c r="I545" s="21"/>
      <x:c r="J545" s="21" t="str">
        <x:v>Mounce 頻率延伸</x:v>
      </x:c>
      <x:c r="K545" s="21" t="str">
        <x:v>G1176</x:v>
      </x:c>
      <x:c r="L545" s="21" t="str">
        <x:v>否</x:v>
      </x:c>
      <x:c r="M545" s="21" t="str"/>
      <x:c r="N545" s="21" t="str">
        <x:v>source_and_lexicon_matched</x:v>
      </x:c>
      <x:c r="O545" s="21" t="str">
        <x:v>rule_generated_from_official_table</x:v>
      </x:c>
      <x:c r="P545" s="21" t="n">
        <x:v>10</x:v>
      </x:c>
      <x:c r="Q545" s="21" t="str">
        <x:v>https://doxa.billmounce.com/Flashcards%20%28BBG%29.pdf</x:v>
      </x:c>
      <x:c r="R545" s="16" t="str"/>
    </x:row>
    <x:row r="546" ht="28" customHeight="1">
      <x:c r="A546" s="21" t="n">
        <x:v>542</x:v>
      </x:c>
      <x:c r="B546" s="21" t="n">
        <x:f>ROUNDUP(A546/50,0)</x:f>
        <x:v>11</x:v>
      </x:c>
      <x:c r="C546" s="21" t="n">
        <x:f>MOD(A546-1,50)+1</x:f>
        <x:v>42</x:v>
      </x:c>
      <x:c r="D546" s="29" t="str">
        <x:v>δένδρον, -ου, τό</x:v>
      </x:c>
      <x:c r="E546" s="29" t="str">
        <x:v>δένδρον</x:v>
      </x:c>
      <x:c r="F546" s="27" t="str">
        <x:v>dendron</x:v>
      </x:c>
      <x:c r="G546" s="20" t="str">
        <x:v>a tree</x:v>
      </x:c>
      <x:c r="H546" s="20" t="str"/>
      <x:c r="I546" s="21"/>
      <x:c r="J546" s="21" t="str">
        <x:v>Mounce 頻率延伸</x:v>
      </x:c>
      <x:c r="K546" s="21" t="str">
        <x:v>G1186</x:v>
      </x:c>
      <x:c r="L546" s="21" t="str">
        <x:v>否</x:v>
      </x:c>
      <x:c r="M546" s="21" t="str"/>
      <x:c r="N546" s="21" t="str">
        <x:v>source_and_lexicon_matched</x:v>
      </x:c>
      <x:c r="O546" s="21" t="str">
        <x:v>rule_generated_from_official_table</x:v>
      </x:c>
      <x:c r="P546" s="21" t="n">
        <x:v>10</x:v>
      </x:c>
      <x:c r="Q546" s="21" t="str">
        <x:v>https://doxa.billmounce.com/Flashcards%20%28BBG%29.pdf</x:v>
      </x:c>
      <x:c r="R546" s="16" t="str"/>
    </x:row>
    <x:row r="547" ht="28" customHeight="1">
      <x:c r="A547" s="21" t="n">
        <x:v>543</x:v>
      </x:c>
      <x:c r="B547" s="21" t="n">
        <x:f>ROUNDUP(A547/50,0)</x:f>
        <x:v>11</x:v>
      </x:c>
      <x:c r="C547" s="21" t="n">
        <x:f>MOD(A547-1,50)+1</x:f>
        <x:v>43</x:v>
      </x:c>
      <x:c r="D547" s="29" t="str">
        <x:v>δουλεύω</x:v>
      </x:c>
      <x:c r="E547" s="29" t="str">
        <x:v>δουλεύω</x:v>
      </x:c>
      <x:c r="F547" s="27" t="str">
        <x:v>douleuō</x:v>
      </x:c>
      <x:c r="G547" s="20" t="str">
        <x:v>to be a slave to (literal or figurative, involuntary or voluntary)</x:v>
      </x:c>
      <x:c r="H547" s="20" t="str"/>
      <x:c r="I547" s="21"/>
      <x:c r="J547" s="21" t="str">
        <x:v>Mounce 頻率延伸</x:v>
      </x:c>
      <x:c r="K547" s="21" t="str">
        <x:v>G1398</x:v>
      </x:c>
      <x:c r="L547" s="21" t="str">
        <x:v>否</x:v>
      </x:c>
      <x:c r="M547" s="21" t="str"/>
      <x:c r="N547" s="21" t="str">
        <x:v>source_and_lexicon_matched</x:v>
      </x:c>
      <x:c r="O547" s="21" t="str">
        <x:v>rule_generated_from_official_table</x:v>
      </x:c>
      <x:c r="P547" s="21" t="n">
        <x:v>10</x:v>
      </x:c>
      <x:c r="Q547" s="21" t="str">
        <x:v>https://doxa.billmounce.com/Flashcards%20%28BBG%29.pdf</x:v>
      </x:c>
      <x:c r="R547" s="16" t="str"/>
    </x:row>
    <x:row r="548" ht="28" customHeight="1">
      <x:c r="A548" s="21" t="n">
        <x:v>544</x:v>
      </x:c>
      <x:c r="B548" s="21" t="n">
        <x:f>ROUNDUP(A548/50,0)</x:f>
        <x:v>11</x:v>
      </x:c>
      <x:c r="C548" s="21" t="n">
        <x:f>MOD(A548-1,50)+1</x:f>
        <x:v>44</x:v>
      </x:c>
      <x:c r="D548" s="29" t="str">
        <x:v>Ἕλλην, -ηνος, ὁ</x:v>
      </x:c>
      <x:c r="E548" s="29" t="str">
        <x:v>Ἕλλην</x:v>
      </x:c>
      <x:c r="F548" s="27" t="str">
        <x:v>Hellēn</x:v>
      </x:c>
      <x:c r="G548" s="20" t="str">
        <x:v>a Hellen (Grecian) or inhabitant of Hellas; by extension a Greek-speaking person, especially a non-Jew</x:v>
      </x:c>
      <x:c r="H548" s="20" t="str"/>
      <x:c r="I548" s="21"/>
      <x:c r="J548" s="21" t="str">
        <x:v>Mounce 頻率延伸</x:v>
      </x:c>
      <x:c r="K548" s="21" t="str">
        <x:v>G1672</x:v>
      </x:c>
      <x:c r="L548" s="21" t="str">
        <x:v>是</x:v>
      </x:c>
      <x:c r="M548" s="21" t="str">
        <x:v>民族／國族</x:v>
      </x:c>
      <x:c r="N548" s="21" t="str">
        <x:v>source_and_lexicon_matched</x:v>
      </x:c>
      <x:c r="O548" s="21" t="str">
        <x:v>rule_generated_from_official_table</x:v>
      </x:c>
      <x:c r="P548" s="21" t="n">
        <x:v>10</x:v>
      </x:c>
      <x:c r="Q548" s="21" t="str">
        <x:v>https://doxa.billmounce.com/Flashcards%20%28BBG%29.pdf</x:v>
      </x:c>
      <x:c r="R548" s="16" t="str"/>
    </x:row>
    <x:row r="549" ht="28" customHeight="1">
      <x:c r="A549" s="21" t="n">
        <x:v>545</x:v>
      </x:c>
      <x:c r="B549" s="21" t="n">
        <x:f>ROUNDUP(A549/50,0)</x:f>
        <x:v>11</x:v>
      </x:c>
      <x:c r="C549" s="21" t="n">
        <x:f>MOD(A549-1,50)+1</x:f>
        <x:v>45</x:v>
      </x:c>
      <x:c r="D549" s="29" t="str">
        <x:v>ἑορτή, -ῆς, ἡ</x:v>
      </x:c>
      <x:c r="E549" s="29" t="str">
        <x:v>ἑορτή</x:v>
      </x:c>
      <x:c r="F549" s="27" t="str">
        <x:v>heortē</x:v>
      </x:c>
      <x:c r="G549" s="20" t="str">
        <x:v>a festival</x:v>
      </x:c>
      <x:c r="H549" s="20" t="str"/>
      <x:c r="I549" s="21"/>
      <x:c r="J549" s="21" t="str">
        <x:v>Mounce 頻率延伸</x:v>
      </x:c>
      <x:c r="K549" s="21" t="str">
        <x:v>G1859</x:v>
      </x:c>
      <x:c r="L549" s="21" t="str">
        <x:v>否</x:v>
      </x:c>
      <x:c r="M549" s="21" t="str"/>
      <x:c r="N549" s="21" t="str">
        <x:v>source_and_lexicon_matched</x:v>
      </x:c>
      <x:c r="O549" s="21" t="str">
        <x:v>rule_generated_from_official_table</x:v>
      </x:c>
      <x:c r="P549" s="21" t="n">
        <x:v>10</x:v>
      </x:c>
      <x:c r="Q549" s="21" t="str">
        <x:v>https://doxa.billmounce.com/Flashcards%20%28BBG%29.pdf</x:v>
      </x:c>
      <x:c r="R549" s="16" t="str"/>
    </x:row>
    <x:row r="550" ht="28" customHeight="1">
      <x:c r="A550" s="21" t="n">
        <x:v>546</x:v>
      </x:c>
      <x:c r="B550" s="21" t="n">
        <x:f>ROUNDUP(A550/50,0)</x:f>
        <x:v>11</x:v>
      </x:c>
      <x:c r="C550" s="21" t="n">
        <x:f>MOD(A550-1,50)+1</x:f>
        <x:v>46</x:v>
      </x:c>
      <x:c r="D550" s="29" t="str">
        <x:v>κελεύω</x:v>
      </x:c>
      <x:c r="E550" s="29" t="str">
        <x:v>κελεύω</x:v>
      </x:c>
      <x:c r="F550" s="27" t="str">
        <x:v>keleuō</x:v>
      </x:c>
      <x:c r="G550" s="20" t="str">
        <x:v>"hail"; to incite by word, i.e. order</x:v>
      </x:c>
      <x:c r="H550" s="20" t="str"/>
      <x:c r="I550" s="21"/>
      <x:c r="J550" s="21" t="str">
        <x:v>Mounce 頻率延伸</x:v>
      </x:c>
      <x:c r="K550" s="21" t="str">
        <x:v>G2753</x:v>
      </x:c>
      <x:c r="L550" s="21" t="str">
        <x:v>否</x:v>
      </x:c>
      <x:c r="M550" s="21" t="str"/>
      <x:c r="N550" s="21" t="str">
        <x:v>source_and_lexicon_matched</x:v>
      </x:c>
      <x:c r="O550" s="21" t="str">
        <x:v>rule_generated_from_official_table</x:v>
      </x:c>
      <x:c r="P550" s="21" t="n">
        <x:v>10</x:v>
      </x:c>
      <x:c r="Q550" s="21" t="str">
        <x:v>https://doxa.billmounce.com/Flashcards%20%28BBG%29.pdf</x:v>
      </x:c>
      <x:c r="R550" s="16" t="str"/>
    </x:row>
    <x:row r="551" ht="28" customHeight="1">
      <x:c r="A551" s="21" t="n">
        <x:v>547</x:v>
      </x:c>
      <x:c r="B551" s="21" t="n">
        <x:f>ROUNDUP(A551/50,0)</x:f>
        <x:v>11</x:v>
      </x:c>
      <x:c r="C551" s="21" t="n">
        <x:f>MOD(A551-1,50)+1</x:f>
        <x:v>47</x:v>
      </x:c>
      <x:c r="D551" s="29" t="str">
        <x:v>λευκός, -ή, -όν</x:v>
      </x:c>
      <x:c r="E551" s="29" t="str">
        <x:v>λευκός</x:v>
      </x:c>
      <x:c r="F551" s="27" t="str">
        <x:v>leukos</x:v>
      </x:c>
      <x:c r="G551" s="20" t="str">
        <x:v>white</x:v>
      </x:c>
      <x:c r="H551" s="20" t="str"/>
      <x:c r="I551" s="21"/>
      <x:c r="J551" s="21" t="str">
        <x:v>Mounce 頻率延伸</x:v>
      </x:c>
      <x:c r="K551" s="21" t="str">
        <x:v>G3022</x:v>
      </x:c>
      <x:c r="L551" s="21" t="str">
        <x:v>否</x:v>
      </x:c>
      <x:c r="M551" s="21" t="str"/>
      <x:c r="N551" s="21" t="str">
        <x:v>source_and_lexicon_matched</x:v>
      </x:c>
      <x:c r="O551" s="21" t="str">
        <x:v>rule_generated_from_official_table</x:v>
      </x:c>
      <x:c r="P551" s="21" t="n">
        <x:v>10</x:v>
      </x:c>
      <x:c r="Q551" s="21" t="str">
        <x:v>https://doxa.billmounce.com/Flashcards%20%28BBG%29.pdf</x:v>
      </x:c>
      <x:c r="R551" s="16" t="str"/>
    </x:row>
    <x:row r="552" ht="28" customHeight="1">
      <x:c r="A552" s="21" t="n">
        <x:v>548</x:v>
      </x:c>
      <x:c r="B552" s="21" t="n">
        <x:f>ROUNDUP(A552/50,0)</x:f>
        <x:v>11</x:v>
      </x:c>
      <x:c r="C552" s="21" t="n">
        <x:f>MOD(A552-1,50)+1</x:f>
        <x:v>48</x:v>
      </x:c>
      <x:c r="D552" s="29" t="str">
        <x:v>μανθάνω</x:v>
      </x:c>
      <x:c r="E552" s="29" t="str">
        <x:v>μανθάνω</x:v>
      </x:c>
      <x:c r="F552" s="27" t="str">
        <x:v>manthanō</x:v>
      </x:c>
      <x:c r="G552" s="20" t="str">
        <x:v>to learn (in any way)</x:v>
      </x:c>
      <x:c r="H552" s="20" t="str"/>
      <x:c r="I552" s="21"/>
      <x:c r="J552" s="21" t="str">
        <x:v>Mounce 頻率延伸</x:v>
      </x:c>
      <x:c r="K552" s="21" t="str">
        <x:v>G3129</x:v>
      </x:c>
      <x:c r="L552" s="21" t="str">
        <x:v>否</x:v>
      </x:c>
      <x:c r="M552" s="21" t="str"/>
      <x:c r="N552" s="21" t="str">
        <x:v>source_and_lexicon_matched</x:v>
      </x:c>
      <x:c r="O552" s="21" t="str">
        <x:v>rule_generated_from_official_table</x:v>
      </x:c>
      <x:c r="P552" s="21" t="n">
        <x:v>10</x:v>
      </x:c>
      <x:c r="Q552" s="21" t="str">
        <x:v>https://doxa.billmounce.com/Flashcards%20%28BBG%29.pdf</x:v>
      </x:c>
      <x:c r="R552" s="16" t="str"/>
    </x:row>
    <x:row r="553" ht="28" customHeight="1">
      <x:c r="A553" s="21" t="n">
        <x:v>549</x:v>
      </x:c>
      <x:c r="B553" s="21" t="n">
        <x:f>ROUNDUP(A553/50,0)</x:f>
        <x:v>11</x:v>
      </x:c>
      <x:c r="C553" s="21" t="n">
        <x:f>MOD(A553-1,50)+1</x:f>
        <x:v>49</x:v>
      </x:c>
      <x:c r="D553" s="29" t="str">
        <x:v>μήποτε</x:v>
      </x:c>
      <x:c r="E553" s="29" t="str">
        <x:v>μήποτε</x:v>
      </x:c>
      <x:c r="F553" s="27" t="str">
        <x:v>mēpote</x:v>
      </x:c>
      <x:c r="G553" s="20" t="str">
        <x:v>not ever; also if (or lest) ever (or perhaps)</x:v>
      </x:c>
      <x:c r="H553" s="20" t="str"/>
      <x:c r="I553" s="21"/>
      <x:c r="J553" s="21" t="str">
        <x:v>Mounce 頻率延伸</x:v>
      </x:c>
      <x:c r="K553" s="21" t="str">
        <x:v>G3379</x:v>
      </x:c>
      <x:c r="L553" s="21" t="str">
        <x:v>否</x:v>
      </x:c>
      <x:c r="M553" s="21" t="str"/>
      <x:c r="N553" s="21" t="str">
        <x:v>source_and_lexicon_matched</x:v>
      </x:c>
      <x:c r="O553" s="21" t="str">
        <x:v>rule_generated_from_official_table</x:v>
      </x:c>
      <x:c r="P553" s="21" t="n">
        <x:v>10</x:v>
      </x:c>
      <x:c r="Q553" s="21" t="str">
        <x:v>https://doxa.billmounce.com/Flashcards%20%28BBG%29.pdf</x:v>
      </x:c>
      <x:c r="R553" s="16" t="str"/>
    </x:row>
    <x:row r="554" ht="28" customHeight="1">
      <x:c r="A554" s="21" t="n">
        <x:v>550</x:v>
      </x:c>
      <x:c r="B554" s="21" t="n">
        <x:f>ROUNDUP(A554/50,0)</x:f>
        <x:v>11</x:v>
      </x:c>
      <x:c r="C554" s="21" t="n">
        <x:f>MOD(A554-1,50)+1</x:f>
        <x:v>50</x:v>
      </x:c>
      <x:c r="D554" s="29" t="str">
        <x:v>νεφέλη, -ης, ἡ</x:v>
      </x:c>
      <x:c r="E554" s="29" t="str">
        <x:v>νεφέλη</x:v>
      </x:c>
      <x:c r="F554" s="27" t="str">
        <x:v>nephelē</x:v>
      </x:c>
      <x:c r="G554" s="20" t="str">
        <x:v>properly, cloudiness, i.e. (concretely) a cloud</x:v>
      </x:c>
      <x:c r="H554" s="20" t="str"/>
      <x:c r="I554" s="21"/>
      <x:c r="J554" s="21" t="str">
        <x:v>Mounce 頻率延伸</x:v>
      </x:c>
      <x:c r="K554" s="21" t="str">
        <x:v>G3507</x:v>
      </x:c>
      <x:c r="L554" s="21" t="str">
        <x:v>否</x:v>
      </x:c>
      <x:c r="M554" s="21" t="str"/>
      <x:c r="N554" s="21" t="str">
        <x:v>source_and_lexicon_matched</x:v>
      </x:c>
      <x:c r="O554" s="21" t="str">
        <x:v>rule_generated_from_official_table</x:v>
      </x:c>
      <x:c r="P554" s="21" t="n">
        <x:v>10</x:v>
      </x:c>
      <x:c r="Q554" s="21" t="str">
        <x:v>https://doxa.billmounce.com/Flashcards%20%28BBG%29.pdf</x:v>
      </x:c>
      <x:c r="R554" s="16" t="str"/>
    </x:row>
    <x:row r="555" ht="28" customHeight="1">
      <x:c r="A555" s="21" t="n">
        <x:v>551</x:v>
      </x:c>
      <x:c r="B555" s="21" t="n">
        <x:f>ROUNDUP(A555/50,0)</x:f>
        <x:v>12</x:v>
      </x:c>
      <x:c r="C555" s="21" t="n">
        <x:f>MOD(A555-1,50)+1</x:f>
        <x:v>1</x:v>
      </x:c>
      <x:c r="D555" s="29" t="str">
        <x:v>ὀμνύω</x:v>
      </x:c>
      <x:c r="E555" s="29" t="str">
        <x:v>ὀμνύω</x:v>
      </x:c>
      <x:c r="F555" s="27" t="str">
        <x:v>omnuō</x:v>
      </x:c>
      <x:c r="G555" s="20" t="str">
        <x:v>to swear, i.e. take (or declare on) oath</x:v>
      </x:c>
      <x:c r="H555" s="20" t="str"/>
      <x:c r="I555" s="21"/>
      <x:c r="J555" s="21" t="str">
        <x:v>Mounce 頻率延伸</x:v>
      </x:c>
      <x:c r="K555" s="21" t="str">
        <x:v>G3660</x:v>
      </x:c>
      <x:c r="L555" s="21" t="str">
        <x:v>否</x:v>
      </x:c>
      <x:c r="M555" s="21" t="str"/>
      <x:c r="N555" s="21" t="str">
        <x:v>source_and_lexicon_matched</x:v>
      </x:c>
      <x:c r="O555" s="21" t="str">
        <x:v>rule_generated_from_official_table</x:v>
      </x:c>
      <x:c r="P555" s="21" t="n">
        <x:v>10</x:v>
      </x:c>
      <x:c r="Q555" s="21" t="str">
        <x:v>https://doxa.billmounce.com/Flashcards%20%28BBG%29.pdf</x:v>
      </x:c>
      <x:c r="R555" s="16" t="str"/>
    </x:row>
    <x:row r="556" ht="28" customHeight="1">
      <x:c r="A556" s="21" t="n">
        <x:v>552</x:v>
      </x:c>
      <x:c r="B556" s="21" t="n">
        <x:f>ROUNDUP(A556/50,0)</x:f>
        <x:v>12</x:v>
      </x:c>
      <x:c r="C556" s="21" t="n">
        <x:f>MOD(A556-1,50)+1</x:f>
        <x:v>2</x:v>
      </x:c>
      <x:c r="D556" s="29" t="str">
        <x:v>πορνεία, -ας, ἡ</x:v>
      </x:c>
      <x:c r="E556" s="29" t="str">
        <x:v>πορνεία</x:v>
      </x:c>
      <x:c r="F556" s="27" t="str">
        <x:v>porneia</x:v>
      </x:c>
      <x:c r="G556" s="20" t="str">
        <x:v>harlotry (including adultery and incest); figuratively, idolatry</x:v>
      </x:c>
      <x:c r="H556" s="20" t="str"/>
      <x:c r="I556" s="21"/>
      <x:c r="J556" s="21" t="str">
        <x:v>Mounce 頻率延伸</x:v>
      </x:c>
      <x:c r="K556" s="21" t="str">
        <x:v>G4202</x:v>
      </x:c>
      <x:c r="L556" s="21" t="str">
        <x:v>否</x:v>
      </x:c>
      <x:c r="M556" s="21" t="str"/>
      <x:c r="N556" s="21" t="str">
        <x:v>source_and_lexicon_matched</x:v>
      </x:c>
      <x:c r="O556" s="21" t="str">
        <x:v>rule_generated_from_official_table</x:v>
      </x:c>
      <x:c r="P556" s="21" t="n">
        <x:v>10</x:v>
      </x:c>
      <x:c r="Q556" s="21" t="str">
        <x:v>https://doxa.billmounce.com/Flashcards%20%28BBG%29.pdf</x:v>
      </x:c>
      <x:c r="R556" s="16" t="str"/>
    </x:row>
    <x:row r="557" ht="28" customHeight="1">
      <x:c r="A557" s="21" t="n">
        <x:v>553</x:v>
      </x:c>
      <x:c r="B557" s="21" t="n">
        <x:f>ROUNDUP(A557/50,0)</x:f>
        <x:v>12</x:v>
      </x:c>
      <x:c r="C557" s="21" t="n">
        <x:f>MOD(A557-1,50)+1</x:f>
        <x:v>3</x:v>
      </x:c>
      <x:c r="D557" s="29" t="str">
        <x:v>σός, σή, σόν</x:v>
      </x:c>
      <x:c r="E557" s="29" t="str">
        <x:v>σός</x:v>
      </x:c>
      <x:c r="F557" s="27" t="str">
        <x:v>sos</x:v>
      </x:c>
      <x:c r="G557" s="20" t="str">
        <x:v>thine</x:v>
      </x:c>
      <x:c r="H557" s="20" t="str"/>
      <x:c r="I557" s="21"/>
      <x:c r="J557" s="21" t="str">
        <x:v>Mounce 頻率延伸</x:v>
      </x:c>
      <x:c r="K557" s="21" t="str">
        <x:v>G4674</x:v>
      </x:c>
      <x:c r="L557" s="21" t="str">
        <x:v>否</x:v>
      </x:c>
      <x:c r="M557" s="21" t="str"/>
      <x:c r="N557" s="21" t="str">
        <x:v>source_and_lexicon_matched</x:v>
      </x:c>
      <x:c r="O557" s="21" t="str">
        <x:v>rule_generated_from_official_table</x:v>
      </x:c>
      <x:c r="P557" s="21" t="n">
        <x:v>10</x:v>
      </x:c>
      <x:c r="Q557" s="21" t="str">
        <x:v>https://doxa.billmounce.com/Flashcards%20%28BBG%29.pdf</x:v>
      </x:c>
      <x:c r="R557" s="16" t="str"/>
    </x:row>
    <x:row r="558" ht="28" customHeight="1">
      <x:c r="A558" s="21" t="n">
        <x:v>554</x:v>
      </x:c>
      <x:c r="B558" s="21" t="n">
        <x:f>ROUNDUP(A558/50,0)</x:f>
        <x:v>12</x:v>
      </x:c>
      <x:c r="C558" s="21" t="n">
        <x:f>MOD(A558-1,50)+1</x:f>
        <x:v>4</x:v>
      </x:c>
      <x:c r="D558" s="29" t="str">
        <x:v>φιλέω</x:v>
      </x:c>
      <x:c r="E558" s="29" t="str">
        <x:v>φιλέω</x:v>
      </x:c>
      <x:c r="F558" s="27" t="str">
        <x:v>phileō</x:v>
      </x:c>
      <x:c r="G558" s="20" t="str">
        <x:v>to be a friend to (fond of (an individual or an object)), i.e. have affection for (denoting personal attachment, as a matter of sentiment or feeling; while G25 (ἀγαπάω) is wider, embracing especially the judgment and the deliberate assent of the will as a matter of principle, duty and propriety: the two thus stand related very much as G2309 (θέλω) and G1014 (βούλομαι), or as G2372 (θυμός) and G3563 (νοῦς) respectively; the former being chiefly of the heart and the latter of the head); specially, to kiss (as a mark of tenderness)</x:v>
      </x:c>
      <x:c r="H558" s="20" t="str"/>
      <x:c r="I558" s="21"/>
      <x:c r="J558" s="21" t="str">
        <x:v>Mounce 頻率延伸</x:v>
      </x:c>
      <x:c r="K558" s="21" t="str">
        <x:v>G5368</x:v>
      </x:c>
      <x:c r="L558" s="21" t="str">
        <x:v>否</x:v>
      </x:c>
      <x:c r="M558" s="21" t="str"/>
      <x:c r="N558" s="21" t="str">
        <x:v>source_and_lexicon_matched</x:v>
      </x:c>
      <x:c r="O558" s="21" t="str">
        <x:v>rule_generated_from_official_table</x:v>
      </x:c>
      <x:c r="P558" s="21" t="n">
        <x:v>10</x:v>
      </x:c>
      <x:c r="Q558" s="21" t="str">
        <x:v>https://doxa.billmounce.com/Flashcards%20%28BBG%29.pdf</x:v>
      </x:c>
      <x:c r="R558" s="16" t="str"/>
    </x:row>
    <x:row r="559" ht="28" customHeight="1">
      <x:c r="A559" s="21" t="n">
        <x:v>555</x:v>
      </x:c>
      <x:c r="B559" s="21" t="n">
        <x:f>ROUNDUP(A559/50,0)</x:f>
        <x:v>12</x:v>
      </x:c>
      <x:c r="C559" s="21" t="n">
        <x:f>MOD(A559-1,50)+1</x:f>
        <x:v>5</x:v>
      </x:c>
      <x:c r="D559" s="29" t="str">
        <x:v>ἀκοή, -ῆς, ἡ</x:v>
      </x:c>
      <x:c r="E559" s="29" t="str">
        <x:v>ἀκοή</x:v>
      </x:c>
      <x:c r="F559" s="27" t="str">
        <x:v>akoē</x:v>
      </x:c>
      <x:c r="G559" s="20" t="str">
        <x:v>hearing (the act, the sense or the thing heard)</x:v>
      </x:c>
      <x:c r="H559" s="20" t="str"/>
      <x:c r="I559" s="21"/>
      <x:c r="J559" s="21" t="str">
        <x:v>Mounce 頻率延伸</x:v>
      </x:c>
      <x:c r="K559" s="21" t="str">
        <x:v>G189</x:v>
      </x:c>
      <x:c r="L559" s="21" t="str">
        <x:v>否</x:v>
      </x:c>
      <x:c r="M559" s="21" t="str"/>
      <x:c r="N559" s="21" t="str">
        <x:v>source_and_lexicon_matched</x:v>
      </x:c>
      <x:c r="O559" s="21" t="str">
        <x:v>rule_generated_from_official_table</x:v>
      </x:c>
      <x:c r="P559" s="21" t="n">
        <x:v>10</x:v>
      </x:c>
      <x:c r="Q559" s="21" t="str">
        <x:v>https://doxa.billmounce.com/Flashcards%20%28BBG%29.pdf</x:v>
      </x:c>
      <x:c r="R559" s="16" t="str"/>
    </x:row>
    <x:row r="560" ht="28" customHeight="1">
      <x:c r="A560" s="21" t="n">
        <x:v>556</x:v>
      </x:c>
      <x:c r="B560" s="21" t="n">
        <x:f>ROUNDUP(A560/50,0)</x:f>
        <x:v>12</x:v>
      </x:c>
      <x:c r="C560" s="21" t="n">
        <x:f>MOD(A560-1,50)+1</x:f>
        <x:v>6</x:v>
      </x:c>
      <x:c r="D560" s="29" t="str">
        <x:v>ἀναιρέω</x:v>
      </x:c>
      <x:c r="E560" s="29" t="str">
        <x:v>ἀναιρέω</x:v>
      </x:c>
      <x:c r="F560" s="27" t="str">
        <x:v>anaireō</x:v>
      </x:c>
      <x:c r="G560" s="20" t="str">
        <x:v>to take up, i.e. adopt; by implication, to take away (violently), i.e. abolish, murder</x:v>
      </x:c>
      <x:c r="H560" s="20" t="str"/>
      <x:c r="I560" s="21"/>
      <x:c r="J560" s="21" t="str">
        <x:v>Mounce 頻率延伸</x:v>
      </x:c>
      <x:c r="K560" s="21" t="str">
        <x:v>G337</x:v>
      </x:c>
      <x:c r="L560" s="21" t="str">
        <x:v>否</x:v>
      </x:c>
      <x:c r="M560" s="21" t="str"/>
      <x:c r="N560" s="21" t="str">
        <x:v>source_and_lexicon_matched</x:v>
      </x:c>
      <x:c r="O560" s="21" t="str">
        <x:v>rule_generated_from_official_table</x:v>
      </x:c>
      <x:c r="P560" s="21" t="n">
        <x:v>10</x:v>
      </x:c>
      <x:c r="Q560" s="21" t="str">
        <x:v>https://doxa.billmounce.com/Flashcards%20%28BBG%29.pdf</x:v>
      </x:c>
      <x:c r="R560" s="16" t="str"/>
    </x:row>
    <x:row r="561" ht="28" customHeight="1">
      <x:c r="A561" s="21" t="n">
        <x:v>557</x:v>
      </x:c>
      <x:c r="B561" s="21" t="n">
        <x:f>ROUNDUP(A561/50,0)</x:f>
        <x:v>12</x:v>
      </x:c>
      <x:c r="C561" s="21" t="n">
        <x:f>MOD(A561-1,50)+1</x:f>
        <x:v>7</x:v>
      </x:c>
      <x:c r="D561" s="29" t="str">
        <x:v>ἀσθένεια, -ας, ἡ</x:v>
      </x:c>
      <x:c r="E561" s="29" t="str">
        <x:v>ἀσθένεια</x:v>
      </x:c>
      <x:c r="F561" s="27" t="str">
        <x:v>astheneia</x:v>
      </x:c>
      <x:c r="G561" s="20" t="str">
        <x:v>feebleness (of mind or body); by implication, malady; morally, frailty</x:v>
      </x:c>
      <x:c r="H561" s="20" t="str"/>
      <x:c r="I561" s="21"/>
      <x:c r="J561" s="21" t="str">
        <x:v>Mounce 頻率延伸</x:v>
      </x:c>
      <x:c r="K561" s="21" t="str">
        <x:v>G769</x:v>
      </x:c>
      <x:c r="L561" s="21" t="str">
        <x:v>否</x:v>
      </x:c>
      <x:c r="M561" s="21" t="str"/>
      <x:c r="N561" s="21" t="str">
        <x:v>source_and_lexicon_matched</x:v>
      </x:c>
      <x:c r="O561" s="21" t="str">
        <x:v>rule_generated_from_official_table</x:v>
      </x:c>
      <x:c r="P561" s="21" t="n">
        <x:v>10</x:v>
      </x:c>
      <x:c r="Q561" s="21" t="str">
        <x:v>https://doxa.billmounce.com/Flashcards%20%28BBG%29.pdf</x:v>
      </x:c>
      <x:c r="R561" s="16" t="str"/>
    </x:row>
    <x:row r="562" ht="28" customHeight="1">
      <x:c r="A562" s="21" t="n">
        <x:v>558</x:v>
      </x:c>
      <x:c r="B562" s="21" t="n">
        <x:f>ROUNDUP(A562/50,0)</x:f>
        <x:v>12</x:v>
      </x:c>
      <x:c r="C562" s="21" t="n">
        <x:f>MOD(A562-1,50)+1</x:f>
        <x:v>8</x:v>
      </x:c>
      <x:c r="D562" s="29" t="str">
        <x:v>ἀστήρ, -έρος, ὁ</x:v>
      </x:c>
      <x:c r="E562" s="29" t="str">
        <x:v>ἀστήρ</x:v>
      </x:c>
      <x:c r="F562" s="27" t="str">
        <x:v>astēr</x:v>
      </x:c>
      <x:c r="G562" s="20" t="str">
        <x:v>a star (as strown over the sky), literally or figuratively</x:v>
      </x:c>
      <x:c r="H562" s="20" t="str"/>
      <x:c r="I562" s="21"/>
      <x:c r="J562" s="21" t="str">
        <x:v>Mounce 頻率延伸</x:v>
      </x:c>
      <x:c r="K562" s="21" t="str">
        <x:v>G792</x:v>
      </x:c>
      <x:c r="L562" s="21" t="str">
        <x:v>否</x:v>
      </x:c>
      <x:c r="M562" s="21" t="str"/>
      <x:c r="N562" s="21" t="str">
        <x:v>source_and_lexicon_matched</x:v>
      </x:c>
      <x:c r="O562" s="21" t="str">
        <x:v>rule_generated_from_official_table</x:v>
      </x:c>
      <x:c r="P562" s="21" t="n">
        <x:v>10</x:v>
      </x:c>
      <x:c r="Q562" s="21" t="str">
        <x:v>https://doxa.billmounce.com/Flashcards%20%28BBG%29.pdf</x:v>
      </x:c>
      <x:c r="R562" s="16" t="str"/>
    </x:row>
    <x:row r="563" ht="28" customHeight="1">
      <x:c r="A563" s="21" t="n">
        <x:v>559</x:v>
      </x:c>
      <x:c r="B563" s="21" t="n">
        <x:f>ROUNDUP(A563/50,0)</x:f>
        <x:v>12</x:v>
      </x:c>
      <x:c r="C563" s="21" t="n">
        <x:f>MOD(A563-1,50)+1</x:f>
        <x:v>9</x:v>
      </x:c>
      <x:c r="D563" s="29" t="str">
        <x:v>ἕνεκα or ἕνεκεν</x:v>
      </x:c>
      <x:c r="E563" s="29" t="str">
        <x:v>ἕνεκα or ἕνεκεν</x:v>
      </x:c>
      <x:c r="F563" s="27" t="str">
        <x:v>henekaeneken</x:v>
      </x:c>
      <x:c r="G563" s="20" t="str"/>
      <x:c r="H563" s="20" t="str"/>
      <x:c r="I563" s="21"/>
      <x:c r="J563" s="21" t="str">
        <x:v>Mounce 頻率延伸</x:v>
      </x:c>
      <x:c r="K563" s="21" t="str"/>
      <x:c r="L563" s="21" t="str">
        <x:v>否</x:v>
      </x:c>
      <x:c r="M563" s="21" t="str"/>
      <x:c r="N563" s="21" t="str">
        <x:v>source_verified_lexicon_pending</x:v>
      </x:c>
      <x:c r="O563" s="21" t="str">
        <x:v>rule_generated_from_official_table</x:v>
      </x:c>
      <x:c r="P563" s="21" t="n">
        <x:v>10</x:v>
      </x:c>
      <x:c r="Q563" s="21" t="str">
        <x:v>https://doxa.billmounce.com/Flashcards%20%28BBG%29.pdf</x:v>
      </x:c>
      <x:c r="R563" s="16" t="str"/>
    </x:row>
    <x:row r="564" ht="28" customHeight="1">
      <x:c r="A564" s="21" t="n">
        <x:v>560</x:v>
      </x:c>
      <x:c r="B564" s="21" t="n">
        <x:f>ROUNDUP(A564/50,0)</x:f>
        <x:v>12</x:v>
      </x:c>
      <x:c r="C564" s="21" t="n">
        <x:f>MOD(A564-1,50)+1</x:f>
        <x:v>10</x:v>
      </x:c>
      <x:c r="D564" s="29" t="str">
        <x:v>ἐπιστολή, -ῆς, ἡ</x:v>
      </x:c>
      <x:c r="E564" s="29" t="str">
        <x:v>ἐπιστολή</x:v>
      </x:c>
      <x:c r="F564" s="27" t="str">
        <x:v>epistolē</x:v>
      </x:c>
      <x:c r="G564" s="20" t="str">
        <x:v>a written message</x:v>
      </x:c>
      <x:c r="H564" s="20" t="str"/>
      <x:c r="I564" s="21"/>
      <x:c r="J564" s="21" t="str">
        <x:v>Mounce 頻率延伸</x:v>
      </x:c>
      <x:c r="K564" s="21" t="str">
        <x:v>G1992</x:v>
      </x:c>
      <x:c r="L564" s="21" t="str">
        <x:v>否</x:v>
      </x:c>
      <x:c r="M564" s="21" t="str"/>
      <x:c r="N564" s="21" t="str">
        <x:v>source_and_lexicon_matched</x:v>
      </x:c>
      <x:c r="O564" s="21" t="str">
        <x:v>rule_generated_from_official_table</x:v>
      </x:c>
      <x:c r="P564" s="21" t="n">
        <x:v>10</x:v>
      </x:c>
      <x:c r="Q564" s="21" t="str">
        <x:v>https://doxa.billmounce.com/Flashcards%20%28BBG%29.pdf</x:v>
      </x:c>
      <x:c r="R564" s="16" t="str"/>
    </x:row>
    <x:row r="565" ht="28" customHeight="1">
      <x:c r="A565" s="21" t="n">
        <x:v>561</x:v>
      </x:c>
      <x:c r="B565" s="21" t="n">
        <x:f>ROUNDUP(A565/50,0)</x:f>
        <x:v>12</x:v>
      </x:c>
      <x:c r="C565" s="21" t="n">
        <x:f>MOD(A565-1,50)+1</x:f>
        <x:v>11</x:v>
      </x:c>
      <x:c r="D565" s="29" t="str">
        <x:v>καταλείπω</x:v>
      </x:c>
      <x:c r="E565" s="29" t="str">
        <x:v>καταλείπω</x:v>
      </x:c>
      <x:c r="F565" s="27" t="str">
        <x:v>kataleipō</x:v>
      </x:c>
      <x:c r="G565" s="20" t="str">
        <x:v>to leave down, i.e. behind; by implication, to abandon, have remaining</x:v>
      </x:c>
      <x:c r="H565" s="20" t="str"/>
      <x:c r="I565" s="21"/>
      <x:c r="J565" s="21" t="str">
        <x:v>Mounce 頻率延伸</x:v>
      </x:c>
      <x:c r="K565" s="21" t="str">
        <x:v>G2641</x:v>
      </x:c>
      <x:c r="L565" s="21" t="str">
        <x:v>否</x:v>
      </x:c>
      <x:c r="M565" s="21" t="str"/>
      <x:c r="N565" s="21" t="str">
        <x:v>source_and_lexicon_matched</x:v>
      </x:c>
      <x:c r="O565" s="21" t="str">
        <x:v>rule_generated_from_official_table</x:v>
      </x:c>
      <x:c r="P565" s="21" t="n">
        <x:v>10</x:v>
      </x:c>
      <x:c r="Q565" s="21" t="str">
        <x:v>https://doxa.billmounce.com/Flashcards%20%28BBG%29.pdf</x:v>
      </x:c>
      <x:c r="R565" s="16" t="str"/>
    </x:row>
    <x:row r="566" ht="28" customHeight="1">
      <x:c r="A566" s="21" t="n">
        <x:v>562</x:v>
      </x:c>
      <x:c r="B566" s="21" t="n">
        <x:f>ROUNDUP(A566/50,0)</x:f>
        <x:v>12</x:v>
      </x:c>
      <x:c r="C566" s="21" t="n">
        <x:f>MOD(A566-1,50)+1</x:f>
        <x:v>12</x:v>
      </x:c>
      <x:c r="D566" s="29" t="str">
        <x:v>κεῖμαι</x:v>
      </x:c>
      <x:c r="E566" s="29" t="str">
        <x:v>κεῖμαι</x:v>
      </x:c>
      <x:c r="F566" s="27" t="str">
        <x:v>keimai</x:v>
      </x:c>
      <x:c r="G566" s="20" t="str">
        <x:v>to lie outstretched (literally or figuratively)</x:v>
      </x:c>
      <x:c r="H566" s="20" t="str"/>
      <x:c r="I566" s="21"/>
      <x:c r="J566" s="21" t="str">
        <x:v>Mounce 頻率延伸</x:v>
      </x:c>
      <x:c r="K566" s="21" t="str">
        <x:v>G2749</x:v>
      </x:c>
      <x:c r="L566" s="21" t="str">
        <x:v>否</x:v>
      </x:c>
      <x:c r="M566" s="21" t="str"/>
      <x:c r="N566" s="21" t="str">
        <x:v>source_and_lexicon_matched</x:v>
      </x:c>
      <x:c r="O566" s="21" t="str">
        <x:v>rule_generated_from_official_table</x:v>
      </x:c>
      <x:c r="P566" s="21" t="n">
        <x:v>10</x:v>
      </x:c>
      <x:c r="Q566" s="21" t="str">
        <x:v>https://doxa.billmounce.com/Flashcards%20%28BBG%29.pdf</x:v>
      </x:c>
      <x:c r="R566" s="16" t="str"/>
    </x:row>
    <x:row r="567" ht="28" customHeight="1">
      <x:c r="A567" s="21" t="n">
        <x:v>563</x:v>
      </x:c>
      <x:c r="B567" s="21" t="n">
        <x:f>ROUNDUP(A567/50,0)</x:f>
        <x:v>12</x:v>
      </x:c>
      <x:c r="C567" s="21" t="n">
        <x:f>MOD(A567-1,50)+1</x:f>
        <x:v>13</x:v>
      </x:c>
      <x:c r="D567" s="29" t="str">
        <x:v>νέος, -α, -ον</x:v>
      </x:c>
      <x:c r="E567" s="29" t="str">
        <x:v>νέος</x:v>
      </x:c>
      <x:c r="F567" s="27" t="str">
        <x:v>neos</x:v>
      </x:c>
      <x:c r="G567" s="20" t="str">
        <x:v>"new", i.e. (of persons) youthful, or (of things) fresh; figuratively, regenerate</x:v>
      </x:c>
      <x:c r="H567" s="20" t="str"/>
      <x:c r="I567" s="21"/>
      <x:c r="J567" s="21" t="str">
        <x:v>Mounce 頻率延伸</x:v>
      </x:c>
      <x:c r="K567" s="21" t="str">
        <x:v>G3501</x:v>
      </x:c>
      <x:c r="L567" s="21" t="str">
        <x:v>否</x:v>
      </x:c>
      <x:c r="M567" s="21" t="str"/>
      <x:c r="N567" s="21" t="str">
        <x:v>source_and_lexicon_matched</x:v>
      </x:c>
      <x:c r="O567" s="21" t="str">
        <x:v>rule_generated_from_official_table</x:v>
      </x:c>
      <x:c r="P567" s="21" t="n">
        <x:v>10</x:v>
      </x:c>
      <x:c r="Q567" s="21" t="str">
        <x:v>https://doxa.billmounce.com/Flashcards%20%28BBG%29.pdf</x:v>
      </x:c>
      <x:c r="R567" s="16" t="str"/>
    </x:row>
    <x:row r="568" ht="28" customHeight="1">
      <x:c r="A568" s="21" t="n">
        <x:v>564</x:v>
      </x:c>
      <x:c r="B568" s="21" t="n">
        <x:f>ROUNDUP(A568/50,0)</x:f>
        <x:v>12</x:v>
      </x:c>
      <x:c r="C568" s="21" t="n">
        <x:f>MOD(A568-1,50)+1</x:f>
        <x:v>14</x:v>
      </x:c>
      <x:c r="D568" s="29" t="str">
        <x:v>νοῦς, νοός, ὁ</x:v>
      </x:c>
      <x:c r="E568" s="29" t="str">
        <x:v>νοῦς</x:v>
      </x:c>
      <x:c r="F568" s="27" t="str">
        <x:v>nous</x:v>
      </x:c>
      <x:c r="G568" s="20" t="str">
        <x:v>the intellect, i.e. mind (divine or human; in thought, feeling, or will); by implication, meaning</x:v>
      </x:c>
      <x:c r="H568" s="20" t="str"/>
      <x:c r="I568" s="21"/>
      <x:c r="J568" s="21" t="str">
        <x:v>Mounce 頻率延伸</x:v>
      </x:c>
      <x:c r="K568" s="21" t="str">
        <x:v>G3563</x:v>
      </x:c>
      <x:c r="L568" s="21" t="str">
        <x:v>否</x:v>
      </x:c>
      <x:c r="M568" s="21" t="str"/>
      <x:c r="N568" s="21" t="str">
        <x:v>source_and_lexicon_matched</x:v>
      </x:c>
      <x:c r="O568" s="21" t="str">
        <x:v>rule_generated_from_official_table</x:v>
      </x:c>
      <x:c r="P568" s="21" t="n">
        <x:v>10</x:v>
      </x:c>
      <x:c r="Q568" s="21" t="str">
        <x:v>https://doxa.billmounce.com/Flashcards%20%28BBG%29.pdf</x:v>
      </x:c>
      <x:c r="R568" s="16" t="str"/>
    </x:row>
    <x:row r="569" ht="28" customHeight="1">
      <x:c r="A569" s="21" t="n">
        <x:v>565</x:v>
      </x:c>
      <x:c r="B569" s="21" t="n">
        <x:f>ROUNDUP(A569/50,0)</x:f>
        <x:v>12</x:v>
      </x:c>
      <x:c r="C569" s="21" t="n">
        <x:f>MOD(A569-1,50)+1</x:f>
        <x:v>15</x:v>
      </x:c>
      <x:c r="D569" s="29" t="str">
        <x:v>παῖς, παιδός, ὁ or ἡ</x:v>
      </x:c>
      <x:c r="E569" s="29" t="str">
        <x:v>παῖς</x:v>
      </x:c>
      <x:c r="F569" s="27" t="str">
        <x:v>pais</x:v>
      </x:c>
      <x:c r="G569" s="20" t="str">
        <x:v>a boy (as often beaten with impunity), or (by analogy), a girl, and (genitive case) a child; specially, a slave or servant (especially a minister to a king; and by eminence to God)</x:v>
      </x:c>
      <x:c r="H569" s="20" t="str"/>
      <x:c r="I569" s="21"/>
      <x:c r="J569" s="21" t="str">
        <x:v>Mounce 頻率延伸</x:v>
      </x:c>
      <x:c r="K569" s="21" t="str">
        <x:v>G3816</x:v>
      </x:c>
      <x:c r="L569" s="21" t="str">
        <x:v>否</x:v>
      </x:c>
      <x:c r="M569" s="21" t="str"/>
      <x:c r="N569" s="21" t="str">
        <x:v>source_and_lexicon_matched</x:v>
      </x:c>
      <x:c r="O569" s="21" t="str">
        <x:v>rule_generated_from_official_table</x:v>
      </x:c>
      <x:c r="P569" s="21" t="n">
        <x:v>10</x:v>
      </x:c>
      <x:c r="Q569" s="21" t="str">
        <x:v>https://doxa.billmounce.com/Flashcards%20%28BBG%29.pdf</x:v>
      </x:c>
      <x:c r="R569" s="16" t="str"/>
    </x:row>
    <x:row r="570" ht="28" customHeight="1">
      <x:c r="A570" s="21" t="n">
        <x:v>566</x:v>
      </x:c>
      <x:c r="B570" s="21" t="n">
        <x:f>ROUNDUP(A570/50,0)</x:f>
        <x:v>12</x:v>
      </x:c>
      <x:c r="C570" s="21" t="n">
        <x:f>MOD(A570-1,50)+1</x:f>
        <x:v>16</x:v>
      </x:c>
      <x:c r="D570" s="29" t="str">
        <x:v>πάρειμι</x:v>
      </x:c>
      <x:c r="E570" s="29" t="str">
        <x:v>πάρειμι</x:v>
      </x:c>
      <x:c r="F570" s="27" t="str">
        <x:v>pareimi</x:v>
      </x:c>
      <x:c r="G570" s="20" t="str">
        <x:v>to be near, i.e. at hand; neuter present participle (singular) time being, or (plural) property</x:v>
      </x:c>
      <x:c r="H570" s="20" t="str"/>
      <x:c r="I570" s="21"/>
      <x:c r="J570" s="21" t="str">
        <x:v>Mounce 頻率延伸</x:v>
      </x:c>
      <x:c r="K570" s="21" t="str">
        <x:v>G3918</x:v>
      </x:c>
      <x:c r="L570" s="21" t="str">
        <x:v>否</x:v>
      </x:c>
      <x:c r="M570" s="21" t="str"/>
      <x:c r="N570" s="21" t="str">
        <x:v>source_and_lexicon_matched</x:v>
      </x:c>
      <x:c r="O570" s="21" t="str">
        <x:v>rule_generated_from_official_table</x:v>
      </x:c>
      <x:c r="P570" s="21" t="n">
        <x:v>10</x:v>
      </x:c>
      <x:c r="Q570" s="21" t="str">
        <x:v>https://doxa.billmounce.com/Flashcards%20%28BBG%29.pdf</x:v>
      </x:c>
      <x:c r="R570" s="16" t="str"/>
    </x:row>
    <x:row r="571" ht="28" customHeight="1">
      <x:c r="A571" s="21" t="n">
        <x:v>567</x:v>
      </x:c>
      <x:c r="B571" s="21" t="n">
        <x:f>ROUNDUP(A571/50,0)</x:f>
        <x:v>12</x:v>
      </x:c>
      <x:c r="C571" s="21" t="n">
        <x:f>MOD(A571-1,50)+1</x:f>
        <x:v>17</x:v>
      </x:c>
      <x:c r="D571" s="29" t="str">
        <x:v>παρουσία, -ας, ἡ</x:v>
      </x:c>
      <x:c r="E571" s="29" t="str">
        <x:v>παρουσία</x:v>
      </x:c>
      <x:c r="F571" s="27" t="str">
        <x:v>parousia</x:v>
      </x:c>
      <x:c r="G571" s="20" t="str">
        <x:v>a being near, i.e. advent (often, return; specially, of Christ to punish Jerusalem, or finally the wicked); (by implication) physically, aspect</x:v>
      </x:c>
      <x:c r="H571" s="20" t="str"/>
      <x:c r="I571" s="21"/>
      <x:c r="J571" s="21" t="str">
        <x:v>Mounce 頻率延伸</x:v>
      </x:c>
      <x:c r="K571" s="21" t="str">
        <x:v>G3952</x:v>
      </x:c>
      <x:c r="L571" s="21" t="str">
        <x:v>否</x:v>
      </x:c>
      <x:c r="M571" s="21" t="str"/>
      <x:c r="N571" s="21" t="str">
        <x:v>source_and_lexicon_matched</x:v>
      </x:c>
      <x:c r="O571" s="21" t="str">
        <x:v>rule_generated_from_official_table</x:v>
      </x:c>
      <x:c r="P571" s="21" t="n">
        <x:v>10</x:v>
      </x:c>
      <x:c r="Q571" s="21" t="str">
        <x:v>https://doxa.billmounce.com/Flashcards%20%28BBG%29.pdf</x:v>
      </x:c>
      <x:c r="R571" s="16" t="str"/>
    </x:row>
    <x:row r="572" ht="28" customHeight="1">
      <x:c r="A572" s="21" t="n">
        <x:v>568</x:v>
      </x:c>
      <x:c r="B572" s="21" t="n">
        <x:f>ROUNDUP(A572/50,0)</x:f>
        <x:v>12</x:v>
      </x:c>
      <x:c r="C572" s="21" t="n">
        <x:f>MOD(A572-1,50)+1</x:f>
        <x:v>18</x:v>
      </x:c>
      <x:c r="D572" s="29" t="str">
        <x:v>πίμπλημι</x:v>
      </x:c>
      <x:c r="E572" s="29" t="str">
        <x:v>πίμπλημι</x:v>
      </x:c>
      <x:c r="F572" s="27" t="str">
        <x:v>pimplēmi</x:v>
      </x:c>
      <x:c r="G572" s="20" t="str"/>
      <x:c r="H572" s="20" t="str"/>
      <x:c r="I572" s="21"/>
      <x:c r="J572" s="21" t="str">
        <x:v>Mounce 頻率延伸</x:v>
      </x:c>
      <x:c r="K572" s="21" t="str"/>
      <x:c r="L572" s="21" t="str">
        <x:v>否</x:v>
      </x:c>
      <x:c r="M572" s="21" t="str"/>
      <x:c r="N572" s="21" t="str">
        <x:v>source_verified_lexicon_pending</x:v>
      </x:c>
      <x:c r="O572" s="21" t="str">
        <x:v>rule_generated_from_official_table</x:v>
      </x:c>
      <x:c r="P572" s="21" t="n">
        <x:v>10</x:v>
      </x:c>
      <x:c r="Q572" s="21" t="str">
        <x:v>https://doxa.billmounce.com/Flashcards%20%28BBG%29.pdf</x:v>
      </x:c>
      <x:c r="R572" s="16" t="str"/>
    </x:row>
    <x:row r="573" ht="28" customHeight="1">
      <x:c r="A573" s="21" t="n">
        <x:v>569</x:v>
      </x:c>
      <x:c r="B573" s="21" t="n">
        <x:f>ROUNDUP(A573/50,0)</x:f>
        <x:v>12</x:v>
      </x:c>
      <x:c r="C573" s="21" t="n">
        <x:f>MOD(A573-1,50)+1</x:f>
        <x:v>19</x:v>
      </x:c>
      <x:c r="D573" s="29" t="str">
        <x:v>προσέχω</x:v>
      </x:c>
      <x:c r="E573" s="29" t="str">
        <x:v>προσέχω</x:v>
      </x:c>
      <x:c r="F573" s="27" t="str">
        <x:v>prosechō</x:v>
      </x:c>
      <x:c r="G573" s="20" t="str">
        <x:v>(figuratively) to hold the mind (3563 implied) towards, i.e. pay attention to, be cautious about, apply oneself to, adhere to</x:v>
      </x:c>
      <x:c r="H573" s="20" t="str"/>
      <x:c r="I573" s="21"/>
      <x:c r="J573" s="21" t="str">
        <x:v>Mounce 頻率延伸</x:v>
      </x:c>
      <x:c r="K573" s="21" t="str">
        <x:v>G4337</x:v>
      </x:c>
      <x:c r="L573" s="21" t="str">
        <x:v>否</x:v>
      </x:c>
      <x:c r="M573" s="21" t="str"/>
      <x:c r="N573" s="21" t="str">
        <x:v>source_and_lexicon_matched</x:v>
      </x:c>
      <x:c r="O573" s="21" t="str">
        <x:v>rule_generated_from_official_table</x:v>
      </x:c>
      <x:c r="P573" s="21" t="n">
        <x:v>10</x:v>
      </x:c>
      <x:c r="Q573" s="21" t="str">
        <x:v>https://doxa.billmounce.com/Flashcards%20%28BBG%29.pdf</x:v>
      </x:c>
      <x:c r="R573" s="16" t="str"/>
    </x:row>
    <x:row r="574" ht="28" customHeight="1">
      <x:c r="A574" s="21" t="n">
        <x:v>570</x:v>
      </x:c>
      <x:c r="B574" s="21" t="n">
        <x:f>ROUNDUP(A574/50,0)</x:f>
        <x:v>12</x:v>
      </x:c>
      <x:c r="C574" s="21" t="n">
        <x:f>MOD(A574-1,50)+1</x:f>
        <x:v>20</x:v>
      </x:c>
      <x:c r="D574" s="29" t="str">
        <x:v>Τιμόθεος, -ου, ὁ</x:v>
      </x:c>
      <x:c r="E574" s="29" t="str">
        <x:v>Τιμόθεος</x:v>
      </x:c>
      <x:c r="F574" s="27" t="str">
        <x:v>Timotheos</x:v>
      </x:c>
      <x:c r="G574" s="20" t="str">
        <x:v>dear to God; Timotheus, a Christian</x:v>
      </x:c>
      <x:c r="H574" s="20" t="str"/>
      <x:c r="I574" s="21"/>
      <x:c r="J574" s="21" t="str">
        <x:v>Mounce 頻率延伸</x:v>
      </x:c>
      <x:c r="K574" s="21" t="str">
        <x:v>G5095</x:v>
      </x:c>
      <x:c r="L574" s="21" t="str">
        <x:v>是</x:v>
      </x:c>
      <x:c r="M574" s="21" t="str">
        <x:v>人名</x:v>
      </x:c>
      <x:c r="N574" s="21" t="str">
        <x:v>source_and_lexicon_matched</x:v>
      </x:c>
      <x:c r="O574" s="21" t="str">
        <x:v>rule_generated_from_official_table</x:v>
      </x:c>
      <x:c r="P574" s="21" t="n">
        <x:v>10</x:v>
      </x:c>
      <x:c r="Q574" s="21" t="str">
        <x:v>https://doxa.billmounce.com/Flashcards%20%28BBG%29.pdf</x:v>
      </x:c>
      <x:c r="R574" s="16" t="str"/>
    </x:row>
    <x:row r="575" ht="28" customHeight="1">
      <x:c r="A575" s="21" t="n">
        <x:v>571</x:v>
      </x:c>
      <x:c r="B575" s="21" t="n">
        <x:f>ROUNDUP(A575/50,0)</x:f>
        <x:v>12</x:v>
      </x:c>
      <x:c r="C575" s="21" t="n">
        <x:f>MOD(A575-1,50)+1</x:f>
        <x:v>21</x:v>
      </x:c>
      <x:c r="D575" s="29" t="str">
        <x:v>ἀμπελών, -ῶνος, ὁ</x:v>
      </x:c>
      <x:c r="E575" s="29" t="str">
        <x:v>ἀμπελών</x:v>
      </x:c>
      <x:c r="F575" s="27" t="str">
        <x:v>ampelōn</x:v>
      </x:c>
      <x:c r="G575" s="20" t="str">
        <x:v>a vineyard</x:v>
      </x:c>
      <x:c r="H575" s="20" t="str"/>
      <x:c r="I575" s="21"/>
      <x:c r="J575" s="21" t="str">
        <x:v>Mounce 頻率延伸</x:v>
      </x:c>
      <x:c r="K575" s="21" t="str">
        <x:v>G290</x:v>
      </x:c>
      <x:c r="L575" s="21" t="str">
        <x:v>否</x:v>
      </x:c>
      <x:c r="M575" s="21" t="str"/>
      <x:c r="N575" s="21" t="str">
        <x:v>source_and_lexicon_matched</x:v>
      </x:c>
      <x:c r="O575" s="21" t="str">
        <x:v>rule_generated_from_official_table</x:v>
      </x:c>
      <x:c r="P575" s="21" t="n">
        <x:v>10</x:v>
      </x:c>
      <x:c r="Q575" s="21" t="str">
        <x:v>https://doxa.billmounce.com/Flashcards%20%28BBG%29.pdf</x:v>
      </x:c>
      <x:c r="R575" s="16" t="str"/>
    </x:row>
    <x:row r="576" ht="28" customHeight="1">
      <x:c r="A576" s="21" t="n">
        <x:v>572</x:v>
      </x:c>
      <x:c r="B576" s="21" t="n">
        <x:f>ROUNDUP(A576/50,0)</x:f>
        <x:v>12</x:v>
      </x:c>
      <x:c r="C576" s="21" t="n">
        <x:f>MOD(A576-1,50)+1</x:f>
        <x:v>22</x:v>
      </x:c>
      <x:c r="D576" s="29" t="str">
        <x:v>ἀνάγω</x:v>
      </x:c>
      <x:c r="E576" s="29" t="str">
        <x:v>ἀνάγω</x:v>
      </x:c>
      <x:c r="F576" s="27" t="str">
        <x:v>anagō</x:v>
      </x:c>
      <x:c r="G576" s="20" t="str">
        <x:v>to lead up; by extension to bring out; specially, to sail away</x:v>
      </x:c>
      <x:c r="H576" s="20" t="str"/>
      <x:c r="I576" s="21"/>
      <x:c r="J576" s="21" t="str">
        <x:v>Mounce 頻率延伸</x:v>
      </x:c>
      <x:c r="K576" s="21" t="str">
        <x:v>G321</x:v>
      </x:c>
      <x:c r="L576" s="21" t="str">
        <x:v>否</x:v>
      </x:c>
      <x:c r="M576" s="21" t="str"/>
      <x:c r="N576" s="21" t="str">
        <x:v>source_and_lexicon_matched</x:v>
      </x:c>
      <x:c r="O576" s="21" t="str">
        <x:v>rule_generated_from_official_table</x:v>
      </x:c>
      <x:c r="P576" s="21" t="n">
        <x:v>10</x:v>
      </x:c>
      <x:c r="Q576" s="21" t="str">
        <x:v>https://doxa.billmounce.com/Flashcards%20%28BBG%29.pdf</x:v>
      </x:c>
      <x:c r="R576" s="16" t="str"/>
    </x:row>
    <x:row r="577" ht="28" customHeight="1">
      <x:c r="A577" s="21" t="n">
        <x:v>573</x:v>
      </x:c>
      <x:c r="B577" s="21" t="n">
        <x:f>ROUNDUP(A577/50,0)</x:f>
        <x:v>12</x:v>
      </x:c>
      <x:c r="C577" s="21" t="n">
        <x:f>MOD(A577-1,50)+1</x:f>
        <x:v>23</x:v>
      </x:c>
      <x:c r="D577" s="29" t="str">
        <x:v>ἄπιστος, -ον</x:v>
      </x:c>
      <x:c r="E577" s="29" t="str">
        <x:v>ἄπιστος</x:v>
      </x:c>
      <x:c r="F577" s="27" t="str">
        <x:v>apistos</x:v>
      </x:c>
      <x:c r="G577" s="20" t="str">
        <x:v>(actively) disbelieving, i.e. without Christian faith (specially, a heathen); (passively) untrustworthy (person), or incredible (thing)</x:v>
      </x:c>
      <x:c r="H577" s="20" t="str"/>
      <x:c r="I577" s="21"/>
      <x:c r="J577" s="21" t="str">
        <x:v>Mounce 頻率延伸</x:v>
      </x:c>
      <x:c r="K577" s="21" t="str">
        <x:v>G571</x:v>
      </x:c>
      <x:c r="L577" s="21" t="str">
        <x:v>否</x:v>
      </x:c>
      <x:c r="M577" s="21" t="str"/>
      <x:c r="N577" s="21" t="str">
        <x:v>source_and_lexicon_matched</x:v>
      </x:c>
      <x:c r="O577" s="21" t="str">
        <x:v>rule_generated_from_official_table</x:v>
      </x:c>
      <x:c r="P577" s="21" t="n">
        <x:v>10</x:v>
      </x:c>
      <x:c r="Q577" s="21" t="str">
        <x:v>https://doxa.billmounce.com/Flashcards%20%28BBG%29.pdf</x:v>
      </x:c>
      <x:c r="R577" s="16" t="str"/>
    </x:row>
    <x:row r="578" ht="28" customHeight="1">
      <x:c r="A578" s="21" t="n">
        <x:v>574</x:v>
      </x:c>
      <x:c r="B578" s="21" t="n">
        <x:f>ROUNDUP(A578/50,0)</x:f>
        <x:v>12</x:v>
      </x:c>
      <x:c r="C578" s="21" t="n">
        <x:f>MOD(A578-1,50)+1</x:f>
        <x:v>24</x:v>
      </x:c>
      <x:c r="D578" s="29" t="str">
        <x:v>διότι</x:v>
      </x:c>
      <x:c r="E578" s="29" t="str">
        <x:v>διότι</x:v>
      </x:c>
      <x:c r="F578" s="27" t="str">
        <x:v>dioti</x:v>
      </x:c>
      <x:c r="G578" s="20" t="str">
        <x:v>on the very account that, or inasmuch as</x:v>
      </x:c>
      <x:c r="H578" s="20" t="str"/>
      <x:c r="I578" s="21"/>
      <x:c r="J578" s="21" t="str">
        <x:v>Mounce 頻率延伸</x:v>
      </x:c>
      <x:c r="K578" s="21" t="str">
        <x:v>G1360</x:v>
      </x:c>
      <x:c r="L578" s="21" t="str">
        <x:v>否</x:v>
      </x:c>
      <x:c r="M578" s="21" t="str"/>
      <x:c r="N578" s="21" t="str">
        <x:v>source_and_lexicon_matched</x:v>
      </x:c>
      <x:c r="O578" s="21" t="str">
        <x:v>rule_generated_from_official_table</x:v>
      </x:c>
      <x:c r="P578" s="21" t="n">
        <x:v>10</x:v>
      </x:c>
      <x:c r="Q578" s="21" t="str">
        <x:v>https://doxa.billmounce.com/Flashcards%20%28BBG%29.pdf</x:v>
      </x:c>
      <x:c r="R578" s="16" t="str"/>
    </x:row>
    <x:row r="579" ht="28" customHeight="1">
      <x:c r="A579" s="21" t="n">
        <x:v>575</x:v>
      </x:c>
      <x:c r="B579" s="21" t="n">
        <x:f>ROUNDUP(A579/50,0)</x:f>
        <x:v>12</x:v>
      </x:c>
      <x:c r="C579" s="21" t="n">
        <x:f>MOD(A579-1,50)+1</x:f>
        <x:v>25</x:v>
      </x:c>
      <x:c r="D579" s="29" t="str">
        <x:v>εἰκών, -όνος, ἡ</x:v>
      </x:c>
      <x:c r="E579" s="29" t="str">
        <x:v>εἰκών</x:v>
      </x:c>
      <x:c r="F579" s="27" t="str">
        <x:v>eikōn</x:v>
      </x:c>
      <x:c r="G579" s="20" t="str">
        <x:v>a likeness, i.e. (literally) statue, profile, or (figuratively) representation, resemblance</x:v>
      </x:c>
      <x:c r="H579" s="20" t="str"/>
      <x:c r="I579" s="21"/>
      <x:c r="J579" s="21" t="str">
        <x:v>Mounce 頻率延伸</x:v>
      </x:c>
      <x:c r="K579" s="21" t="str">
        <x:v>G1504</x:v>
      </x:c>
      <x:c r="L579" s="21" t="str">
        <x:v>否</x:v>
      </x:c>
      <x:c r="M579" s="21" t="str"/>
      <x:c r="N579" s="21" t="str">
        <x:v>source_and_lexicon_matched</x:v>
      </x:c>
      <x:c r="O579" s="21" t="str">
        <x:v>rule_generated_from_official_table</x:v>
      </x:c>
      <x:c r="P579" s="21" t="n">
        <x:v>10</x:v>
      </x:c>
      <x:c r="Q579" s="21" t="str">
        <x:v>https://doxa.billmounce.com/Flashcards%20%28BBG%29.pdf</x:v>
      </x:c>
      <x:c r="R579" s="16" t="str"/>
    </x:row>
    <x:row r="580" ht="28" customHeight="1">
      <x:c r="A580" s="21" t="n">
        <x:v>576</x:v>
      </x:c>
      <x:c r="B580" s="21" t="n">
        <x:f>ROUNDUP(A580/50,0)</x:f>
        <x:v>12</x:v>
      </x:c>
      <x:c r="C580" s="21" t="n">
        <x:f>MOD(A580-1,50)+1</x:f>
        <x:v>26</x:v>
      </x:c>
      <x:c r="D580" s="29" t="str">
        <x:v>ἐλεύθερος, -α, -ον</x:v>
      </x:c>
      <x:c r="E580" s="29" t="str">
        <x:v>ἐλεύθερος</x:v>
      </x:c>
      <x:c r="F580" s="27" t="str">
        <x:v>eleutheros</x:v>
      </x:c>
      <x:c r="G580" s="20" t="str">
        <x:v>unrestrained (to go at pleasure), i.e. (as a citizen) not a slave (whether freeborn or manumitted), or (genitive case) exempt (from obligation or liability)</x:v>
      </x:c>
      <x:c r="H580" s="20" t="str"/>
      <x:c r="I580" s="21"/>
      <x:c r="J580" s="21" t="str">
        <x:v>Mounce 頻率延伸</x:v>
      </x:c>
      <x:c r="K580" s="21" t="str">
        <x:v>G1658</x:v>
      </x:c>
      <x:c r="L580" s="21" t="str">
        <x:v>否</x:v>
      </x:c>
      <x:c r="M580" s="21" t="str"/>
      <x:c r="N580" s="21" t="str">
        <x:v>source_and_lexicon_matched</x:v>
      </x:c>
      <x:c r="O580" s="21" t="str">
        <x:v>rule_generated_from_official_table</x:v>
      </x:c>
      <x:c r="P580" s="21" t="n">
        <x:v>10</x:v>
      </x:c>
      <x:c r="Q580" s="21" t="str">
        <x:v>https://doxa.billmounce.com/Flashcards%20%28BBG%29.pdf</x:v>
      </x:c>
      <x:c r="R580" s="16" t="str"/>
    </x:row>
    <x:row r="581" ht="28" customHeight="1">
      <x:c r="A581" s="21" t="n">
        <x:v>577</x:v>
      </x:c>
      <x:c r="B581" s="21" t="n">
        <x:f>ROUNDUP(A581/50,0)</x:f>
        <x:v>12</x:v>
      </x:c>
      <x:c r="C581" s="21" t="n">
        <x:f>MOD(A581-1,50)+1</x:f>
        <x:v>27</x:v>
      </x:c>
      <x:c r="D581" s="29" t="str">
        <x:v>ζῷον, -ου, τό</x:v>
      </x:c>
      <x:c r="E581" s="29" t="str">
        <x:v>ζῷον</x:v>
      </x:c>
      <x:c r="F581" s="27" t="str">
        <x:v>zōion</x:v>
      </x:c>
      <x:c r="G581" s="20" t="str"/>
      <x:c r="H581" s="20" t="str"/>
      <x:c r="I581" s="21"/>
      <x:c r="J581" s="21" t="str">
        <x:v>Mounce 頻率延伸</x:v>
      </x:c>
      <x:c r="K581" s="21" t="str"/>
      <x:c r="L581" s="21" t="str">
        <x:v>否</x:v>
      </x:c>
      <x:c r="M581" s="21" t="str"/>
      <x:c r="N581" s="21" t="str">
        <x:v>source_verified_lexicon_pending</x:v>
      </x:c>
      <x:c r="O581" s="21" t="str">
        <x:v>rule_generated_from_official_table</x:v>
      </x:c>
      <x:c r="P581" s="21" t="n">
        <x:v>10</x:v>
      </x:c>
      <x:c r="Q581" s="21" t="str">
        <x:v>https://doxa.billmounce.com/Flashcards%20%28BBG%29.pdf</x:v>
      </x:c>
      <x:c r="R581" s="16" t="str"/>
    </x:row>
    <x:row r="582" ht="28" customHeight="1">
      <x:c r="A582" s="21" t="n">
        <x:v>578</x:v>
      </x:c>
      <x:c r="B582" s="21" t="n">
        <x:f>ROUNDUP(A582/50,0)</x:f>
        <x:v>12</x:v>
      </x:c>
      <x:c r="C582" s="21" t="n">
        <x:f>MOD(A582-1,50)+1</x:f>
        <x:v>28</x:v>
      </x:c>
      <x:c r="D582" s="29" t="str">
        <x:v>θυσιαστήριον, -ου, τό</x:v>
      </x:c>
      <x:c r="E582" s="29" t="str">
        <x:v>θυσιαστήριον</x:v>
      </x:c>
      <x:c r="F582" s="27" t="str">
        <x:v>thusiastērion</x:v>
      </x:c>
      <x:c r="G582" s="20" t="str">
        <x:v>a place of sacrifice, i.e. an altar (special or genitive case, literal or figurative)</x:v>
      </x:c>
      <x:c r="H582" s="20" t="str"/>
      <x:c r="I582" s="21"/>
      <x:c r="J582" s="21" t="str">
        <x:v>Mounce 頻率延伸</x:v>
      </x:c>
      <x:c r="K582" s="21" t="str">
        <x:v>G2379</x:v>
      </x:c>
      <x:c r="L582" s="21" t="str">
        <x:v>否</x:v>
      </x:c>
      <x:c r="M582" s="21" t="str"/>
      <x:c r="N582" s="21" t="str">
        <x:v>source_and_lexicon_matched</x:v>
      </x:c>
      <x:c r="O582" s="21" t="str">
        <x:v>rule_generated_from_official_table</x:v>
      </x:c>
      <x:c r="P582" s="21" t="n">
        <x:v>10</x:v>
      </x:c>
      <x:c r="Q582" s="21" t="str">
        <x:v>https://doxa.billmounce.com/Flashcards%20%28BBG%29.pdf</x:v>
      </x:c>
      <x:c r="R582" s="16" t="str"/>
    </x:row>
    <x:row r="583" ht="28" customHeight="1">
      <x:c r="A583" s="21" t="n">
        <x:v>579</x:v>
      </x:c>
      <x:c r="B583" s="21" t="n">
        <x:f>ROUNDUP(A583/50,0)</x:f>
        <x:v>12</x:v>
      </x:c>
      <x:c r="C583" s="21" t="n">
        <x:f>MOD(A583-1,50)+1</x:f>
        <x:v>29</x:v>
      </x:c>
      <x:c r="D583" s="29" t="str">
        <x:v>κατηγορέω</x:v>
      </x:c>
      <x:c r="E583" s="29" t="str">
        <x:v>κατηγορέω</x:v>
      </x:c>
      <x:c r="F583" s="27" t="str">
        <x:v>katēgoreō</x:v>
      </x:c>
      <x:c r="G583" s="20" t="str">
        <x:v>to be a plaintiff, i.e. to charge with some offence</x:v>
      </x:c>
      <x:c r="H583" s="20" t="str"/>
      <x:c r="I583" s="21"/>
      <x:c r="J583" s="21" t="str">
        <x:v>Mounce 頻率延伸</x:v>
      </x:c>
      <x:c r="K583" s="21" t="str">
        <x:v>G2723</x:v>
      </x:c>
      <x:c r="L583" s="21" t="str">
        <x:v>否</x:v>
      </x:c>
      <x:c r="M583" s="21" t="str"/>
      <x:c r="N583" s="21" t="str">
        <x:v>source_and_lexicon_matched</x:v>
      </x:c>
      <x:c r="O583" s="21" t="str">
        <x:v>rule_generated_from_official_table</x:v>
      </x:c>
      <x:c r="P583" s="21" t="n">
        <x:v>10</x:v>
      </x:c>
      <x:c r="Q583" s="21" t="str">
        <x:v>https://doxa.billmounce.com/Flashcards%20%28BBG%29.pdf</x:v>
      </x:c>
      <x:c r="R583" s="16" t="str"/>
    </x:row>
    <x:row r="584" ht="28" customHeight="1">
      <x:c r="A584" s="21" t="n">
        <x:v>580</x:v>
      </x:c>
      <x:c r="B584" s="21" t="n">
        <x:f>ROUNDUP(A584/50,0)</x:f>
        <x:v>12</x:v>
      </x:c>
      <x:c r="C584" s="21" t="n">
        <x:f>MOD(A584-1,50)+1</x:f>
        <x:v>30</x:v>
      </x:c>
      <x:c r="D584" s="29" t="str">
        <x:v>κοπιάω</x:v>
      </x:c>
      <x:c r="E584" s="29" t="str">
        <x:v>κοπιάω</x:v>
      </x:c>
      <x:c r="F584" s="27" t="str">
        <x:v>kopiaō</x:v>
      </x:c>
      <x:c r="G584" s="20" t="str">
        <x:v>to feel fatigue; by implication, to work hard</x:v>
      </x:c>
      <x:c r="H584" s="20" t="str"/>
      <x:c r="I584" s="21"/>
      <x:c r="J584" s="21" t="str">
        <x:v>Mounce 頻率延伸</x:v>
      </x:c>
      <x:c r="K584" s="21" t="str">
        <x:v>G2872</x:v>
      </x:c>
      <x:c r="L584" s="21" t="str">
        <x:v>否</x:v>
      </x:c>
      <x:c r="M584" s="21" t="str"/>
      <x:c r="N584" s="21" t="str">
        <x:v>source_and_lexicon_matched</x:v>
      </x:c>
      <x:c r="O584" s="21" t="str">
        <x:v>rule_generated_from_official_table</x:v>
      </x:c>
      <x:c r="P584" s="21" t="n">
        <x:v>10</x:v>
      </x:c>
      <x:c r="Q584" s="21" t="str">
        <x:v>https://doxa.billmounce.com/Flashcards%20%28BBG%29.pdf</x:v>
      </x:c>
      <x:c r="R584" s="16" t="str"/>
    </x:row>
    <x:row r="585" ht="28" customHeight="1">
      <x:c r="A585" s="21" t="n">
        <x:v>581</x:v>
      </x:c>
      <x:c r="B585" s="21" t="n">
        <x:f>ROUNDUP(A585/50,0)</x:f>
        <x:v>12</x:v>
      </x:c>
      <x:c r="C585" s="21" t="n">
        <x:f>MOD(A585-1,50)+1</x:f>
        <x:v>31</x:v>
      </x:c>
      <x:c r="D585" s="29" t="str">
        <x:v>κωλύω</x:v>
      </x:c>
      <x:c r="E585" s="29" t="str">
        <x:v>κωλύω</x:v>
      </x:c>
      <x:c r="F585" s="27" t="str">
        <x:v>kōluō</x:v>
      </x:c>
      <x:c r="G585" s="20" t="str">
        <x:v>to estop, i.e. prevent (by word or act)</x:v>
      </x:c>
      <x:c r="H585" s="20" t="str"/>
      <x:c r="I585" s="21"/>
      <x:c r="J585" s="21" t="str">
        <x:v>Mounce 頻率延伸</x:v>
      </x:c>
      <x:c r="K585" s="21" t="str">
        <x:v>G2967</x:v>
      </x:c>
      <x:c r="L585" s="21" t="str">
        <x:v>否</x:v>
      </x:c>
      <x:c r="M585" s="21" t="str"/>
      <x:c r="N585" s="21" t="str">
        <x:v>source_and_lexicon_matched</x:v>
      </x:c>
      <x:c r="O585" s="21" t="str">
        <x:v>rule_generated_from_official_table</x:v>
      </x:c>
      <x:c r="P585" s="21" t="n">
        <x:v>10</x:v>
      </x:c>
      <x:c r="Q585" s="21" t="str">
        <x:v>https://doxa.billmounce.com/Flashcards%20%28BBG%29.pdf</x:v>
      </x:c>
      <x:c r="R585" s="16" t="str"/>
    </x:row>
    <x:row r="586" ht="28" customHeight="1">
      <x:c r="A586" s="21" t="n">
        <x:v>582</x:v>
      </x:c>
      <x:c r="B586" s="21" t="n">
        <x:f>ROUNDUP(A586/50,0)</x:f>
        <x:v>12</x:v>
      </x:c>
      <x:c r="C586" s="21" t="n">
        <x:f>MOD(A586-1,50)+1</x:f>
        <x:v>32</x:v>
      </x:c>
      <x:c r="D586" s="29" t="str">
        <x:v>μιμνῄσκομαι</x:v>
      </x:c>
      <x:c r="E586" s="29" t="str">
        <x:v>μιμνῄσκομαι</x:v>
      </x:c>
      <x:c r="F586" s="27" t="str">
        <x:v>mimnēiskomai</x:v>
      </x:c>
      <x:c r="G586" s="20" t="str"/>
      <x:c r="H586" s="20" t="str"/>
      <x:c r="I586" s="21"/>
      <x:c r="J586" s="21" t="str">
        <x:v>Mounce 頻率延伸</x:v>
      </x:c>
      <x:c r="K586" s="21" t="str"/>
      <x:c r="L586" s="21" t="str">
        <x:v>否</x:v>
      </x:c>
      <x:c r="M586" s="21" t="str"/>
      <x:c r="N586" s="21" t="str">
        <x:v>source_verified_lexicon_pending</x:v>
      </x:c>
      <x:c r="O586" s="21" t="str">
        <x:v>rule_generated_from_official_table</x:v>
      </x:c>
      <x:c r="P586" s="21" t="n">
        <x:v>10</x:v>
      </x:c>
      <x:c r="Q586" s="21" t="str">
        <x:v>https://doxa.billmounce.com/Flashcards%20%28BBG%29.pdf</x:v>
      </x:c>
      <x:c r="R586" s="16" t="str"/>
    </x:row>
    <x:row r="587" ht="28" customHeight="1">
      <x:c r="A587" s="21" t="n">
        <x:v>583</x:v>
      </x:c>
      <x:c r="B587" s="21" t="n">
        <x:f>ROUNDUP(A587/50,0)</x:f>
        <x:v>12</x:v>
      </x:c>
      <x:c r="C587" s="21" t="n">
        <x:f>MOD(A587-1,50)+1</x:f>
        <x:v>33</x:v>
      </x:c>
      <x:c r="D587" s="29" t="str">
        <x:v>πεινάω</x:v>
      </x:c>
      <x:c r="E587" s="29" t="str">
        <x:v>πεινάω</x:v>
      </x:c>
      <x:c r="F587" s="27" t="str">
        <x:v>peinaō</x:v>
      </x:c>
      <x:c r="G587" s="20" t="str">
        <x:v>"pine"); to famish (absolutely or comparatively); figuratively, to crave</x:v>
      </x:c>
      <x:c r="H587" s="20" t="str"/>
      <x:c r="I587" s="21"/>
      <x:c r="J587" s="21" t="str">
        <x:v>Mounce 頻率延伸</x:v>
      </x:c>
      <x:c r="K587" s="21" t="str">
        <x:v>G3983</x:v>
      </x:c>
      <x:c r="L587" s="21" t="str">
        <x:v>否</x:v>
      </x:c>
      <x:c r="M587" s="21" t="str"/>
      <x:c r="N587" s="21" t="str">
        <x:v>source_and_lexicon_matched</x:v>
      </x:c>
      <x:c r="O587" s="21" t="str">
        <x:v>rule_generated_from_official_table</x:v>
      </x:c>
      <x:c r="P587" s="21" t="n">
        <x:v>10</x:v>
      </x:c>
      <x:c r="Q587" s="21" t="str">
        <x:v>https://doxa.billmounce.com/Flashcards%20%28BBG%29.pdf</x:v>
      </x:c>
      <x:c r="R587" s="16" t="str"/>
    </x:row>
    <x:row r="588" ht="28" customHeight="1">
      <x:c r="A588" s="21" t="n">
        <x:v>584</x:v>
      </x:c>
      <x:c r="B588" s="21" t="n">
        <x:f>ROUNDUP(A588/50,0)</x:f>
        <x:v>12</x:v>
      </x:c>
      <x:c r="C588" s="21" t="n">
        <x:f>MOD(A588-1,50)+1</x:f>
        <x:v>34</x:v>
      </x:c>
      <x:c r="D588" s="29" t="str">
        <x:v>πέραν</x:v>
      </x:c>
      <x:c r="E588" s="29" t="str">
        <x:v>πέραν</x:v>
      </x:c>
      <x:c r="F588" s="27" t="str">
        <x:v>peran</x:v>
      </x:c>
      <x:c r="G588" s="20" t="str">
        <x:v>through (as adverb or preposition), i.e. across</x:v>
      </x:c>
      <x:c r="H588" s="20" t="str"/>
      <x:c r="I588" s="21"/>
      <x:c r="J588" s="21" t="str">
        <x:v>Mounce 頻率延伸</x:v>
      </x:c>
      <x:c r="K588" s="21" t="str">
        <x:v>G4008</x:v>
      </x:c>
      <x:c r="L588" s="21" t="str">
        <x:v>否</x:v>
      </x:c>
      <x:c r="M588" s="21" t="str"/>
      <x:c r="N588" s="21" t="str">
        <x:v>source_and_lexicon_matched</x:v>
      </x:c>
      <x:c r="O588" s="21" t="str">
        <x:v>rule_generated_from_official_table</x:v>
      </x:c>
      <x:c r="P588" s="21" t="n">
        <x:v>10</x:v>
      </x:c>
      <x:c r="Q588" s="21" t="str">
        <x:v>https://doxa.billmounce.com/Flashcards%20%28BBG%29.pdf</x:v>
      </x:c>
      <x:c r="R588" s="16" t="str"/>
    </x:row>
    <x:row r="589" ht="28" customHeight="1">
      <x:c r="A589" s="21" t="n">
        <x:v>585</x:v>
      </x:c>
      <x:c r="B589" s="21" t="n">
        <x:f>ROUNDUP(A589/50,0)</x:f>
        <x:v>12</x:v>
      </x:c>
      <x:c r="C589" s="21" t="n">
        <x:f>MOD(A589-1,50)+1</x:f>
        <x:v>35</x:v>
      </x:c>
      <x:c r="D589" s="29" t="str">
        <x:v>περιβάλλω</x:v>
      </x:c>
      <x:c r="E589" s="29" t="str">
        <x:v>περιβάλλω</x:v>
      </x:c>
      <x:c r="F589" s="27" t="str">
        <x:v>periballō</x:v>
      </x:c>
      <x:c r="G589" s="20" t="str">
        <x:v>to throw all around, i.e. invest (with a palisade or with clothing)</x:v>
      </x:c>
      <x:c r="H589" s="20" t="str"/>
      <x:c r="I589" s="21"/>
      <x:c r="J589" s="21" t="str">
        <x:v>Mounce 頻率延伸</x:v>
      </x:c>
      <x:c r="K589" s="21" t="str">
        <x:v>G4016</x:v>
      </x:c>
      <x:c r="L589" s="21" t="str">
        <x:v>否</x:v>
      </x:c>
      <x:c r="M589" s="21" t="str"/>
      <x:c r="N589" s="21" t="str">
        <x:v>source_and_lexicon_matched</x:v>
      </x:c>
      <x:c r="O589" s="21" t="str">
        <x:v>rule_generated_from_official_table</x:v>
      </x:c>
      <x:c r="P589" s="21" t="n">
        <x:v>10</x:v>
      </x:c>
      <x:c r="Q589" s="21" t="str">
        <x:v>https://doxa.billmounce.com/Flashcards%20%28BBG%29.pdf</x:v>
      </x:c>
      <x:c r="R589" s="16" t="str"/>
    </x:row>
    <x:row r="590" ht="28" customHeight="1">
      <x:c r="A590" s="21" t="n">
        <x:v>586</x:v>
      </x:c>
      <x:c r="B590" s="21" t="n">
        <x:f>ROUNDUP(A590/50,0)</x:f>
        <x:v>12</x:v>
      </x:c>
      <x:c r="C590" s="21" t="n">
        <x:f>MOD(A590-1,50)+1</x:f>
        <x:v>36</x:v>
      </x:c>
      <x:c r="D590" s="29" t="str">
        <x:v>σκεῦος, -ους, τό</x:v>
      </x:c>
      <x:c r="E590" s="29" t="str">
        <x:v>σκεῦος</x:v>
      </x:c>
      <x:c r="F590" s="27" t="str">
        <x:v>skeuos</x:v>
      </x:c>
      <x:c r="G590" s="20" t="str">
        <x:v>a vessel, implement, equipment or apparatus (literally or figuratively [specially, a wife as contributing to the usefulness of the husband])</x:v>
      </x:c>
      <x:c r="H590" s="20" t="str"/>
      <x:c r="I590" s="21"/>
      <x:c r="J590" s="21" t="str">
        <x:v>Mounce 頻率延伸</x:v>
      </x:c>
      <x:c r="K590" s="21" t="str">
        <x:v>G4632</x:v>
      </x:c>
      <x:c r="L590" s="21" t="str">
        <x:v>否</x:v>
      </x:c>
      <x:c r="M590" s="21" t="str"/>
      <x:c r="N590" s="21" t="str">
        <x:v>source_and_lexicon_matched</x:v>
      </x:c>
      <x:c r="O590" s="21" t="str">
        <x:v>rule_generated_from_official_table</x:v>
      </x:c>
      <x:c r="P590" s="21" t="n">
        <x:v>10</x:v>
      </x:c>
      <x:c r="Q590" s="21" t="str">
        <x:v>https://doxa.billmounce.com/Flashcards%20%28BBG%29.pdf</x:v>
      </x:c>
      <x:c r="R590" s="16" t="str"/>
    </x:row>
    <x:row r="591" ht="28" customHeight="1">
      <x:c r="A591" s="21" t="n">
        <x:v>587</x:v>
      </x:c>
      <x:c r="B591" s="21" t="n">
        <x:f>ROUNDUP(A591/50,0)</x:f>
        <x:v>12</x:v>
      </x:c>
      <x:c r="C591" s="21" t="n">
        <x:f>MOD(A591-1,50)+1</x:f>
        <x:v>37</x:v>
      </x:c>
      <x:c r="D591" s="29" t="str">
        <x:v>τελειόω</x:v>
      </x:c>
      <x:c r="E591" s="29" t="str">
        <x:v>τελειόω</x:v>
      </x:c>
      <x:c r="F591" s="27" t="str">
        <x:v>teleioō</x:v>
      </x:c>
      <x:c r="G591" s="20" t="str">
        <x:v>to complete, i.e. (literally) accomplish, or (figuratively) consummate (in character)</x:v>
      </x:c>
      <x:c r="H591" s="20" t="str"/>
      <x:c r="I591" s="21"/>
      <x:c r="J591" s="21" t="str">
        <x:v>Mounce 頻率延伸</x:v>
      </x:c>
      <x:c r="K591" s="21" t="str">
        <x:v>G5048</x:v>
      </x:c>
      <x:c r="L591" s="21" t="str">
        <x:v>否</x:v>
      </x:c>
      <x:c r="M591" s="21" t="str"/>
      <x:c r="N591" s="21" t="str">
        <x:v>source_and_lexicon_matched</x:v>
      </x:c>
      <x:c r="O591" s="21" t="str">
        <x:v>rule_generated_from_official_table</x:v>
      </x:c>
      <x:c r="P591" s="21" t="n">
        <x:v>10</x:v>
      </x:c>
      <x:c r="Q591" s="21" t="str">
        <x:v>https://doxa.billmounce.com/Flashcards%20%28BBG%29.pdf</x:v>
      </x:c>
      <x:c r="R591" s="16" t="str"/>
    </x:row>
    <x:row r="592" ht="28" customHeight="1">
      <x:c r="A592" s="21" t="n">
        <x:v>588</x:v>
      </x:c>
      <x:c r="B592" s="21" t="n">
        <x:f>ROUNDUP(A592/50,0)</x:f>
        <x:v>12</x:v>
      </x:c>
      <x:c r="C592" s="21" t="n">
        <x:f>MOD(A592-1,50)+1</x:f>
        <x:v>38</x:v>
      </x:c>
      <x:c r="D592" s="29" t="str">
        <x:v>χαρίζομαι</x:v>
      </x:c>
      <x:c r="E592" s="29" t="str">
        <x:v>χαρίζομαι</x:v>
      </x:c>
      <x:c r="F592" s="27" t="str">
        <x:v>charizomai</x:v>
      </x:c>
      <x:c r="G592" s="20" t="str">
        <x:v>to grant as a favor, i.e. gratuitously, in kindness, pardon or rescue</x:v>
      </x:c>
      <x:c r="H592" s="20" t="str"/>
      <x:c r="I592" s="21"/>
      <x:c r="J592" s="21" t="str">
        <x:v>Mounce 頻率延伸</x:v>
      </x:c>
      <x:c r="K592" s="21" t="str">
        <x:v>G5483</x:v>
      </x:c>
      <x:c r="L592" s="21" t="str">
        <x:v>否</x:v>
      </x:c>
      <x:c r="M592" s="21" t="str"/>
      <x:c r="N592" s="21" t="str">
        <x:v>source_and_lexicon_matched</x:v>
      </x:c>
      <x:c r="O592" s="21" t="str">
        <x:v>rule_generated_from_official_table</x:v>
      </x:c>
      <x:c r="P592" s="21" t="n">
        <x:v>10</x:v>
      </x:c>
      <x:c r="Q592" s="21" t="str">
        <x:v>https://doxa.billmounce.com/Flashcards%20%28BBG%29.pdf</x:v>
      </x:c>
      <x:c r="R592" s="16" t="str"/>
    </x:row>
    <x:row r="593" ht="28" customHeight="1">
      <x:c r="A593" s="21" t="n">
        <x:v>589</x:v>
      </x:c>
      <x:c r="B593" s="21" t="n">
        <x:f>ROUNDUP(A593/50,0)</x:f>
        <x:v>12</x:v>
      </x:c>
      <x:c r="C593" s="21" t="n">
        <x:f>MOD(A593-1,50)+1</x:f>
        <x:v>39</x:v>
      </x:c>
      <x:c r="D593" s="29" t="str">
        <x:v>χιλιάς, -άδος, ἡ</x:v>
      </x:c>
      <x:c r="E593" s="29" t="str">
        <x:v>χιλιάς</x:v>
      </x:c>
      <x:c r="F593" s="27" t="str">
        <x:v>chilias</x:v>
      </x:c>
      <x:c r="G593" s="20" t="str">
        <x:v>one thousand ("chiliad")</x:v>
      </x:c>
      <x:c r="H593" s="20" t="str"/>
      <x:c r="I593" s="21"/>
      <x:c r="J593" s="21" t="str">
        <x:v>Mounce 頻率延伸</x:v>
      </x:c>
      <x:c r="K593" s="21" t="str">
        <x:v>G5505</x:v>
      </x:c>
      <x:c r="L593" s="21" t="str">
        <x:v>否</x:v>
      </x:c>
      <x:c r="M593" s="21" t="str"/>
      <x:c r="N593" s="21" t="str">
        <x:v>source_and_lexicon_matched</x:v>
      </x:c>
      <x:c r="O593" s="21" t="str">
        <x:v>rule_generated_from_official_table</x:v>
      </x:c>
      <x:c r="P593" s="21" t="n">
        <x:v>10</x:v>
      </x:c>
      <x:c r="Q593" s="21" t="str">
        <x:v>https://doxa.billmounce.com/Flashcards%20%28BBG%29.pdf</x:v>
      </x:c>
      <x:c r="R593" s="16" t="str"/>
    </x:row>
    <x:row r="594" ht="28" customHeight="1">
      <x:c r="A594" s="21" t="n">
        <x:v>590</x:v>
      </x:c>
      <x:c r="B594" s="21" t="n">
        <x:f>ROUNDUP(A594/50,0)</x:f>
        <x:v>12</x:v>
      </x:c>
      <x:c r="C594" s="21" t="n">
        <x:f>MOD(A594-1,50)+1</x:f>
        <x:v>40</x:v>
      </x:c>
      <x:c r="D594" s="29" t="str">
        <x:v>ἀγνοέω</x:v>
      </x:c>
      <x:c r="E594" s="29" t="str">
        <x:v>ἀγνοέω</x:v>
      </x:c>
      <x:c r="F594" s="27" t="str">
        <x:v>agnoeō</x:v>
      </x:c>
      <x:c r="G594" s="20" t="str">
        <x:v>not to know (through lack of information or intelligence); by implication, to ignore (through disinclination)</x:v>
      </x:c>
      <x:c r="H594" s="20" t="str"/>
      <x:c r="I594" s="21"/>
      <x:c r="J594" s="21" t="str">
        <x:v>Mounce 頻率延伸</x:v>
      </x:c>
      <x:c r="K594" s="21" t="str">
        <x:v>G50</x:v>
      </x:c>
      <x:c r="L594" s="21" t="str">
        <x:v>否</x:v>
      </x:c>
      <x:c r="M594" s="21" t="str"/>
      <x:c r="N594" s="21" t="str">
        <x:v>source_and_lexicon_matched</x:v>
      </x:c>
      <x:c r="O594" s="21" t="str">
        <x:v>rule_generated_from_official_table</x:v>
      </x:c>
      <x:c r="P594" s="21" t="n">
        <x:v>10</x:v>
      </x:c>
      <x:c r="Q594" s="21" t="str">
        <x:v>https://doxa.billmounce.com/Flashcards%20%28BBG%29.pdf</x:v>
      </x:c>
      <x:c r="R594" s="16" t="str"/>
    </x:row>
    <x:row r="595" ht="28" customHeight="1">
      <x:c r="A595" s="21" t="n">
        <x:v>591</x:v>
      </x:c>
      <x:c r="B595" s="21" t="n">
        <x:f>ROUNDUP(A595/50,0)</x:f>
        <x:v>12</x:v>
      </x:c>
      <x:c r="C595" s="21" t="n">
        <x:f>MOD(A595-1,50)+1</x:f>
        <x:v>41</x:v>
      </x:c>
      <x:c r="D595" s="29" t="str">
        <x:v>ἀντί</x:v>
      </x:c>
      <x:c r="E595" s="29" t="str">
        <x:v>ἀντί</x:v>
      </x:c>
      <x:c r="F595" s="27" t="str">
        <x:v>anti</x:v>
      </x:c>
      <x:c r="G595" s="20" t="str">
        <x:v>opposite, i.e. instead or because of (rarely in addition to)</x:v>
      </x:c>
      <x:c r="H595" s="20" t="str"/>
      <x:c r="I595" s="21"/>
      <x:c r="J595" s="21" t="str">
        <x:v>Mounce 頻率延伸</x:v>
      </x:c>
      <x:c r="K595" s="21" t="str">
        <x:v>G473</x:v>
      </x:c>
      <x:c r="L595" s="21" t="str">
        <x:v>否</x:v>
      </x:c>
      <x:c r="M595" s="21" t="str"/>
      <x:c r="N595" s="21" t="str">
        <x:v>source_and_lexicon_matched</x:v>
      </x:c>
      <x:c r="O595" s="21" t="str">
        <x:v>rule_generated_from_official_table</x:v>
      </x:c>
      <x:c r="P595" s="21" t="n">
        <x:v>10</x:v>
      </x:c>
      <x:c r="Q595" s="21" t="str">
        <x:v>https://doxa.billmounce.com/Flashcards%20%28BBG%29.pdf</x:v>
      </x:c>
      <x:c r="R595" s="16" t="str"/>
    </x:row>
    <x:row r="596" ht="28" customHeight="1">
      <x:c r="A596" s="21" t="n">
        <x:v>592</x:v>
      </x:c>
      <x:c r="B596" s="21" t="n">
        <x:f>ROUNDUP(A596/50,0)</x:f>
        <x:v>12</x:v>
      </x:c>
      <x:c r="C596" s="21" t="n">
        <x:f>MOD(A596-1,50)+1</x:f>
        <x:v>42</x:v>
      </x:c>
      <x:c r="D596" s="29" t="str">
        <x:v>γρηγορέω</x:v>
      </x:c>
      <x:c r="E596" s="29" t="str">
        <x:v>γρηγορέω</x:v>
      </x:c>
      <x:c r="F596" s="27" t="str">
        <x:v>grēgoreō</x:v>
      </x:c>
      <x:c r="G596" s="20" t="str"/>
      <x:c r="H596" s="20" t="str"/>
      <x:c r="I596" s="21"/>
      <x:c r="J596" s="21" t="str">
        <x:v>Mounce 頻率延伸</x:v>
      </x:c>
      <x:c r="K596" s="21" t="str"/>
      <x:c r="L596" s="21" t="str">
        <x:v>否</x:v>
      </x:c>
      <x:c r="M596" s="21" t="str"/>
      <x:c r="N596" s="21" t="str">
        <x:v>source_verified_lexicon_pending</x:v>
      </x:c>
      <x:c r="O596" s="21" t="str">
        <x:v>rule_generated_from_official_table</x:v>
      </x:c>
      <x:c r="P596" s="21" t="n">
        <x:v>10</x:v>
      </x:c>
      <x:c r="Q596" s="21" t="str">
        <x:v>https://doxa.billmounce.com/Flashcards%20%28BBG%29.pdf</x:v>
      </x:c>
      <x:c r="R596" s="16" t="str"/>
    </x:row>
    <x:row r="597" ht="28" customHeight="1">
      <x:c r="A597" s="21" t="n">
        <x:v>593</x:v>
      </x:c>
      <x:c r="B597" s="21" t="n">
        <x:f>ROUNDUP(A597/50,0)</x:f>
        <x:v>12</x:v>
      </x:c>
      <x:c r="C597" s="21" t="n">
        <x:f>MOD(A597-1,50)+1</x:f>
        <x:v>43</x:v>
      </x:c>
      <x:c r="D597" s="29" t="str">
        <x:v>δέομαι</x:v>
      </x:c>
      <x:c r="E597" s="29" t="str">
        <x:v>δέομαι</x:v>
      </x:c>
      <x:c r="F597" s="27" t="str">
        <x:v>deomai</x:v>
      </x:c>
      <x:c r="G597" s="20" t="str">
        <x:v>to beg (as binding oneself), i.e. petition</x:v>
      </x:c>
      <x:c r="H597" s="20" t="str"/>
      <x:c r="I597" s="21"/>
      <x:c r="J597" s="21" t="str">
        <x:v>Mounce 頻率延伸</x:v>
      </x:c>
      <x:c r="K597" s="21" t="str">
        <x:v>G1189</x:v>
      </x:c>
      <x:c r="L597" s="21" t="str">
        <x:v>否</x:v>
      </x:c>
      <x:c r="M597" s="21" t="str"/>
      <x:c r="N597" s="21" t="str">
        <x:v>source_and_lexicon_matched</x:v>
      </x:c>
      <x:c r="O597" s="21" t="str">
        <x:v>rule_generated_from_official_table</x:v>
      </x:c>
      <x:c r="P597" s="21" t="n">
        <x:v>10</x:v>
      </x:c>
      <x:c r="Q597" s="21" t="str">
        <x:v>https://doxa.billmounce.com/Flashcards%20%28BBG%29.pdf</x:v>
      </x:c>
      <x:c r="R597" s="16" t="str"/>
    </x:row>
    <x:row r="598" ht="28" customHeight="1">
      <x:c r="A598" s="21" t="n">
        <x:v>594</x:v>
      </x:c>
      <x:c r="B598" s="21" t="n">
        <x:f>ROUNDUP(A598/50,0)</x:f>
        <x:v>12</x:v>
      </x:c>
      <x:c r="C598" s="21" t="n">
        <x:f>MOD(A598-1,50)+1</x:f>
        <x:v>44</x:v>
      </x:c>
      <x:c r="D598" s="29" t="str">
        <x:v>δοκιμάζω</x:v>
      </x:c>
      <x:c r="E598" s="29" t="str">
        <x:v>δοκιμάζω</x:v>
      </x:c>
      <x:c r="F598" s="27" t="str">
        <x:v>dokimazō</x:v>
      </x:c>
      <x:c r="G598" s="20" t="str">
        <x:v>to test (literally or figuratively); by implication, to approve</x:v>
      </x:c>
      <x:c r="H598" s="20" t="str"/>
      <x:c r="I598" s="21"/>
      <x:c r="J598" s="21" t="str">
        <x:v>Mounce 頻率延伸</x:v>
      </x:c>
      <x:c r="K598" s="21" t="str">
        <x:v>G1381</x:v>
      </x:c>
      <x:c r="L598" s="21" t="str">
        <x:v>否</x:v>
      </x:c>
      <x:c r="M598" s="21" t="str"/>
      <x:c r="N598" s="21" t="str">
        <x:v>source_and_lexicon_matched</x:v>
      </x:c>
      <x:c r="O598" s="21" t="str">
        <x:v>rule_generated_from_official_table</x:v>
      </x:c>
      <x:c r="P598" s="21" t="n">
        <x:v>10</x:v>
      </x:c>
      <x:c r="Q598" s="21" t="str">
        <x:v>https://doxa.billmounce.com/Flashcards%20%28BBG%29.pdf</x:v>
      </x:c>
      <x:c r="R598" s="16" t="str"/>
    </x:row>
    <x:row r="599" ht="28" customHeight="1">
      <x:c r="A599" s="21" t="n">
        <x:v>595</x:v>
      </x:c>
      <x:c r="B599" s="21" t="n">
        <x:f>ROUNDUP(A599/50,0)</x:f>
        <x:v>12</x:v>
      </x:c>
      <x:c r="C599" s="21" t="n">
        <x:f>MOD(A599-1,50)+1</x:f>
        <x:v>45</x:v>
      </x:c>
      <x:c r="D599" s="29" t="str">
        <x:v>ἐκλέγομαι</x:v>
      </x:c>
      <x:c r="E599" s="29" t="str">
        <x:v>ἐκλέγομαι</x:v>
      </x:c>
      <x:c r="F599" s="27" t="str">
        <x:v>eklegomai</x:v>
      </x:c>
      <x:c r="G599" s="20" t="str">
        <x:v>to select</x:v>
      </x:c>
      <x:c r="H599" s="20" t="str"/>
      <x:c r="I599" s="21"/>
      <x:c r="J599" s="21" t="str">
        <x:v>Mounce 頻率延伸</x:v>
      </x:c>
      <x:c r="K599" s="21" t="str">
        <x:v>G1586</x:v>
      </x:c>
      <x:c r="L599" s="21" t="str">
        <x:v>否</x:v>
      </x:c>
      <x:c r="M599" s="21" t="str"/>
      <x:c r="N599" s="21" t="str">
        <x:v>source_and_lexicon_matched</x:v>
      </x:c>
      <x:c r="O599" s="21" t="str">
        <x:v>rule_generated_from_official_table</x:v>
      </x:c>
      <x:c r="P599" s="21" t="n">
        <x:v>10</x:v>
      </x:c>
      <x:c r="Q599" s="21" t="str">
        <x:v>https://doxa.billmounce.com/Flashcards%20%28BBG%29.pdf</x:v>
      </x:c>
      <x:c r="R599" s="16" t="str"/>
    </x:row>
    <x:row r="600" ht="28" customHeight="1">
      <x:c r="A600" s="21" t="n">
        <x:v>596</x:v>
      </x:c>
      <x:c r="B600" s="21" t="n">
        <x:f>ROUNDUP(A600/50,0)</x:f>
        <x:v>12</x:v>
      </x:c>
      <x:c r="C600" s="21" t="n">
        <x:f>MOD(A600-1,50)+1</x:f>
        <x:v>46</x:v>
      </x:c>
      <x:c r="D600" s="29" t="str">
        <x:v>ἐκλεκτός, -ή, -όν</x:v>
      </x:c>
      <x:c r="E600" s="29" t="str">
        <x:v>ἐκλεκτός</x:v>
      </x:c>
      <x:c r="F600" s="27" t="str">
        <x:v>eklektos</x:v>
      </x:c>
      <x:c r="G600" s="20" t="str">
        <x:v>select; by implication, favorite</x:v>
      </x:c>
      <x:c r="H600" s="20" t="str"/>
      <x:c r="I600" s="21"/>
      <x:c r="J600" s="21" t="str">
        <x:v>Mounce 頻率延伸</x:v>
      </x:c>
      <x:c r="K600" s="21" t="str">
        <x:v>G1588</x:v>
      </x:c>
      <x:c r="L600" s="21" t="str">
        <x:v>否</x:v>
      </x:c>
      <x:c r="M600" s="21" t="str"/>
      <x:c r="N600" s="21" t="str">
        <x:v>source_and_lexicon_matched</x:v>
      </x:c>
      <x:c r="O600" s="21" t="str">
        <x:v>rule_generated_from_official_table</x:v>
      </x:c>
      <x:c r="P600" s="21" t="n">
        <x:v>10</x:v>
      </x:c>
      <x:c r="Q600" s="21" t="str">
        <x:v>https://doxa.billmounce.com/Flashcards%20%28BBG%29.pdf</x:v>
      </x:c>
      <x:c r="R600" s="16" t="str"/>
    </x:row>
    <x:row r="601" ht="28" customHeight="1">
      <x:c r="A601" s="21" t="n">
        <x:v>597</x:v>
      </x:c>
      <x:c r="B601" s="21" t="n">
        <x:f>ROUNDUP(A601/50,0)</x:f>
        <x:v>12</x:v>
      </x:c>
      <x:c r="C601" s="21" t="n">
        <x:f>MOD(A601-1,50)+1</x:f>
        <x:v>47</x:v>
      </x:c>
      <x:c r="D601" s="29" t="str">
        <x:v>Ἠσαΐας, -ου, ὁ</x:v>
      </x:c>
      <x:c r="E601" s="29" t="str">
        <x:v>Ἠσαΐας</x:v>
      </x:c>
      <x:c r="F601" s="27" t="str">
        <x:v>Ēsaias</x:v>
      </x:c>
      <x:c r="G601" s="20" t="str">
        <x:v>Hesaias (i.e. Jeshajah), an Israelite</x:v>
      </x:c>
      <x:c r="H601" s="20" t="str"/>
      <x:c r="I601" s="21"/>
      <x:c r="J601" s="21" t="str">
        <x:v>Mounce 頻率延伸</x:v>
      </x:c>
      <x:c r="K601" s="21" t="str">
        <x:v>G2268</x:v>
      </x:c>
      <x:c r="L601" s="21" t="str">
        <x:v>是</x:v>
      </x:c>
      <x:c r="M601" s="21" t="str">
        <x:v>人名</x:v>
      </x:c>
      <x:c r="N601" s="21" t="str">
        <x:v>source_and_lexicon_matched</x:v>
      </x:c>
      <x:c r="O601" s="21" t="str">
        <x:v>rule_generated_from_official_table</x:v>
      </x:c>
      <x:c r="P601" s="21" t="n">
        <x:v>10</x:v>
      </x:c>
      <x:c r="Q601" s="21" t="str">
        <x:v>https://doxa.billmounce.com/Flashcards%20%28BBG%29.pdf</x:v>
      </x:c>
      <x:c r="R601" s="16" t="str"/>
    </x:row>
    <x:row r="602" ht="28" customHeight="1">
      <x:c r="A602" s="21" t="n">
        <x:v>598</x:v>
      </x:c>
      <x:c r="B602" s="21" t="n">
        <x:f>ROUNDUP(A602/50,0)</x:f>
        <x:v>12</x:v>
      </x:c>
      <x:c r="C602" s="21" t="n">
        <x:f>MOD(A602-1,50)+1</x:f>
        <x:v>48</x:v>
      </x:c>
      <x:c r="D602" s="29" t="str">
        <x:v>θεάομαι</x:v>
      </x:c>
      <x:c r="E602" s="29" t="str">
        <x:v>θεάομαι</x:v>
      </x:c>
      <x:c r="F602" s="27" t="str">
        <x:v>theaomai</x:v>
      </x:c>
      <x:c r="G602" s="20" t="str">
        <x:v>to look closely at, i.e. (by implication) perceive (literally or figuratively); by extension to visit</x:v>
      </x:c>
      <x:c r="H602" s="20" t="str"/>
      <x:c r="I602" s="21"/>
      <x:c r="J602" s="21" t="str">
        <x:v>Mounce 頻率延伸</x:v>
      </x:c>
      <x:c r="K602" s="21" t="str">
        <x:v>G2300</x:v>
      </x:c>
      <x:c r="L602" s="21" t="str">
        <x:v>否</x:v>
      </x:c>
      <x:c r="M602" s="21" t="str"/>
      <x:c r="N602" s="21" t="str">
        <x:v>source_and_lexicon_matched</x:v>
      </x:c>
      <x:c r="O602" s="21" t="str">
        <x:v>rule_generated_from_official_table</x:v>
      </x:c>
      <x:c r="P602" s="21" t="n">
        <x:v>10</x:v>
      </x:c>
      <x:c r="Q602" s="21" t="str">
        <x:v>https://doxa.billmounce.com/Flashcards%20%28BBG%29.pdf</x:v>
      </x:c>
      <x:c r="R602" s="16" t="str"/>
    </x:row>
    <x:row r="603" ht="28" customHeight="1">
      <x:c r="A603" s="21" t="n">
        <x:v>599</x:v>
      </x:c>
      <x:c r="B603" s="21" t="n">
        <x:f>ROUNDUP(A603/50,0)</x:f>
        <x:v>12</x:v>
      </x:c>
      <x:c r="C603" s="21" t="n">
        <x:f>MOD(A603-1,50)+1</x:f>
        <x:v>49</x:v>
      </x:c>
      <x:c r="D603" s="29" t="str">
        <x:v>καθεύδω</x:v>
      </x:c>
      <x:c r="E603" s="29" t="str">
        <x:v>καθεύδω</x:v>
      </x:c>
      <x:c r="F603" s="27" t="str">
        <x:v>katheudō</x:v>
      </x:c>
      <x:c r="G603" s="20" t="str">
        <x:v>to lie down to rest, i.e. (by implication) to fall asleep (literally or figuratively)</x:v>
      </x:c>
      <x:c r="H603" s="20" t="str"/>
      <x:c r="I603" s="21"/>
      <x:c r="J603" s="21" t="str">
        <x:v>Mounce 頻率延伸</x:v>
      </x:c>
      <x:c r="K603" s="21" t="str">
        <x:v>G2518</x:v>
      </x:c>
      <x:c r="L603" s="21" t="str">
        <x:v>否</x:v>
      </x:c>
      <x:c r="M603" s="21" t="str"/>
      <x:c r="N603" s="21" t="str">
        <x:v>source_and_lexicon_matched</x:v>
      </x:c>
      <x:c r="O603" s="21" t="str">
        <x:v>rule_generated_from_official_table</x:v>
      </x:c>
      <x:c r="P603" s="21" t="n">
        <x:v>10</x:v>
      </x:c>
      <x:c r="Q603" s="21" t="str">
        <x:v>https://doxa.billmounce.com/Flashcards%20%28BBG%29.pdf</x:v>
      </x:c>
      <x:c r="R603" s="16" t="str"/>
    </x:row>
    <x:row r="604" ht="28" customHeight="1">
      <x:c r="A604" s="21" t="n">
        <x:v>600</x:v>
      </x:c>
      <x:c r="B604" s="21" t="n">
        <x:f>ROUNDUP(A604/50,0)</x:f>
        <x:v>12</x:v>
      </x:c>
      <x:c r="C604" s="21" t="n">
        <x:f>MOD(A604-1,50)+1</x:f>
        <x:v>50</x:v>
      </x:c>
      <x:c r="D604" s="29" t="str">
        <x:v>κἀκεῖνος</x:v>
      </x:c>
      <x:c r="E604" s="29" t="str">
        <x:v>κἀκεῖνος</x:v>
      </x:c>
      <x:c r="F604" s="27" t="str">
        <x:v>kakeinos</x:v>
      </x:c>
      <x:c r="G604" s="20" t="str">
        <x:v>likewise that (or those)</x:v>
      </x:c>
      <x:c r="H604" s="20" t="str"/>
      <x:c r="I604" s="21"/>
      <x:c r="J604" s="21" t="str">
        <x:v>Mounce 頻率延伸</x:v>
      </x:c>
      <x:c r="K604" s="21" t="str">
        <x:v>G2548</x:v>
      </x:c>
      <x:c r="L604" s="21" t="str">
        <x:v>否</x:v>
      </x:c>
      <x:c r="M604" s="21" t="str"/>
      <x:c r="N604" s="21" t="str">
        <x:v>source_and_lexicon_matched</x:v>
      </x:c>
      <x:c r="O604" s="21" t="str">
        <x:v>rule_generated_from_official_table</x:v>
      </x:c>
      <x:c r="P604" s="21" t="n">
        <x:v>10</x:v>
      </x:c>
      <x:c r="Q604" s="21" t="str">
        <x:v>https://doxa.billmounce.com/Flashcards%20%28BBG%29.pdf</x:v>
      </x:c>
      <x:c r="R604" s="16" t="str"/>
    </x:row>
    <x:row r="605" ht="28" customHeight="1">
      <x:c r="A605" s="21" t="n">
        <x:v>601</x:v>
      </x:c>
      <x:c r="B605" s="21" t="n">
        <x:f>ROUNDUP(A605/50,0)</x:f>
        <x:v>13</x:v>
      </x:c>
      <x:c r="C605" s="21" t="n">
        <x:f>MOD(A605-1,50)+1</x:f>
        <x:v>1</x:v>
      </x:c>
      <x:c r="D605" s="29" t="str">
        <x:v>κατεργάζομαι</x:v>
      </x:c>
      <x:c r="E605" s="29" t="str">
        <x:v>κατεργάζομαι</x:v>
      </x:c>
      <x:c r="F605" s="27" t="str">
        <x:v>katergazomai</x:v>
      </x:c>
      <x:c r="G605" s="20" t="str">
        <x:v>to work fully, i.e. accomplish; by implication, to finish, fashion</x:v>
      </x:c>
      <x:c r="H605" s="20" t="str"/>
      <x:c r="I605" s="21"/>
      <x:c r="J605" s="21" t="str">
        <x:v>Mounce 頻率延伸</x:v>
      </x:c>
      <x:c r="K605" s="21" t="str">
        <x:v>G2716</x:v>
      </x:c>
      <x:c r="L605" s="21" t="str">
        <x:v>否</x:v>
      </x:c>
      <x:c r="M605" s="21" t="str"/>
      <x:c r="N605" s="21" t="str">
        <x:v>source_and_lexicon_matched</x:v>
      </x:c>
      <x:c r="O605" s="21" t="str">
        <x:v>rule_generated_from_official_table</x:v>
      </x:c>
      <x:c r="P605" s="21" t="n">
        <x:v>11</x:v>
      </x:c>
      <x:c r="Q605" s="21" t="str">
        <x:v>https://doxa.billmounce.com/Flashcards%20%28BBG%29.pdf</x:v>
      </x:c>
      <x:c r="R605" s="16" t="str"/>
    </x:row>
    <x:row r="606" ht="28" customHeight="1">
      <x:c r="A606" s="21" t="n">
        <x:v>602</x:v>
      </x:c>
      <x:c r="B606" s="21" t="n">
        <x:f>ROUNDUP(A606/50,0)</x:f>
        <x:v>13</x:v>
      </x:c>
      <x:c r="C606" s="21" t="n">
        <x:f>MOD(A606-1,50)+1</x:f>
        <x:v>2</x:v>
      </x:c>
      <x:c r="D606" s="29" t="str">
        <x:v>κοιλία, -ας, ἡ</x:v>
      </x:c>
      <x:c r="E606" s="29" t="str">
        <x:v>κοιλία</x:v>
      </x:c>
      <x:c r="F606" s="27" t="str">
        <x:v>koilia</x:v>
      </x:c>
      <x:c r="G606" s="20" t="str">
        <x:v>a cavity, i.e. (especially) the abdomen; by implication, the matrix; figuratively, the heart</x:v>
      </x:c>
      <x:c r="H606" s="20" t="str"/>
      <x:c r="I606" s="21"/>
      <x:c r="J606" s="21" t="str">
        <x:v>Mounce 頻率延伸</x:v>
      </x:c>
      <x:c r="K606" s="21" t="str">
        <x:v>G2836</x:v>
      </x:c>
      <x:c r="L606" s="21" t="str">
        <x:v>否</x:v>
      </x:c>
      <x:c r="M606" s="21" t="str"/>
      <x:c r="N606" s="21" t="str">
        <x:v>source_and_lexicon_matched</x:v>
      </x:c>
      <x:c r="O606" s="21" t="str">
        <x:v>rule_generated_from_official_table</x:v>
      </x:c>
      <x:c r="P606" s="21" t="n">
        <x:v>11</x:v>
      </x:c>
      <x:c r="Q606" s="21" t="str">
        <x:v>https://doxa.billmounce.com/Flashcards%20%28BBG%29.pdf</x:v>
      </x:c>
      <x:c r="R606" s="16" t="str"/>
    </x:row>
    <x:row r="607" ht="28" customHeight="1">
      <x:c r="A607" s="21" t="n">
        <x:v>603</x:v>
      </x:c>
      <x:c r="B607" s="21" t="n">
        <x:f>ROUNDUP(A607/50,0)</x:f>
        <x:v>13</x:v>
      </x:c>
      <x:c r="C607" s="21" t="n">
        <x:f>MOD(A607-1,50)+1</x:f>
        <x:v>3</x:v>
      </x:c>
      <x:c r="D607" s="29" t="str">
        <x:v>Μακεδονία, -ας, ἡ</x:v>
      </x:c>
      <x:c r="E607" s="29" t="str">
        <x:v>Μακεδονία</x:v>
      </x:c>
      <x:c r="F607" s="27" t="str">
        <x:v>Makedonia</x:v>
      </x:c>
      <x:c r="G607" s="20" t="str">
        <x:v>Macedonia, a region of Greece</x:v>
      </x:c>
      <x:c r="H607" s="20" t="str"/>
      <x:c r="I607" s="21"/>
      <x:c r="J607" s="21" t="str">
        <x:v>Mounce 頻率延伸</x:v>
      </x:c>
      <x:c r="K607" s="21" t="str">
        <x:v>G3109</x:v>
      </x:c>
      <x:c r="L607" s="21" t="str">
        <x:v>是</x:v>
      </x:c>
      <x:c r="M607" s="21" t="str">
        <x:v>地名</x:v>
      </x:c>
      <x:c r="N607" s="21" t="str">
        <x:v>source_and_lexicon_matched</x:v>
      </x:c>
      <x:c r="O607" s="21" t="str">
        <x:v>rule_generated_from_official_table</x:v>
      </x:c>
      <x:c r="P607" s="21" t="n">
        <x:v>11</x:v>
      </x:c>
      <x:c r="Q607" s="21" t="str">
        <x:v>https://doxa.billmounce.com/Flashcards%20%28BBG%29.pdf</x:v>
      </x:c>
      <x:c r="R607" s="16" t="str"/>
    </x:row>
    <x:row r="608" ht="28" customHeight="1">
      <x:c r="A608" s="21" t="n">
        <x:v>604</x:v>
      </x:c>
      <x:c r="B608" s="21" t="n">
        <x:f>ROUNDUP(A608/50,0)</x:f>
        <x:v>13</x:v>
      </x:c>
      <x:c r="C608" s="21" t="n">
        <x:f>MOD(A608-1,50)+1</x:f>
        <x:v>4</x:v>
      </x:c>
      <x:c r="D608" s="29" t="str">
        <x:v>μετάνοια, -ας, ἡ</x:v>
      </x:c>
      <x:c r="E608" s="29" t="str">
        <x:v>μετάνοια</x:v>
      </x:c>
      <x:c r="F608" s="27" t="str">
        <x:v>metanoia</x:v>
      </x:c>
      <x:c r="G608" s="20" t="str">
        <x:v>(subjectively) compunction (for guilt, including reformation); by implication, reversal (of (another's) decision)</x:v>
      </x:c>
      <x:c r="H608" s="20" t="str"/>
      <x:c r="I608" s="21"/>
      <x:c r="J608" s="21" t="str">
        <x:v>Mounce 頻率延伸</x:v>
      </x:c>
      <x:c r="K608" s="21" t="str">
        <x:v>G3341</x:v>
      </x:c>
      <x:c r="L608" s="21" t="str">
        <x:v>否</x:v>
      </x:c>
      <x:c r="M608" s="21" t="str"/>
      <x:c r="N608" s="21" t="str">
        <x:v>source_and_lexicon_matched</x:v>
      </x:c>
      <x:c r="O608" s="21" t="str">
        <x:v>rule_generated_from_official_table</x:v>
      </x:c>
      <x:c r="P608" s="21" t="n">
        <x:v>11</x:v>
      </x:c>
      <x:c r="Q608" s="21" t="str">
        <x:v>https://doxa.billmounce.com/Flashcards%20%28BBG%29.pdf</x:v>
      </x:c>
      <x:c r="R608" s="16" t="str"/>
    </x:row>
    <x:row r="609" ht="28" customHeight="1">
      <x:c r="A609" s="21" t="n">
        <x:v>605</x:v>
      </x:c>
      <x:c r="B609" s="21" t="n">
        <x:f>ROUNDUP(A609/50,0)</x:f>
        <x:v>13</x:v>
      </x:c>
      <x:c r="C609" s="21" t="n">
        <x:f>MOD(A609-1,50)+1</x:f>
        <x:v>5</x:v>
      </x:c>
      <x:c r="D609" s="29" t="str">
        <x:v>μηκέτι</x:v>
      </x:c>
      <x:c r="E609" s="29" t="str">
        <x:v>μηκέτι</x:v>
      </x:c>
      <x:c r="F609" s="27" t="str">
        <x:v>mēketi</x:v>
      </x:c>
      <x:c r="G609" s="20" t="str">
        <x:v>no further</x:v>
      </x:c>
      <x:c r="H609" s="20" t="str"/>
      <x:c r="I609" s="21"/>
      <x:c r="J609" s="21" t="str">
        <x:v>Mounce 頻率延伸</x:v>
      </x:c>
      <x:c r="K609" s="21" t="str">
        <x:v>G3371</x:v>
      </x:c>
      <x:c r="L609" s="21" t="str">
        <x:v>否</x:v>
      </x:c>
      <x:c r="M609" s="21" t="str"/>
      <x:c r="N609" s="21" t="str">
        <x:v>source_and_lexicon_matched</x:v>
      </x:c>
      <x:c r="O609" s="21" t="str">
        <x:v>rule_generated_from_official_table</x:v>
      </x:c>
      <x:c r="P609" s="21" t="n">
        <x:v>11</x:v>
      </x:c>
      <x:c r="Q609" s="21" t="str">
        <x:v>https://doxa.billmounce.com/Flashcards%20%28BBG%29.pdf</x:v>
      </x:c>
      <x:c r="R609" s="16" t="str"/>
    </x:row>
    <x:row r="610" ht="28" customHeight="1">
      <x:c r="A610" s="21" t="n">
        <x:v>606</x:v>
      </x:c>
      <x:c r="B610" s="21" t="n">
        <x:f>ROUNDUP(A610/50,0)</x:f>
        <x:v>13</x:v>
      </x:c>
      <x:c r="C610" s="21" t="n">
        <x:f>MOD(A610-1,50)+1</x:f>
        <x:v>6</x:v>
      </x:c>
      <x:c r="D610" s="29" t="str">
        <x:v>πληγή, -ῆς, ἡ</x:v>
      </x:c>
      <x:c r="E610" s="29" t="str">
        <x:v>πληγή</x:v>
      </x:c>
      <x:c r="F610" s="27" t="str">
        <x:v>plēgē</x:v>
      </x:c>
      <x:c r="G610" s="20" t="str">
        <x:v>a stroke; by implication, a wound; figuratively, a calamity</x:v>
      </x:c>
      <x:c r="H610" s="20" t="str"/>
      <x:c r="I610" s="21"/>
      <x:c r="J610" s="21" t="str">
        <x:v>Mounce 頻率延伸</x:v>
      </x:c>
      <x:c r="K610" s="21" t="str">
        <x:v>G4127</x:v>
      </x:c>
      <x:c r="L610" s="21" t="str">
        <x:v>否</x:v>
      </x:c>
      <x:c r="M610" s="21" t="str"/>
      <x:c r="N610" s="21" t="str">
        <x:v>source_and_lexicon_matched</x:v>
      </x:c>
      <x:c r="O610" s="21" t="str">
        <x:v>rule_generated_from_official_table</x:v>
      </x:c>
      <x:c r="P610" s="21" t="n">
        <x:v>11</x:v>
      </x:c>
      <x:c r="Q610" s="21" t="str">
        <x:v>https://doxa.billmounce.com/Flashcards%20%28BBG%29.pdf</x:v>
      </x:c>
      <x:c r="R610" s="16" t="str"/>
    </x:row>
    <x:row r="611" ht="28" customHeight="1">
      <x:c r="A611" s="21" t="n">
        <x:v>607</x:v>
      </x:c>
      <x:c r="B611" s="21" t="n">
        <x:f>ROUNDUP(A611/50,0)</x:f>
        <x:v>13</x:v>
      </x:c>
      <x:c r="C611" s="21" t="n">
        <x:f>MOD(A611-1,50)+1</x:f>
        <x:v>7</x:v>
      </x:c>
      <x:c r="D611" s="29" t="str">
        <x:v>πλοῦτος, -ου, ὁ</x:v>
      </x:c>
      <x:c r="E611" s="29" t="str">
        <x:v>πλοῦτος</x:v>
      </x:c>
      <x:c r="F611" s="27" t="str">
        <x:v>ploutos</x:v>
      </x:c>
      <x:c r="G611" s="20" t="str">
        <x:v>wealth (as fulness), i.e. (literally) money, possessions, or (figuratively) abundance, richness, (specially), valuable bestowment</x:v>
      </x:c>
      <x:c r="H611" s="20" t="str"/>
      <x:c r="I611" s="21"/>
      <x:c r="J611" s="21" t="str">
        <x:v>Mounce 頻率延伸</x:v>
      </x:c>
      <x:c r="K611" s="21" t="str">
        <x:v>G4149</x:v>
      </x:c>
      <x:c r="L611" s="21" t="str">
        <x:v>否</x:v>
      </x:c>
      <x:c r="M611" s="21" t="str"/>
      <x:c r="N611" s="21" t="str">
        <x:v>source_and_lexicon_matched</x:v>
      </x:c>
      <x:c r="O611" s="21" t="str">
        <x:v>rule_generated_from_official_table</x:v>
      </x:c>
      <x:c r="P611" s="21" t="n">
        <x:v>11</x:v>
      </x:c>
      <x:c r="Q611" s="21" t="str">
        <x:v>https://doxa.billmounce.com/Flashcards%20%28BBG%29.pdf</x:v>
      </x:c>
      <x:c r="R611" s="16" t="str"/>
    </x:row>
    <x:row r="612" ht="28" customHeight="1">
      <x:c r="A612" s="21" t="n">
        <x:v>608</x:v>
      </x:c>
      <x:c r="B612" s="21" t="n">
        <x:f>ROUNDUP(A612/50,0)</x:f>
        <x:v>13</x:v>
      </x:c>
      <x:c r="C612" s="21" t="n">
        <x:f>MOD(A612-1,50)+1</x:f>
        <x:v>8</x:v>
      </x:c>
      <x:c r="D612" s="29" t="str">
        <x:v>πωλέω</x:v>
      </x:c>
      <x:c r="E612" s="29" t="str">
        <x:v>πωλέω</x:v>
      </x:c>
      <x:c r="F612" s="27" t="str">
        <x:v>pōleō</x:v>
      </x:c>
      <x:c r="G612" s="20" t="str">
        <x:v>to barter (as a pedlar), i.e. to sell</x:v>
      </x:c>
      <x:c r="H612" s="20" t="str"/>
      <x:c r="I612" s="21"/>
      <x:c r="J612" s="21" t="str">
        <x:v>Mounce 頻率延伸</x:v>
      </x:c>
      <x:c r="K612" s="21" t="str">
        <x:v>G4453</x:v>
      </x:c>
      <x:c r="L612" s="21" t="str">
        <x:v>否</x:v>
      </x:c>
      <x:c r="M612" s="21" t="str"/>
      <x:c r="N612" s="21" t="str">
        <x:v>source_and_lexicon_matched</x:v>
      </x:c>
      <x:c r="O612" s="21" t="str">
        <x:v>rule_generated_from_official_table</x:v>
      </x:c>
      <x:c r="P612" s="21" t="n">
        <x:v>11</x:v>
      </x:c>
      <x:c r="Q612" s="21" t="str">
        <x:v>https://doxa.billmounce.com/Flashcards%20%28BBG%29.pdf</x:v>
      </x:c>
      <x:c r="R612" s="16" t="str"/>
    </x:row>
    <x:row r="613" ht="28" customHeight="1">
      <x:c r="A613" s="21" t="n">
        <x:v>609</x:v>
      </x:c>
      <x:c r="B613" s="21" t="n">
        <x:f>ROUNDUP(A613/50,0)</x:f>
        <x:v>13</x:v>
      </x:c>
      <x:c r="C613" s="21" t="n">
        <x:f>MOD(A613-1,50)+1</x:f>
        <x:v>9</x:v>
      </x:c>
      <x:c r="D613" s="29" t="str">
        <x:v>συνέδριον, -ου, τό</x:v>
      </x:c>
      <x:c r="E613" s="29" t="str">
        <x:v>συνέδριον</x:v>
      </x:c>
      <x:c r="F613" s="27" t="str">
        <x:v>sunedrion</x:v>
      </x:c>
      <x:c r="G613" s="20" t="str">
        <x:v>a joint session, i.e. (specially), the Jewish Sanhedrin; by analogy, a subordinate tribunal</x:v>
      </x:c>
      <x:c r="H613" s="20" t="str"/>
      <x:c r="I613" s="21"/>
      <x:c r="J613" s="21" t="str">
        <x:v>Mounce 頻率延伸</x:v>
      </x:c>
      <x:c r="K613" s="21" t="str">
        <x:v>G4892</x:v>
      </x:c>
      <x:c r="L613" s="21" t="str">
        <x:v>否</x:v>
      </x:c>
      <x:c r="M613" s="21" t="str"/>
      <x:c r="N613" s="21" t="str">
        <x:v>source_and_lexicon_matched</x:v>
      </x:c>
      <x:c r="O613" s="21" t="str">
        <x:v>rule_generated_from_official_table</x:v>
      </x:c>
      <x:c r="P613" s="21" t="n">
        <x:v>11</x:v>
      </x:c>
      <x:c r="Q613" s="21" t="str">
        <x:v>https://doxa.billmounce.com/Flashcards%20%28BBG%29.pdf</x:v>
      </x:c>
      <x:c r="R613" s="16" t="str"/>
    </x:row>
    <x:row r="614" ht="28" customHeight="1">
      <x:c r="A614" s="21" t="n">
        <x:v>610</x:v>
      </x:c>
      <x:c r="B614" s="21" t="n">
        <x:f>ROUNDUP(A614/50,0)</x:f>
        <x:v>13</x:v>
      </x:c>
      <x:c r="C614" s="21" t="n">
        <x:f>MOD(A614-1,50)+1</x:f>
        <x:v>10</x:v>
      </x:c>
      <x:c r="D614" s="29" t="str">
        <x:v>τεσσεράκοντα</x:v>
      </x:c>
      <x:c r="E614" s="29" t="str">
        <x:v>τεσσεράκοντα</x:v>
      </x:c>
      <x:c r="F614" s="27" t="str">
        <x:v>tesserakonta</x:v>
      </x:c>
      <x:c r="G614" s="20" t="str"/>
      <x:c r="H614" s="20" t="str"/>
      <x:c r="I614" s="21"/>
      <x:c r="J614" s="21" t="str">
        <x:v>Mounce 頻率延伸</x:v>
      </x:c>
      <x:c r="K614" s="21" t="str"/>
      <x:c r="L614" s="21" t="str">
        <x:v>否</x:v>
      </x:c>
      <x:c r="M614" s="21" t="str"/>
      <x:c r="N614" s="21" t="str">
        <x:v>source_verified_lexicon_pending</x:v>
      </x:c>
      <x:c r="O614" s="21" t="str">
        <x:v>rule_generated_from_official_table</x:v>
      </x:c>
      <x:c r="P614" s="21" t="n">
        <x:v>11</x:v>
      </x:c>
      <x:c r="Q614" s="21" t="str">
        <x:v>https://doxa.billmounce.com/Flashcards%20%28BBG%29.pdf</x:v>
      </x:c>
      <x:c r="R614" s="16" t="str"/>
    </x:row>
    <x:row r="615" ht="28" customHeight="1">
      <x:c r="A615" s="21" t="n">
        <x:v>611</x:v>
      </x:c>
      <x:c r="B615" s="21" t="n">
        <x:f>ROUNDUP(A615/50,0)</x:f>
        <x:v>13</x:v>
      </x:c>
      <x:c r="C615" s="21" t="n">
        <x:f>MOD(A615-1,50)+1</x:f>
        <x:v>11</x:v>
      </x:c>
      <x:c r="D615" s="29" t="str">
        <x:v>αὐξάνω</x:v>
      </x:c>
      <x:c r="E615" s="29" t="str">
        <x:v>αὐξάνω</x:v>
      </x:c>
      <x:c r="F615" s="27" t="str">
        <x:v>auxanō</x:v>
      </x:c>
      <x:c r="G615" s="20" t="str">
        <x:v>to grow ("wax"), i.e. enlarge (literal or figurative, active or passive)</x:v>
      </x:c>
      <x:c r="H615" s="20" t="str"/>
      <x:c r="I615" s="21"/>
      <x:c r="J615" s="21" t="str">
        <x:v>Mounce 頻率延伸</x:v>
      </x:c>
      <x:c r="K615" s="21" t="str">
        <x:v>G837</x:v>
      </x:c>
      <x:c r="L615" s="21" t="str">
        <x:v>否</x:v>
      </x:c>
      <x:c r="M615" s="21" t="str"/>
      <x:c r="N615" s="21" t="str">
        <x:v>source_and_lexicon_matched</x:v>
      </x:c>
      <x:c r="O615" s="21" t="str">
        <x:v>rule_generated_from_official_table</x:v>
      </x:c>
      <x:c r="P615" s="21" t="n">
        <x:v>11</x:v>
      </x:c>
      <x:c r="Q615" s="21" t="str">
        <x:v>https://doxa.billmounce.com/Flashcards%20%28BBG%29.pdf</x:v>
      </x:c>
      <x:c r="R615" s="16" t="str"/>
    </x:row>
    <x:row r="616" ht="28" customHeight="1">
      <x:c r="A616" s="21" t="n">
        <x:v>612</x:v>
      </x:c>
      <x:c r="B616" s="21" t="n">
        <x:f>ROUNDUP(A616/50,0)</x:f>
        <x:v>13</x:v>
      </x:c>
      <x:c r="C616" s="21" t="n">
        <x:f>MOD(A616-1,50)+1</x:f>
        <x:v>12</x:v>
      </x:c>
      <x:c r="D616" s="29" t="str">
        <x:v>βασιλεύω</x:v>
      </x:c>
      <x:c r="E616" s="29" t="str">
        <x:v>βασιλεύω</x:v>
      </x:c>
      <x:c r="F616" s="27" t="str">
        <x:v>basileuō</x:v>
      </x:c>
      <x:c r="G616" s="20" t="str">
        <x:v>to rule (literally or figuratively)</x:v>
      </x:c>
      <x:c r="H616" s="20" t="str"/>
      <x:c r="I616" s="21"/>
      <x:c r="J616" s="21" t="str">
        <x:v>Mounce 頻率延伸</x:v>
      </x:c>
      <x:c r="K616" s="21" t="str">
        <x:v>G936</x:v>
      </x:c>
      <x:c r="L616" s="21" t="str">
        <x:v>否</x:v>
      </x:c>
      <x:c r="M616" s="21" t="str"/>
      <x:c r="N616" s="21" t="str">
        <x:v>source_and_lexicon_matched</x:v>
      </x:c>
      <x:c r="O616" s="21" t="str">
        <x:v>rule_generated_from_official_table</x:v>
      </x:c>
      <x:c r="P616" s="21" t="n">
        <x:v>11</x:v>
      </x:c>
      <x:c r="Q616" s="21" t="str">
        <x:v>https://doxa.billmounce.com/Flashcards%20%28BBG%29.pdf</x:v>
      </x:c>
      <x:c r="R616" s="16" t="str"/>
    </x:row>
    <x:row r="617" ht="28" customHeight="1">
      <x:c r="A617" s="21" t="n">
        <x:v>613</x:v>
      </x:c>
      <x:c r="B617" s="21" t="n">
        <x:f>ROUNDUP(A617/50,0)</x:f>
        <x:v>13</x:v>
      </x:c>
      <x:c r="C617" s="21" t="n">
        <x:f>MOD(A617-1,50)+1</x:f>
        <x:v>13</x:v>
      </x:c>
      <x:c r="D617" s="29" t="str">
        <x:v>διδασκαλία, -ας, ἡ</x:v>
      </x:c>
      <x:c r="E617" s="29" t="str">
        <x:v>διδασκαλία</x:v>
      </x:c>
      <x:c r="F617" s="27" t="str">
        <x:v>didaskalia</x:v>
      </x:c>
      <x:c r="G617" s="20" t="str">
        <x:v>instruction (the function or the information)</x:v>
      </x:c>
      <x:c r="H617" s="20" t="str"/>
      <x:c r="I617" s="21"/>
      <x:c r="J617" s="21" t="str">
        <x:v>Mounce 頻率延伸</x:v>
      </x:c>
      <x:c r="K617" s="21" t="str">
        <x:v>G1319</x:v>
      </x:c>
      <x:c r="L617" s="21" t="str">
        <x:v>否</x:v>
      </x:c>
      <x:c r="M617" s="21" t="str"/>
      <x:c r="N617" s="21" t="str">
        <x:v>source_and_lexicon_matched</x:v>
      </x:c>
      <x:c r="O617" s="21" t="str">
        <x:v>rule_generated_from_official_table</x:v>
      </x:c>
      <x:c r="P617" s="21" t="n">
        <x:v>11</x:v>
      </x:c>
      <x:c r="Q617" s="21" t="str">
        <x:v>https://doxa.billmounce.com/Flashcards%20%28BBG%29.pdf</x:v>
      </x:c>
      <x:c r="R617" s="16" t="str"/>
    </x:row>
    <x:row r="618" ht="28" customHeight="1">
      <x:c r="A618" s="21" t="n">
        <x:v>614</x:v>
      </x:c>
      <x:c r="B618" s="21" t="n">
        <x:f>ROUNDUP(A618/50,0)</x:f>
        <x:v>13</x:v>
      </x:c>
      <x:c r="C618" s="21" t="n">
        <x:f>MOD(A618-1,50)+1</x:f>
        <x:v>14</x:v>
      </x:c>
      <x:c r="D618" s="29" t="str">
        <x:v>ἐνεργέω</x:v>
      </x:c>
      <x:c r="E618" s="29" t="str">
        <x:v>ἐνεργέω</x:v>
      </x:c>
      <x:c r="F618" s="27" t="str">
        <x:v>energeō</x:v>
      </x:c>
      <x:c r="G618" s="20" t="str">
        <x:v>to be active, efficient</x:v>
      </x:c>
      <x:c r="H618" s="20" t="str"/>
      <x:c r="I618" s="21"/>
      <x:c r="J618" s="21" t="str">
        <x:v>Mounce 頻率延伸</x:v>
      </x:c>
      <x:c r="K618" s="21" t="str">
        <x:v>G1754</x:v>
      </x:c>
      <x:c r="L618" s="21" t="str">
        <x:v>否</x:v>
      </x:c>
      <x:c r="M618" s="21" t="str"/>
      <x:c r="N618" s="21" t="str">
        <x:v>source_and_lexicon_matched</x:v>
      </x:c>
      <x:c r="O618" s="21" t="str">
        <x:v>rule_generated_from_official_table</x:v>
      </x:c>
      <x:c r="P618" s="21" t="n">
        <x:v>11</x:v>
      </x:c>
      <x:c r="Q618" s="21" t="str">
        <x:v>https://doxa.billmounce.com/Flashcards%20%28BBG%29.pdf</x:v>
      </x:c>
      <x:c r="R618" s="16" t="str"/>
    </x:row>
    <x:row r="619" ht="28" customHeight="1">
      <x:c r="A619" s="21" t="n">
        <x:v>615</x:v>
      </x:c>
      <x:c r="B619" s="21" t="n">
        <x:f>ROUNDUP(A619/50,0)</x:f>
        <x:v>13</x:v>
      </x:c>
      <x:c r="C619" s="21" t="n">
        <x:f>MOD(A619-1,50)+1</x:f>
        <x:v>15</x:v>
      </x:c>
      <x:c r="D619" s="29" t="str">
        <x:v>εὐδοκέω</x:v>
      </x:c>
      <x:c r="E619" s="29" t="str">
        <x:v>εὐδοκέω</x:v>
      </x:c>
      <x:c r="F619" s="27" t="str">
        <x:v>eudokeō</x:v>
      </x:c>
      <x:c r="G619" s="20" t="str">
        <x:v>to think well of, i.e. approve (an act); specially, to approbate (a person or thing)</x:v>
      </x:c>
      <x:c r="H619" s="20" t="str"/>
      <x:c r="I619" s="21"/>
      <x:c r="J619" s="21" t="str">
        <x:v>Mounce 頻率延伸</x:v>
      </x:c>
      <x:c r="K619" s="21" t="str">
        <x:v>G2106</x:v>
      </x:c>
      <x:c r="L619" s="21" t="str">
        <x:v>否</x:v>
      </x:c>
      <x:c r="M619" s="21" t="str"/>
      <x:c r="N619" s="21" t="str">
        <x:v>source_and_lexicon_matched</x:v>
      </x:c>
      <x:c r="O619" s="21" t="str">
        <x:v>rule_generated_from_official_table</x:v>
      </x:c>
      <x:c r="P619" s="21" t="n">
        <x:v>11</x:v>
      </x:c>
      <x:c r="Q619" s="21" t="str">
        <x:v>https://doxa.billmounce.com/Flashcards%20%28BBG%29.pdf</x:v>
      </x:c>
      <x:c r="R619" s="16" t="str"/>
    </x:row>
    <x:row r="620" ht="28" customHeight="1">
      <x:c r="A620" s="21" t="n">
        <x:v>616</x:v>
      </x:c>
      <x:c r="B620" s="21" t="n">
        <x:f>ROUNDUP(A620/50,0)</x:f>
        <x:v>13</x:v>
      </x:c>
      <x:c r="C620" s="21" t="n">
        <x:f>MOD(A620-1,50)+1</x:f>
        <x:v>16</x:v>
      </x:c>
      <x:c r="D620" s="29" t="str">
        <x:v>ἐφίστημι</x:v>
      </x:c>
      <x:c r="E620" s="29" t="str">
        <x:v>ἐφίστημι</x:v>
      </x:c>
      <x:c r="F620" s="27" t="str">
        <x:v>ephistēmi</x:v>
      </x:c>
      <x:c r="G620" s="20" t="str">
        <x:v>to stand upon, i.e. be present (in various applications, friendly or otherwise, usually literal);</x:v>
      </x:c>
      <x:c r="H620" s="20" t="str"/>
      <x:c r="I620" s="21"/>
      <x:c r="J620" s="21" t="str">
        <x:v>Mounce 頻率延伸</x:v>
      </x:c>
      <x:c r="K620" s="21" t="str">
        <x:v>G2186</x:v>
      </x:c>
      <x:c r="L620" s="21" t="str">
        <x:v>否</x:v>
      </x:c>
      <x:c r="M620" s="21" t="str"/>
      <x:c r="N620" s="21" t="str">
        <x:v>source_and_lexicon_matched</x:v>
      </x:c>
      <x:c r="O620" s="21" t="str">
        <x:v>rule_generated_from_official_table</x:v>
      </x:c>
      <x:c r="P620" s="21" t="n">
        <x:v>11</x:v>
      </x:c>
      <x:c r="Q620" s="21" t="str">
        <x:v>https://doxa.billmounce.com/Flashcards%20%28BBG%29.pdf</x:v>
      </x:c>
      <x:c r="R620" s="16" t="str"/>
    </x:row>
    <x:row r="621" ht="28" customHeight="1">
      <x:c r="A621" s="21" t="n">
        <x:v>617</x:v>
      </x:c>
      <x:c r="B621" s="21" t="n">
        <x:f>ROUNDUP(A621/50,0)</x:f>
        <x:v>13</x:v>
      </x:c>
      <x:c r="C621" s="21" t="n">
        <x:f>MOD(A621-1,50)+1</x:f>
        <x:v>17</x:v>
      </x:c>
      <x:c r="D621" s="29" t="str">
        <x:v>θερίζω</x:v>
      </x:c>
      <x:c r="E621" s="29" t="str">
        <x:v>θερίζω</x:v>
      </x:c>
      <x:c r="F621" s="27" t="str">
        <x:v>therizō</x:v>
      </x:c>
      <x:c r="G621" s="20" t="str">
        <x:v>to harvest</x:v>
      </x:c>
      <x:c r="H621" s="20" t="str"/>
      <x:c r="I621" s="21"/>
      <x:c r="J621" s="21" t="str">
        <x:v>Mounce 頻率延伸</x:v>
      </x:c>
      <x:c r="K621" s="21" t="str">
        <x:v>G2325</x:v>
      </x:c>
      <x:c r="L621" s="21" t="str">
        <x:v>否</x:v>
      </x:c>
      <x:c r="M621" s="21" t="str"/>
      <x:c r="N621" s="21" t="str">
        <x:v>source_and_lexicon_matched</x:v>
      </x:c>
      <x:c r="O621" s="21" t="str">
        <x:v>rule_generated_from_official_table</x:v>
      </x:c>
      <x:c r="P621" s="21" t="n">
        <x:v>11</x:v>
      </x:c>
      <x:c r="Q621" s="21" t="str">
        <x:v>https://doxa.billmounce.com/Flashcards%20%28BBG%29.pdf</x:v>
      </x:c>
      <x:c r="R621" s="16" t="str"/>
    </x:row>
    <x:row r="622" ht="28" customHeight="1">
      <x:c r="A622" s="21" t="n">
        <x:v>618</x:v>
      </x:c>
      <x:c r="B622" s="21" t="n">
        <x:f>ROUNDUP(A622/50,0)</x:f>
        <x:v>13</x:v>
      </x:c>
      <x:c r="C622" s="21" t="n">
        <x:f>MOD(A622-1,50)+1</x:f>
        <x:v>18</x:v>
      </x:c>
      <x:c r="D622" s="29" t="str">
        <x:v>καθίστημι</x:v>
      </x:c>
      <x:c r="E622" s="29" t="str">
        <x:v>καθίστημι</x:v>
      </x:c>
      <x:c r="F622" s="27" t="str">
        <x:v>kathistēmi</x:v>
      </x:c>
      <x:c r="G622" s="20" t="str">
        <x:v>to place down (permanently), i.e. (figuratively) to designate, constitute, convoy</x:v>
      </x:c>
      <x:c r="H622" s="20" t="str"/>
      <x:c r="I622" s="21"/>
      <x:c r="J622" s="21" t="str">
        <x:v>Mounce 頻率延伸</x:v>
      </x:c>
      <x:c r="K622" s="21" t="str">
        <x:v>G2525</x:v>
      </x:c>
      <x:c r="L622" s="21" t="str">
        <x:v>否</x:v>
      </x:c>
      <x:c r="M622" s="21" t="str"/>
      <x:c r="N622" s="21" t="str">
        <x:v>source_and_lexicon_matched</x:v>
      </x:c>
      <x:c r="O622" s="21" t="str">
        <x:v>rule_generated_from_official_table</x:v>
      </x:c>
      <x:c r="P622" s="21" t="n">
        <x:v>11</x:v>
      </x:c>
      <x:c r="Q622" s="21" t="str">
        <x:v>https://doxa.billmounce.com/Flashcards%20%28BBG%29.pdf</x:v>
      </x:c>
      <x:c r="R622" s="16" t="str"/>
    </x:row>
    <x:row r="623" ht="28" customHeight="1">
      <x:c r="A623" s="21" t="n">
        <x:v>619</x:v>
      </x:c>
      <x:c r="B623" s="21" t="n">
        <x:f>ROUNDUP(A623/50,0)</x:f>
        <x:v>13</x:v>
      </x:c>
      <x:c r="C623" s="21" t="n">
        <x:f>MOD(A623-1,50)+1</x:f>
        <x:v>19</x:v>
      </x:c>
      <x:c r="D623" s="29" t="str">
        <x:v>λατρεύω</x:v>
      </x:c>
      <x:c r="E623" s="29" t="str">
        <x:v>λατρεύω</x:v>
      </x:c>
      <x:c r="F623" s="27" t="str">
        <x:v>latreuō</x:v>
      </x:c>
      <x:c r="G623" s="20" t="str">
        <x:v>to minister (to God), i.e. render religious homage</x:v>
      </x:c>
      <x:c r="H623" s="20" t="str"/>
      <x:c r="I623" s="21"/>
      <x:c r="J623" s="21" t="str">
        <x:v>Mounce 頻率延伸</x:v>
      </x:c>
      <x:c r="K623" s="21" t="str">
        <x:v>G3000</x:v>
      </x:c>
      <x:c r="L623" s="21" t="str">
        <x:v>否</x:v>
      </x:c>
      <x:c r="M623" s="21" t="str"/>
      <x:c r="N623" s="21" t="str">
        <x:v>source_and_lexicon_matched</x:v>
      </x:c>
      <x:c r="O623" s="21" t="str">
        <x:v>rule_generated_from_official_table</x:v>
      </x:c>
      <x:c r="P623" s="21" t="n">
        <x:v>11</x:v>
      </x:c>
      <x:c r="Q623" s="21" t="str">
        <x:v>https://doxa.billmounce.com/Flashcards%20%28BBG%29.pdf</x:v>
      </x:c>
      <x:c r="R623" s="16" t="str"/>
    </x:row>
    <x:row r="624" ht="28" customHeight="1">
      <x:c r="A624" s="21" t="n">
        <x:v>620</x:v>
      </x:c>
      <x:c r="B624" s="21" t="n">
        <x:f>ROUNDUP(A624/50,0)</x:f>
        <x:v>13</x:v>
      </x:c>
      <x:c r="C624" s="21" t="n">
        <x:f>MOD(A624-1,50)+1</x:f>
        <x:v>20</x:v>
      </x:c>
      <x:c r="D624" s="29" t="str">
        <x:v>μνημονεύω</x:v>
      </x:c>
      <x:c r="E624" s="29" t="str">
        <x:v>μνημονεύω</x:v>
      </x:c>
      <x:c r="F624" s="27" t="str">
        <x:v>mnēmoneuō</x:v>
      </x:c>
      <x:c r="G624" s="20" t="str">
        <x:v>to exercise memory, i.e. recollect; by implication, to punish; also to rehearse</x:v>
      </x:c>
      <x:c r="H624" s="20" t="str"/>
      <x:c r="I624" s="21"/>
      <x:c r="J624" s="21" t="str">
        <x:v>Mounce 頻率延伸</x:v>
      </x:c>
      <x:c r="K624" s="21" t="str">
        <x:v>G3421</x:v>
      </x:c>
      <x:c r="L624" s="21" t="str">
        <x:v>否</x:v>
      </x:c>
      <x:c r="M624" s="21" t="str"/>
      <x:c r="N624" s="21" t="str">
        <x:v>source_and_lexicon_matched</x:v>
      </x:c>
      <x:c r="O624" s="21" t="str">
        <x:v>rule_generated_from_official_table</x:v>
      </x:c>
      <x:c r="P624" s="21" t="n">
        <x:v>11</x:v>
      </x:c>
      <x:c r="Q624" s="21" t="str">
        <x:v>https://doxa.billmounce.com/Flashcards%20%28BBG%29.pdf</x:v>
      </x:c>
      <x:c r="R624" s="16" t="str"/>
    </x:row>
    <x:row r="625" ht="28" customHeight="1">
      <x:c r="A625" s="21" t="n">
        <x:v>621</x:v>
      </x:c>
      <x:c r="B625" s="21" t="n">
        <x:f>ROUNDUP(A625/50,0)</x:f>
        <x:v>13</x:v>
      </x:c>
      <x:c r="C625" s="21" t="n">
        <x:f>MOD(A625-1,50)+1</x:f>
        <x:v>21</x:v>
      </x:c>
      <x:c r="D625" s="29" t="str">
        <x:v>πειρασμός, -οῦ, ὁ</x:v>
      </x:c>
      <x:c r="E625" s="29" t="str">
        <x:v>πειρασμός</x:v>
      </x:c>
      <x:c r="F625" s="27" t="str">
        <x:v>peirasmos</x:v>
      </x:c>
      <x:c r="G625" s="20" t="str">
        <x:v>a putting to proof (by experiment (of good), experience (of evil), solicitation, discipline or provocation); by implication, adversity</x:v>
      </x:c>
      <x:c r="H625" s="20" t="str"/>
      <x:c r="I625" s="21"/>
      <x:c r="J625" s="21" t="str">
        <x:v>Mounce 頻率延伸</x:v>
      </x:c>
      <x:c r="K625" s="21" t="str">
        <x:v>G3986</x:v>
      </x:c>
      <x:c r="L625" s="21" t="str">
        <x:v>否</x:v>
      </x:c>
      <x:c r="M625" s="21" t="str"/>
      <x:c r="N625" s="21" t="str">
        <x:v>source_and_lexicon_matched</x:v>
      </x:c>
      <x:c r="O625" s="21" t="str">
        <x:v>rule_generated_from_official_table</x:v>
      </x:c>
      <x:c r="P625" s="21" t="n">
        <x:v>11</x:v>
      </x:c>
      <x:c r="Q625" s="21" t="str">
        <x:v>https://doxa.billmounce.com/Flashcards%20%28BBG%29.pdf</x:v>
      </x:c>
      <x:c r="R625" s="16" t="str"/>
    </x:row>
    <x:row r="626" ht="28" customHeight="1">
      <x:c r="A626" s="21" t="n">
        <x:v>622</x:v>
      </x:c>
      <x:c r="B626" s="21" t="n">
        <x:f>ROUNDUP(A626/50,0)</x:f>
        <x:v>13</x:v>
      </x:c>
      <x:c r="C626" s="21" t="n">
        <x:f>MOD(A626-1,50)+1</x:f>
        <x:v>22</x:v>
      </x:c>
      <x:c r="D626" s="29" t="str">
        <x:v>στρέφω</x:v>
      </x:c>
      <x:c r="E626" s="29" t="str">
        <x:v>στρέφω</x:v>
      </x:c>
      <x:c r="F626" s="27" t="str">
        <x:v>strephō</x:v>
      </x:c>
      <x:c r="G626" s="20" t="str">
        <x:v>to twist, i.e. turn quite around or reverse (literally or figuratively)</x:v>
      </x:c>
      <x:c r="H626" s="20" t="str"/>
      <x:c r="I626" s="21"/>
      <x:c r="J626" s="21" t="str">
        <x:v>Mounce 頻率延伸</x:v>
      </x:c>
      <x:c r="K626" s="21" t="str">
        <x:v>G4762</x:v>
      </x:c>
      <x:c r="L626" s="21" t="str">
        <x:v>否</x:v>
      </x:c>
      <x:c r="M626" s="21" t="str"/>
      <x:c r="N626" s="21" t="str">
        <x:v>source_and_lexicon_matched</x:v>
      </x:c>
      <x:c r="O626" s="21" t="str">
        <x:v>rule_generated_from_official_table</x:v>
      </x:c>
      <x:c r="P626" s="21" t="n">
        <x:v>11</x:v>
      </x:c>
      <x:c r="Q626" s="21" t="str">
        <x:v>https://doxa.billmounce.com/Flashcards%20%28BBG%29.pdf</x:v>
      </x:c>
      <x:c r="R626" s="16" t="str"/>
    </x:row>
    <x:row r="627" ht="28" customHeight="1">
      <x:c r="A627" s="21" t="n">
        <x:v>623</x:v>
      </x:c>
      <x:c r="B627" s="21" t="n">
        <x:f>ROUNDUP(A627/50,0)</x:f>
        <x:v>13</x:v>
      </x:c>
      <x:c r="C627" s="21" t="n">
        <x:f>MOD(A627-1,50)+1</x:f>
        <x:v>23</x:v>
      </x:c>
      <x:c r="D627" s="29" t="str">
        <x:v>τελώνης, -ου, ὁ</x:v>
      </x:c>
      <x:c r="E627" s="29" t="str">
        <x:v>τελώνης</x:v>
      </x:c>
      <x:c r="F627" s="27" t="str">
        <x:v>telōnēs</x:v>
      </x:c>
      <x:c r="G627" s="20" t="str">
        <x:v>a tax-farmer, i.e. collector of public revenue</x:v>
      </x:c>
      <x:c r="H627" s="20" t="str"/>
      <x:c r="I627" s="21"/>
      <x:c r="J627" s="21" t="str">
        <x:v>Mounce 頻率延伸</x:v>
      </x:c>
      <x:c r="K627" s="21" t="str">
        <x:v>G5057</x:v>
      </x:c>
      <x:c r="L627" s="21" t="str">
        <x:v>否</x:v>
      </x:c>
      <x:c r="M627" s="21" t="str"/>
      <x:c r="N627" s="21" t="str">
        <x:v>source_and_lexicon_matched</x:v>
      </x:c>
      <x:c r="O627" s="21" t="str">
        <x:v>rule_generated_from_official_table</x:v>
      </x:c>
      <x:c r="P627" s="21" t="n">
        <x:v>11</x:v>
      </x:c>
      <x:c r="Q627" s="21" t="str">
        <x:v>https://doxa.billmounce.com/Flashcards%20%28BBG%29.pdf</x:v>
      </x:c>
      <x:c r="R627" s="16" t="str"/>
    </x:row>
    <x:row r="628" ht="28" customHeight="1">
      <x:c r="A628" s="21" t="n">
        <x:v>624</x:v>
      </x:c>
      <x:c r="B628" s="21" t="n">
        <x:f>ROUNDUP(A628/50,0)</x:f>
        <x:v>13</x:v>
      </x:c>
      <x:c r="C628" s="21" t="n">
        <x:f>MOD(A628-1,50)+1</x:f>
        <x:v>24</x:v>
      </x:c>
      <x:c r="D628" s="29" t="str">
        <x:v>τιμάω</x:v>
      </x:c>
      <x:c r="E628" s="29" t="str">
        <x:v>τιμάω</x:v>
      </x:c>
      <x:c r="F628" s="27" t="str">
        <x:v>timaō</x:v>
      </x:c>
      <x:c r="G628" s="20" t="str">
        <x:v>to prize, i.e. fix a valuation upon; by implication, to revere</x:v>
      </x:c>
      <x:c r="H628" s="20" t="str"/>
      <x:c r="I628" s="21"/>
      <x:c r="J628" s="21" t="str">
        <x:v>Mounce 頻率延伸</x:v>
      </x:c>
      <x:c r="K628" s="21" t="str">
        <x:v>G5091</x:v>
      </x:c>
      <x:c r="L628" s="21" t="str">
        <x:v>否</x:v>
      </x:c>
      <x:c r="M628" s="21" t="str"/>
      <x:c r="N628" s="21" t="str">
        <x:v>source_and_lexicon_matched</x:v>
      </x:c>
      <x:c r="O628" s="21" t="str">
        <x:v>rule_generated_from_official_table</x:v>
      </x:c>
      <x:c r="P628" s="21" t="n">
        <x:v>11</x:v>
      </x:c>
      <x:c r="Q628" s="21" t="str">
        <x:v>https://doxa.billmounce.com/Flashcards%20%28BBG%29.pdf</x:v>
      </x:c>
      <x:c r="R628" s="16" t="str"/>
    </x:row>
    <x:row r="629" ht="28" customHeight="1">
      <x:c r="A629" s="21" t="n">
        <x:v>625</x:v>
      </x:c>
      <x:c r="B629" s="21" t="n">
        <x:f>ROUNDUP(A629/50,0)</x:f>
        <x:v>13</x:v>
      </x:c>
      <x:c r="C629" s="21" t="n">
        <x:f>MOD(A629-1,50)+1</x:f>
        <x:v>25</x:v>
      </x:c>
      <x:c r="D629" s="29" t="str">
        <x:v>ὑπακούω</x:v>
      </x:c>
      <x:c r="E629" s="29" t="str">
        <x:v>ὑπακούω</x:v>
      </x:c>
      <x:c r="F629" s="27" t="str">
        <x:v>hupakouō</x:v>
      </x:c>
      <x:c r="G629" s="20" t="str">
        <x:v>to hear under (as a subordinate), i.e. to listen attentively; by implication, to heed or conform to a command or authority</x:v>
      </x:c>
      <x:c r="H629" s="20" t="str"/>
      <x:c r="I629" s="21"/>
      <x:c r="J629" s="21" t="str">
        <x:v>Mounce 頻率延伸</x:v>
      </x:c>
      <x:c r="K629" s="21" t="str">
        <x:v>G5219</x:v>
      </x:c>
      <x:c r="L629" s="21" t="str">
        <x:v>否</x:v>
      </x:c>
      <x:c r="M629" s="21" t="str"/>
      <x:c r="N629" s="21" t="str">
        <x:v>source_and_lexicon_matched</x:v>
      </x:c>
      <x:c r="O629" s="21" t="str">
        <x:v>rule_generated_from_official_table</x:v>
      </x:c>
      <x:c r="P629" s="21" t="n">
        <x:v>11</x:v>
      </x:c>
      <x:c r="Q629" s="21" t="str">
        <x:v>https://doxa.billmounce.com/Flashcards%20%28BBG%29.pdf</x:v>
      </x:c>
      <x:c r="R629" s="16" t="str"/>
    </x:row>
    <x:row r="630" ht="28" customHeight="1">
      <x:c r="A630" s="21" t="n">
        <x:v>626</x:v>
      </x:c>
      <x:c r="B630" s="21" t="n">
        <x:f>ROUNDUP(A630/50,0)</x:f>
        <x:v>13</x:v>
      </x:c>
      <x:c r="C630" s="21" t="n">
        <x:f>MOD(A630-1,50)+1</x:f>
        <x:v>26</x:v>
      </x:c>
      <x:c r="D630" s="29" t="str">
        <x:v>χιλίαρχος, -ου, ὁ</x:v>
      </x:c>
      <x:c r="E630" s="29" t="str">
        <x:v>χιλίαρχος</x:v>
      </x:c>
      <x:c r="F630" s="27" t="str">
        <x:v>chiliarchos</x:v>
      </x:c>
      <x:c r="G630" s="20" t="str">
        <x:v>the commander of a thousand soldiers ("chiliarch"; i.e. colonel</x:v>
      </x:c>
      <x:c r="H630" s="20" t="str"/>
      <x:c r="I630" s="21"/>
      <x:c r="J630" s="21" t="str">
        <x:v>Mounce 頻率延伸</x:v>
      </x:c>
      <x:c r="K630" s="21" t="str">
        <x:v>G5506</x:v>
      </x:c>
      <x:c r="L630" s="21" t="str">
        <x:v>否</x:v>
      </x:c>
      <x:c r="M630" s="21" t="str"/>
      <x:c r="N630" s="21" t="str">
        <x:v>source_and_lexicon_matched</x:v>
      </x:c>
      <x:c r="O630" s="21" t="str">
        <x:v>rule_generated_from_official_table</x:v>
      </x:c>
      <x:c r="P630" s="21" t="n">
        <x:v>11</x:v>
      </x:c>
      <x:c r="Q630" s="21" t="str">
        <x:v>https://doxa.billmounce.com/Flashcards%20%28BBG%29.pdf</x:v>
      </x:c>
      <x:c r="R630" s="16" t="str"/>
    </x:row>
    <x:row r="631" ht="28" customHeight="1">
      <x:c r="A631" s="21" t="n">
        <x:v>627</x:v>
      </x:c>
      <x:c r="B631" s="21" t="n">
        <x:f>ROUNDUP(A631/50,0)</x:f>
        <x:v>13</x:v>
      </x:c>
      <x:c r="C631" s="21" t="n">
        <x:f>MOD(A631-1,50)+1</x:f>
        <x:v>27</x:v>
      </x:c>
      <x:c r="D631" s="29" t="str">
        <x:v>ὡσεί</x:v>
      </x:c>
      <x:c r="E631" s="29" t="str">
        <x:v>ὡσεί</x:v>
      </x:c>
      <x:c r="F631" s="27" t="str">
        <x:v>hōsei</x:v>
      </x:c>
      <x:c r="G631" s="20" t="str">
        <x:v>as if</x:v>
      </x:c>
      <x:c r="H631" s="20" t="str"/>
      <x:c r="I631" s="21"/>
      <x:c r="J631" s="21" t="str">
        <x:v>Mounce 頻率延伸</x:v>
      </x:c>
      <x:c r="K631" s="21" t="str">
        <x:v>G5616</x:v>
      </x:c>
      <x:c r="L631" s="21" t="str">
        <x:v>否</x:v>
      </x:c>
      <x:c r="M631" s="21" t="str"/>
      <x:c r="N631" s="21" t="str">
        <x:v>source_and_lexicon_matched</x:v>
      </x:c>
      <x:c r="O631" s="21" t="str">
        <x:v>rule_generated_from_official_table</x:v>
      </x:c>
      <x:c r="P631" s="21" t="n">
        <x:v>11</x:v>
      </x:c>
      <x:c r="Q631" s="21" t="str">
        <x:v>https://doxa.billmounce.com/Flashcards%20%28BBG%29.pdf</x:v>
      </x:c>
      <x:c r="R631" s="16" t="str"/>
    </x:row>
    <x:row r="632" ht="28" customHeight="1">
      <x:c r="A632" s="21" t="n">
        <x:v>628</x:v>
      </x:c>
      <x:c r="B632" s="21" t="n">
        <x:f>ROUNDUP(A632/50,0)</x:f>
        <x:v>13</x:v>
      </x:c>
      <x:c r="C632" s="21" t="n">
        <x:f>MOD(A632-1,50)+1</x:f>
        <x:v>28</x:v>
      </x:c>
      <x:c r="D632" s="29" t="str">
        <x:v>αἰτία, -ας, ἡ</x:v>
      </x:c>
      <x:c r="E632" s="29" t="str">
        <x:v>αἰτία</x:v>
      </x:c>
      <x:c r="F632" s="27" t="str">
        <x:v>aitia</x:v>
      </x:c>
      <x:c r="G632" s="20" t="str">
        <x:v>a cause (as if asked for), i.e. (logical) reason (motive, matter), (legal) crime (alleged or proved)</x:v>
      </x:c>
      <x:c r="H632" s="20" t="str"/>
      <x:c r="I632" s="21"/>
      <x:c r="J632" s="21" t="str">
        <x:v>Mounce 頻率延伸</x:v>
      </x:c>
      <x:c r="K632" s="21" t="str">
        <x:v>G156</x:v>
      </x:c>
      <x:c r="L632" s="21" t="str">
        <x:v>否</x:v>
      </x:c>
      <x:c r="M632" s="21" t="str"/>
      <x:c r="N632" s="21" t="str">
        <x:v>source_and_lexicon_matched</x:v>
      </x:c>
      <x:c r="O632" s="21" t="str">
        <x:v>rule_generated_from_official_table</x:v>
      </x:c>
      <x:c r="P632" s="21" t="n">
        <x:v>11</x:v>
      </x:c>
      <x:c r="Q632" s="21" t="str">
        <x:v>https://doxa.billmounce.com/Flashcards%20%28BBG%29.pdf</x:v>
      </x:c>
      <x:c r="R632" s="16" t="str"/>
    </x:row>
    <x:row r="633" ht="28" customHeight="1">
      <x:c r="A633" s="21" t="n">
        <x:v>629</x:v>
      </x:c>
      <x:c r="B633" s="21" t="n">
        <x:f>ROUNDUP(A633/50,0)</x:f>
        <x:v>13</x:v>
      </x:c>
      <x:c r="C633" s="21" t="n">
        <x:f>MOD(A633-1,50)+1</x:f>
        <x:v>29</x:v>
      </x:c>
      <x:c r="D633" s="29" t="str">
        <x:v>ἀκροβυστία, -ας, ἡ</x:v>
      </x:c>
      <x:c r="E633" s="29" t="str">
        <x:v>ἀκροβυστία</x:v>
      </x:c>
      <x:c r="F633" s="27" t="str">
        <x:v>akrobustia</x:v>
      </x:c>
      <x:c r="G633" s="20" t="str">
        <x:v>the prepuce; by implication, an uncircumcised (i.e. gentile, figuratively, unregenerate) state or person</x:v>
      </x:c>
      <x:c r="H633" s="20" t="str"/>
      <x:c r="I633" s="21"/>
      <x:c r="J633" s="21" t="str">
        <x:v>Mounce 頻率延伸</x:v>
      </x:c>
      <x:c r="K633" s="21" t="str">
        <x:v>G203</x:v>
      </x:c>
      <x:c r="L633" s="21" t="str">
        <x:v>否</x:v>
      </x:c>
      <x:c r="M633" s="21" t="str"/>
      <x:c r="N633" s="21" t="str">
        <x:v>source_and_lexicon_matched</x:v>
      </x:c>
      <x:c r="O633" s="21" t="str">
        <x:v>rule_generated_from_official_table</x:v>
      </x:c>
      <x:c r="P633" s="21" t="n">
        <x:v>11</x:v>
      </x:c>
      <x:c r="Q633" s="21" t="str">
        <x:v>https://doxa.billmounce.com/Flashcards%20%28BBG%29.pdf</x:v>
      </x:c>
      <x:c r="R633" s="16" t="str"/>
    </x:row>
    <x:row r="634" ht="28" customHeight="1">
      <x:c r="A634" s="21" t="n">
        <x:v>630</x:v>
      </x:c>
      <x:c r="B634" s="21" t="n">
        <x:f>ROUNDUP(A634/50,0)</x:f>
        <x:v>13</x:v>
      </x:c>
      <x:c r="C634" s="21" t="n">
        <x:f>MOD(A634-1,50)+1</x:f>
        <x:v>30</x:v>
      </x:c>
      <x:c r="D634" s="29" t="str">
        <x:v>ἀργύριον, -ου, τό</x:v>
      </x:c>
      <x:c r="E634" s="29" t="str">
        <x:v>ἀργύριον</x:v>
      </x:c>
      <x:c r="F634" s="27" t="str">
        <x:v>argurion</x:v>
      </x:c>
      <x:c r="G634" s="20" t="str">
        <x:v>silvery, i.e. (by implication) cash; specially, a silverling (i.e. drachma or shekel)</x:v>
      </x:c>
      <x:c r="H634" s="20" t="str"/>
      <x:c r="I634" s="21"/>
      <x:c r="J634" s="21" t="str">
        <x:v>Mounce 頻率延伸</x:v>
      </x:c>
      <x:c r="K634" s="21" t="str">
        <x:v>G694</x:v>
      </x:c>
      <x:c r="L634" s="21" t="str">
        <x:v>否</x:v>
      </x:c>
      <x:c r="M634" s="21" t="str"/>
      <x:c r="N634" s="21" t="str">
        <x:v>source_and_lexicon_matched</x:v>
      </x:c>
      <x:c r="O634" s="21" t="str">
        <x:v>rule_generated_from_official_table</x:v>
      </x:c>
      <x:c r="P634" s="21" t="n">
        <x:v>11</x:v>
      </x:c>
      <x:c r="Q634" s="21" t="str">
        <x:v>https://doxa.billmounce.com/Flashcards%20%28BBG%29.pdf</x:v>
      </x:c>
      <x:c r="R634" s="16" t="str"/>
    </x:row>
    <x:row r="635" ht="28" customHeight="1">
      <x:c r="A635" s="21" t="n">
        <x:v>631</x:v>
      </x:c>
      <x:c r="B635" s="21" t="n">
        <x:f>ROUNDUP(A635/50,0)</x:f>
        <x:v>13</x:v>
      </x:c>
      <x:c r="C635" s="21" t="n">
        <x:f>MOD(A635-1,50)+1</x:f>
        <x:v>31</x:v>
      </x:c>
      <x:c r="D635" s="29" t="str">
        <x:v>γένος, -ους, τό</x:v>
      </x:c>
      <x:c r="E635" s="29" t="str">
        <x:v>γένος</x:v>
      </x:c>
      <x:c r="F635" s="27" t="str">
        <x:v>genos</x:v>
      </x:c>
      <x:c r="G635" s="20" t="str">
        <x:v>"kin" (abstract or concrete, literal or figurative, individual or collective)</x:v>
      </x:c>
      <x:c r="H635" s="20" t="str"/>
      <x:c r="I635" s="21"/>
      <x:c r="J635" s="21" t="str">
        <x:v>Mounce 頻率延伸</x:v>
      </x:c>
      <x:c r="K635" s="21" t="str">
        <x:v>G1085</x:v>
      </x:c>
      <x:c r="L635" s="21" t="str">
        <x:v>否</x:v>
      </x:c>
      <x:c r="M635" s="21" t="str"/>
      <x:c r="N635" s="21" t="str">
        <x:v>source_and_lexicon_matched</x:v>
      </x:c>
      <x:c r="O635" s="21" t="str">
        <x:v>rule_generated_from_official_table</x:v>
      </x:c>
      <x:c r="P635" s="21" t="n">
        <x:v>11</x:v>
      </x:c>
      <x:c r="Q635" s="21" t="str">
        <x:v>https://doxa.billmounce.com/Flashcards%20%28BBG%29.pdf</x:v>
      </x:c>
      <x:c r="R635" s="16" t="str"/>
    </x:row>
    <x:row r="636" ht="28" customHeight="1">
      <x:c r="A636" s="21" t="n">
        <x:v>632</x:v>
      </x:c>
      <x:c r="B636" s="21" t="n">
        <x:f>ROUNDUP(A636/50,0)</x:f>
        <x:v>13</x:v>
      </x:c>
      <x:c r="C636" s="21" t="n">
        <x:f>MOD(A636-1,50)+1</x:f>
        <x:v>32</x:v>
      </x:c>
      <x:c r="D636" s="29" t="str">
        <x:v>γονεύς, -έως, ὁ</x:v>
      </x:c>
      <x:c r="E636" s="29" t="str">
        <x:v>γονεύς</x:v>
      </x:c>
      <x:c r="F636" s="27" t="str">
        <x:v>goneus</x:v>
      </x:c>
      <x:c r="G636" s="20" t="str">
        <x:v>a parent</x:v>
      </x:c>
      <x:c r="H636" s="20" t="str"/>
      <x:c r="I636" s="21"/>
      <x:c r="J636" s="21" t="str">
        <x:v>Mounce 頻率延伸</x:v>
      </x:c>
      <x:c r="K636" s="21" t="str">
        <x:v>G1118</x:v>
      </x:c>
      <x:c r="L636" s="21" t="str">
        <x:v>否</x:v>
      </x:c>
      <x:c r="M636" s="21" t="str"/>
      <x:c r="N636" s="21" t="str">
        <x:v>source_and_lexicon_matched</x:v>
      </x:c>
      <x:c r="O636" s="21" t="str">
        <x:v>rule_generated_from_official_table</x:v>
      </x:c>
      <x:c r="P636" s="21" t="n">
        <x:v>11</x:v>
      </x:c>
      <x:c r="Q636" s="21" t="str">
        <x:v>https://doxa.billmounce.com/Flashcards%20%28BBG%29.pdf</x:v>
      </x:c>
      <x:c r="R636" s="16" t="str"/>
    </x:row>
    <x:row r="637" ht="28" customHeight="1">
      <x:c r="A637" s="21" t="n">
        <x:v>633</x:v>
      </x:c>
      <x:c r="B637" s="21" t="n">
        <x:f>ROUNDUP(A637/50,0)</x:f>
        <x:v>13</x:v>
      </x:c>
      <x:c r="C637" s="21" t="n">
        <x:f>MOD(A637-1,50)+1</x:f>
        <x:v>33</x:v>
      </x:c>
      <x:c r="D637" s="29" t="str">
        <x:v>ἑκατοντάρχης, -ου, ὁ</x:v>
      </x:c>
      <x:c r="E637" s="29" t="str">
        <x:v>ἑκατοντάρχης</x:v>
      </x:c>
      <x:c r="F637" s="27" t="str">
        <x:v>hekatontarchēs</x:v>
      </x:c>
      <x:c r="G637" s="20" t="str">
        <x:v>the captain of one hundred men</x:v>
      </x:c>
      <x:c r="H637" s="20" t="str"/>
      <x:c r="I637" s="21"/>
      <x:c r="J637" s="21" t="str">
        <x:v>Mounce 頻率延伸</x:v>
      </x:c>
      <x:c r="K637" s="21" t="str">
        <x:v>G1543</x:v>
      </x:c>
      <x:c r="L637" s="21" t="str">
        <x:v>否</x:v>
      </x:c>
      <x:c r="M637" s="21" t="str"/>
      <x:c r="N637" s="21" t="str">
        <x:v>source_and_lexicon_matched</x:v>
      </x:c>
      <x:c r="O637" s="21" t="str">
        <x:v>rule_generated_from_official_table</x:v>
      </x:c>
      <x:c r="P637" s="21" t="n">
        <x:v>11</x:v>
      </x:c>
      <x:c r="Q637" s="21" t="str">
        <x:v>https://doxa.billmounce.com/Flashcards%20%28BBG%29.pdf</x:v>
      </x:c>
      <x:c r="R637" s="16" t="str"/>
    </x:row>
    <x:row r="638" ht="28" customHeight="1">
      <x:c r="A638" s="21" t="n">
        <x:v>634</x:v>
      </x:c>
      <x:c r="B638" s="21" t="n">
        <x:f>ROUNDUP(A638/50,0)</x:f>
        <x:v>13</x:v>
      </x:c>
      <x:c r="C638" s="21" t="n">
        <x:f>MOD(A638-1,50)+1</x:f>
        <x:v>34</x:v>
      </x:c>
      <x:c r="D638" s="29" t="str">
        <x:v>ἐπίγνωσις, -εως, ἡ</x:v>
      </x:c>
      <x:c r="E638" s="29" t="str">
        <x:v>ἐπίγνωσις</x:v>
      </x:c>
      <x:c r="F638" s="27" t="str">
        <x:v>epignōsis</x:v>
      </x:c>
      <x:c r="G638" s="20" t="str">
        <x:v>recognition, i.e. (by implication) full discernment, acknowledgement</x:v>
      </x:c>
      <x:c r="H638" s="20" t="str"/>
      <x:c r="I638" s="21"/>
      <x:c r="J638" s="21" t="str">
        <x:v>Mounce 頻率延伸</x:v>
      </x:c>
      <x:c r="K638" s="21" t="str">
        <x:v>G1922</x:v>
      </x:c>
      <x:c r="L638" s="21" t="str">
        <x:v>否</x:v>
      </x:c>
      <x:c r="M638" s="21" t="str"/>
      <x:c r="N638" s="21" t="str">
        <x:v>source_and_lexicon_matched</x:v>
      </x:c>
      <x:c r="O638" s="21" t="str">
        <x:v>rule_generated_from_official_table</x:v>
      </x:c>
      <x:c r="P638" s="21" t="n">
        <x:v>11</x:v>
      </x:c>
      <x:c r="Q638" s="21" t="str">
        <x:v>https://doxa.billmounce.com/Flashcards%20%28BBG%29.pdf</x:v>
      </x:c>
      <x:c r="R638" s="16" t="str"/>
    </x:row>
    <x:row r="639" ht="28" customHeight="1">
      <x:c r="A639" s="21" t="n">
        <x:v>635</x:v>
      </x:c>
      <x:c r="B639" s="21" t="n">
        <x:f>ROUNDUP(A639/50,0)</x:f>
        <x:v>13</x:v>
      </x:c>
      <x:c r="C639" s="21" t="n">
        <x:f>MOD(A639-1,50)+1</x:f>
        <x:v>35</x:v>
      </x:c>
      <x:c r="D639" s="29" t="str">
        <x:v>ἡγεμών, -όνος, ὁ</x:v>
      </x:c>
      <x:c r="E639" s="29" t="str">
        <x:v>ἡγεμών</x:v>
      </x:c>
      <x:c r="F639" s="27" t="str">
        <x:v>hēgemōn</x:v>
      </x:c>
      <x:c r="G639" s="20" t="str">
        <x:v>a leader, i.e. chief person (or figuratively, place) of a province</x:v>
      </x:c>
      <x:c r="H639" s="20" t="str"/>
      <x:c r="I639" s="21"/>
      <x:c r="J639" s="21" t="str">
        <x:v>Mounce 頻率延伸</x:v>
      </x:c>
      <x:c r="K639" s="21" t="str">
        <x:v>G2232</x:v>
      </x:c>
      <x:c r="L639" s="21" t="str">
        <x:v>否</x:v>
      </x:c>
      <x:c r="M639" s="21" t="str"/>
      <x:c r="N639" s="21" t="str">
        <x:v>source_and_lexicon_matched</x:v>
      </x:c>
      <x:c r="O639" s="21" t="str">
        <x:v>rule_generated_from_official_table</x:v>
      </x:c>
      <x:c r="P639" s="21" t="n">
        <x:v>11</x:v>
      </x:c>
      <x:c r="Q639" s="21" t="str">
        <x:v>https://doxa.billmounce.com/Flashcards%20%28BBG%29.pdf</x:v>
      </x:c>
      <x:c r="R639" s="16" t="str"/>
    </x:row>
    <x:row r="640" ht="28" customHeight="1">
      <x:c r="A640" s="21" t="n">
        <x:v>636</x:v>
      </x:c>
      <x:c r="B640" s="21" t="n">
        <x:f>ROUNDUP(A640/50,0)</x:f>
        <x:v>13</x:v>
      </x:c>
      <x:c r="C640" s="21" t="n">
        <x:f>MOD(A640-1,50)+1</x:f>
        <x:v>36</x:v>
      </x:c>
      <x:c r="D640" s="29" t="str">
        <x:v>Ἰσαάκ, ὁ</x:v>
      </x:c>
      <x:c r="E640" s="29" t="str">
        <x:v>Ἰσαάκ</x:v>
      </x:c>
      <x:c r="F640" s="27" t="str">
        <x:v>Isaak</x:v>
      </x:c>
      <x:c r="G640" s="20" t="str">
        <x:v>Isaac (i.e. Jitschak), the son of Abraham</x:v>
      </x:c>
      <x:c r="H640" s="20" t="str"/>
      <x:c r="I640" s="21"/>
      <x:c r="J640" s="21" t="str">
        <x:v>Mounce 頻率延伸</x:v>
      </x:c>
      <x:c r="K640" s="21" t="str">
        <x:v>G2464</x:v>
      </x:c>
      <x:c r="L640" s="21" t="str">
        <x:v>是</x:v>
      </x:c>
      <x:c r="M640" s="21" t="str">
        <x:v>人名</x:v>
      </x:c>
      <x:c r="N640" s="21" t="str">
        <x:v>source_and_lexicon_matched</x:v>
      </x:c>
      <x:c r="O640" s="21" t="str">
        <x:v>rule_generated_from_official_table</x:v>
      </x:c>
      <x:c r="P640" s="21" t="n">
        <x:v>11</x:v>
      </x:c>
      <x:c r="Q640" s="21" t="str">
        <x:v>https://doxa.billmounce.com/Flashcards%20%28BBG%29.pdf</x:v>
      </x:c>
      <x:c r="R640" s="16" t="str"/>
    </x:row>
    <x:row r="641" ht="28" customHeight="1">
      <x:c r="A641" s="21" t="n">
        <x:v>637</x:v>
      </x:c>
      <x:c r="B641" s="21" t="n">
        <x:f>ROUNDUP(A641/50,0)</x:f>
        <x:v>13</x:v>
      </x:c>
      <x:c r="C641" s="21" t="n">
        <x:f>MOD(A641-1,50)+1</x:f>
        <x:v>37</x:v>
      </x:c>
      <x:c r="D641" s="29" t="str">
        <x:v>ἰχθύς, -ύος, ὁ</x:v>
      </x:c>
      <x:c r="E641" s="29" t="str">
        <x:v>ἰχθύς</x:v>
      </x:c>
      <x:c r="F641" s="27" t="str">
        <x:v>ichthus</x:v>
      </x:c>
      <x:c r="G641" s="20" t="str">
        <x:v>a fish</x:v>
      </x:c>
      <x:c r="H641" s="20" t="str"/>
      <x:c r="I641" s="21"/>
      <x:c r="J641" s="21" t="str">
        <x:v>Mounce 頻率延伸</x:v>
      </x:c>
      <x:c r="K641" s="21" t="str">
        <x:v>G2486</x:v>
      </x:c>
      <x:c r="L641" s="21" t="str">
        <x:v>否</x:v>
      </x:c>
      <x:c r="M641" s="21" t="str"/>
      <x:c r="N641" s="21" t="str">
        <x:v>source_and_lexicon_matched</x:v>
      </x:c>
      <x:c r="O641" s="21" t="str">
        <x:v>rule_generated_from_official_table</x:v>
      </x:c>
      <x:c r="P641" s="21" t="n">
        <x:v>11</x:v>
      </x:c>
      <x:c r="Q641" s="21" t="str">
        <x:v>https://doxa.billmounce.com/Flashcards%20%28BBG%29.pdf</x:v>
      </x:c>
      <x:c r="R641" s="16" t="str"/>
    </x:row>
    <x:row r="642" ht="28" customHeight="1">
      <x:c r="A642" s="21" t="n">
        <x:v>638</x:v>
      </x:c>
      <x:c r="B642" s="21" t="n">
        <x:f>ROUNDUP(A642/50,0)</x:f>
        <x:v>13</x:v>
      </x:c>
      <x:c r="C642" s="21" t="n">
        <x:f>MOD(A642-1,50)+1</x:f>
        <x:v>38</x:v>
      </x:c>
      <x:c r="D642" s="29" t="str">
        <x:v>νηστεύω</x:v>
      </x:c>
      <x:c r="E642" s="29" t="str">
        <x:v>νηστεύω</x:v>
      </x:c>
      <x:c r="F642" s="27" t="str">
        <x:v>nēsteuō</x:v>
      </x:c>
      <x:c r="G642" s="20" t="str">
        <x:v>to abstain from food (religiously)</x:v>
      </x:c>
      <x:c r="H642" s="20" t="str"/>
      <x:c r="I642" s="21"/>
      <x:c r="J642" s="21" t="str">
        <x:v>Mounce 頻率延伸</x:v>
      </x:c>
      <x:c r="K642" s="21" t="str">
        <x:v>G3522</x:v>
      </x:c>
      <x:c r="L642" s="21" t="str">
        <x:v>否</x:v>
      </x:c>
      <x:c r="M642" s="21" t="str"/>
      <x:c r="N642" s="21" t="str">
        <x:v>source_and_lexicon_matched</x:v>
      </x:c>
      <x:c r="O642" s="21" t="str">
        <x:v>rule_generated_from_official_table</x:v>
      </x:c>
      <x:c r="P642" s="21" t="n">
        <x:v>11</x:v>
      </x:c>
      <x:c r="Q642" s="21" t="str">
        <x:v>https://doxa.billmounce.com/Flashcards%20%28BBG%29.pdf</x:v>
      </x:c>
      <x:c r="R642" s="16" t="str"/>
    </x:row>
    <x:row r="643" ht="28" customHeight="1">
      <x:c r="A643" s="21" t="n">
        <x:v>639</x:v>
      </x:c>
      <x:c r="B643" s="21" t="n">
        <x:f>ROUNDUP(A643/50,0)</x:f>
        <x:v>13</x:v>
      </x:c>
      <x:c r="C643" s="21" t="n">
        <x:f>MOD(A643-1,50)+1</x:f>
        <x:v>39</x:v>
      </x:c>
      <x:c r="D643" s="29" t="str">
        <x:v>νυνί</x:v>
      </x:c>
      <x:c r="E643" s="29" t="str">
        <x:v>νυνί</x:v>
      </x:c>
      <x:c r="F643" s="27" t="str">
        <x:v>nuni</x:v>
      </x:c>
      <x:c r="G643" s="20" t="str">
        <x:v>just now</x:v>
      </x:c>
      <x:c r="H643" s="20" t="str"/>
      <x:c r="I643" s="21"/>
      <x:c r="J643" s="21" t="str">
        <x:v>Mounce 頻率延伸</x:v>
      </x:c>
      <x:c r="K643" s="21" t="str">
        <x:v>G3570</x:v>
      </x:c>
      <x:c r="L643" s="21" t="str">
        <x:v>否</x:v>
      </x:c>
      <x:c r="M643" s="21" t="str"/>
      <x:c r="N643" s="21" t="str">
        <x:v>source_and_lexicon_matched</x:v>
      </x:c>
      <x:c r="O643" s="21" t="str">
        <x:v>rule_generated_from_official_table</x:v>
      </x:c>
      <x:c r="P643" s="21" t="n">
        <x:v>11</x:v>
      </x:c>
      <x:c r="Q643" s="21" t="str">
        <x:v>https://doxa.billmounce.com/Flashcards%20%28BBG%29.pdf</x:v>
      </x:c>
      <x:c r="R643" s="16" t="str"/>
    </x:row>
    <x:row r="644" ht="28" customHeight="1">
      <x:c r="A644" s="21" t="n">
        <x:v>640</x:v>
      </x:c>
      <x:c r="B644" s="21" t="n">
        <x:f>ROUNDUP(A644/50,0)</x:f>
        <x:v>13</x:v>
      </x:c>
      <x:c r="C644" s="21" t="n">
        <x:f>MOD(A644-1,50)+1</x:f>
        <x:v>40</x:v>
      </x:c>
      <x:c r="D644" s="29" t="str">
        <x:v>ξύλον, -ου, τό</x:v>
      </x:c>
      <x:c r="E644" s="29" t="str">
        <x:v>ξύλον</x:v>
      </x:c>
      <x:c r="F644" s="27" t="str">
        <x:v>xulon</x:v>
      </x:c>
      <x:c r="G644" s="20" t="str">
        <x:v>timber (as fuel or material); by implication, a stick, club or tree or other wooden article or substance</x:v>
      </x:c>
      <x:c r="H644" s="20" t="str"/>
      <x:c r="I644" s="21"/>
      <x:c r="J644" s="21" t="str">
        <x:v>Mounce 頻率延伸</x:v>
      </x:c>
      <x:c r="K644" s="21" t="str">
        <x:v>G3586</x:v>
      </x:c>
      <x:c r="L644" s="21" t="str">
        <x:v>否</x:v>
      </x:c>
      <x:c r="M644" s="21" t="str"/>
      <x:c r="N644" s="21" t="str">
        <x:v>source_and_lexicon_matched</x:v>
      </x:c>
      <x:c r="O644" s="21" t="str">
        <x:v>rule_generated_from_official_table</x:v>
      </x:c>
      <x:c r="P644" s="21" t="n">
        <x:v>11</x:v>
      </x:c>
      <x:c r="Q644" s="21" t="str">
        <x:v>https://doxa.billmounce.com/Flashcards%20%28BBG%29.pdf</x:v>
      </x:c>
      <x:c r="R644" s="16" t="str"/>
    </x:row>
    <x:row r="645" ht="28" customHeight="1">
      <x:c r="A645" s="21" t="n">
        <x:v>641</x:v>
      </x:c>
      <x:c r="B645" s="21" t="n">
        <x:f>ROUNDUP(A645/50,0)</x:f>
        <x:v>13</x:v>
      </x:c>
      <x:c r="C645" s="21" t="n">
        <x:f>MOD(A645-1,50)+1</x:f>
        <x:v>41</x:v>
      </x:c>
      <x:c r="D645" s="29" t="str">
        <x:v>προάγω</x:v>
      </x:c>
      <x:c r="E645" s="29" t="str">
        <x:v>προάγω</x:v>
      </x:c>
      <x:c r="F645" s="27" t="str">
        <x:v>proagō</x:v>
      </x:c>
      <x:c r="G645" s="20" t="str">
        <x:v>to lead forward (magisterially); intransitively, to precede (in place or time (participle, previous))</x:v>
      </x:c>
      <x:c r="H645" s="20" t="str"/>
      <x:c r="I645" s="21"/>
      <x:c r="J645" s="21" t="str">
        <x:v>Mounce 頻率延伸</x:v>
      </x:c>
      <x:c r="K645" s="21" t="str">
        <x:v>G4254</x:v>
      </x:c>
      <x:c r="L645" s="21" t="str">
        <x:v>否</x:v>
      </x:c>
      <x:c r="M645" s="21" t="str"/>
      <x:c r="N645" s="21" t="str">
        <x:v>source_and_lexicon_matched</x:v>
      </x:c>
      <x:c r="O645" s="21" t="str">
        <x:v>rule_generated_from_official_table</x:v>
      </x:c>
      <x:c r="P645" s="21" t="n">
        <x:v>11</x:v>
      </x:c>
      <x:c r="Q645" s="21" t="str">
        <x:v>https://doxa.billmounce.com/Flashcards%20%28BBG%29.pdf</x:v>
      </x:c>
      <x:c r="R645" s="16" t="str"/>
    </x:row>
    <x:row r="646" ht="28" customHeight="1">
      <x:c r="A646" s="21" t="n">
        <x:v>642</x:v>
      </x:c>
      <x:c r="B646" s="21" t="n">
        <x:f>ROUNDUP(A646/50,0)</x:f>
        <x:v>13</x:v>
      </x:c>
      <x:c r="C646" s="21" t="n">
        <x:f>MOD(A646-1,50)+1</x:f>
        <x:v>42</x:v>
      </x:c>
      <x:c r="D646" s="29" t="str">
        <x:v>σκηνή, -ῆς, ἡ</x:v>
      </x:c>
      <x:c r="E646" s="29" t="str">
        <x:v>σκηνή</x:v>
      </x:c>
      <x:c r="F646" s="27" t="str">
        <x:v>skēnē</x:v>
      </x:c>
      <x:c r="G646" s="20" t="str">
        <x:v>a tent or cloth hut (literally or figuratively)</x:v>
      </x:c>
      <x:c r="H646" s="20" t="str"/>
      <x:c r="I646" s="21"/>
      <x:c r="J646" s="21" t="str">
        <x:v>Mounce 頻率延伸</x:v>
      </x:c>
      <x:c r="K646" s="21" t="str">
        <x:v>G4633</x:v>
      </x:c>
      <x:c r="L646" s="21" t="str">
        <x:v>否</x:v>
      </x:c>
      <x:c r="M646" s="21" t="str"/>
      <x:c r="N646" s="21" t="str">
        <x:v>source_and_lexicon_matched</x:v>
      </x:c>
      <x:c r="O646" s="21" t="str">
        <x:v>rule_generated_from_official_table</x:v>
      </x:c>
      <x:c r="P646" s="21" t="n">
        <x:v>11</x:v>
      </x:c>
      <x:c r="Q646" s="21" t="str">
        <x:v>https://doxa.billmounce.com/Flashcards%20%28BBG%29.pdf</x:v>
      </x:c>
      <x:c r="R646" s="16" t="str"/>
    </x:row>
    <x:row r="647" ht="28" customHeight="1">
      <x:c r="A647" s="21" t="n">
        <x:v>643</x:v>
      </x:c>
      <x:c r="B647" s="21" t="n">
        <x:f>ROUNDUP(A647/50,0)</x:f>
        <x:v>13</x:v>
      </x:c>
      <x:c r="C647" s="21" t="n">
        <x:f>MOD(A647-1,50)+1</x:f>
        <x:v>43</x:v>
      </x:c>
      <x:c r="D647" s="29" t="str">
        <x:v>σοφός, -ή, -όν</x:v>
      </x:c>
      <x:c r="E647" s="29" t="str">
        <x:v>σοφός</x:v>
      </x:c>
      <x:c r="F647" s="27" t="str">
        <x:v>sophos</x:v>
      </x:c>
      <x:c r="G647" s="20" t="str">
        <x:v>wise (in a most general application)</x:v>
      </x:c>
      <x:c r="H647" s="20" t="str"/>
      <x:c r="I647" s="21"/>
      <x:c r="J647" s="21" t="str">
        <x:v>Mounce 頻率延伸</x:v>
      </x:c>
      <x:c r="K647" s="21" t="str">
        <x:v>G4680</x:v>
      </x:c>
      <x:c r="L647" s="21" t="str">
        <x:v>否</x:v>
      </x:c>
      <x:c r="M647" s="21" t="str"/>
      <x:c r="N647" s="21" t="str">
        <x:v>source_and_lexicon_matched</x:v>
      </x:c>
      <x:c r="O647" s="21" t="str">
        <x:v>rule_generated_from_official_table</x:v>
      </x:c>
      <x:c r="P647" s="21" t="n">
        <x:v>11</x:v>
      </x:c>
      <x:c r="Q647" s="21" t="str">
        <x:v>https://doxa.billmounce.com/Flashcards%20%28BBG%29.pdf</x:v>
      </x:c>
      <x:c r="R647" s="16" t="str"/>
    </x:row>
    <x:row r="648" ht="28" customHeight="1">
      <x:c r="A648" s="21" t="n">
        <x:v>644</x:v>
      </x:c>
      <x:c r="B648" s="21" t="n">
        <x:f>ROUNDUP(A648/50,0)</x:f>
        <x:v>13</x:v>
      </x:c>
      <x:c r="C648" s="21" t="n">
        <x:f>MOD(A648-1,50)+1</x:f>
        <x:v>44</x:v>
      </x:c>
      <x:c r="D648" s="29" t="str">
        <x:v>τοσοῦτος, -αύτη, -οῦτον</x:v>
      </x:c>
      <x:c r="E648" s="29" t="str">
        <x:v>τοσοῦτος</x:v>
      </x:c>
      <x:c r="F648" s="27" t="str">
        <x:v>tosoutos</x:v>
      </x:c>
      <x:c r="G648" s="20" t="str">
        <x:v>apparently from G3588 (ὁ) and G3739 (ὅς)) and G3778 (οὗτος) (including its variations); so vast as this, i.e. such (in quantity, amount, number of space)</x:v>
      </x:c>
      <x:c r="H648" s="20" t="str"/>
      <x:c r="I648" s="21"/>
      <x:c r="J648" s="21" t="str">
        <x:v>Mounce 頻率延伸</x:v>
      </x:c>
      <x:c r="K648" s="21" t="str">
        <x:v>G5118</x:v>
      </x:c>
      <x:c r="L648" s="21" t="str">
        <x:v>否</x:v>
      </x:c>
      <x:c r="M648" s="21" t="str"/>
      <x:c r="N648" s="21" t="str">
        <x:v>source_and_lexicon_matched</x:v>
      </x:c>
      <x:c r="O648" s="21" t="str">
        <x:v>rule_generated_from_official_table</x:v>
      </x:c>
      <x:c r="P648" s="21" t="n">
        <x:v>11</x:v>
      </x:c>
      <x:c r="Q648" s="21" t="str">
        <x:v>https://doxa.billmounce.com/Flashcards%20%28BBG%29.pdf</x:v>
      </x:c>
      <x:c r="R648" s="16" t="str"/>
    </x:row>
    <x:row r="649" ht="28" customHeight="1">
      <x:c r="A649" s="21" t="n">
        <x:v>645</x:v>
      </x:c>
      <x:c r="B649" s="21" t="n">
        <x:f>ROUNDUP(A649/50,0)</x:f>
        <x:v>13</x:v>
      </x:c>
      <x:c r="C649" s="21" t="n">
        <x:f>MOD(A649-1,50)+1</x:f>
        <x:v>45</x:v>
      </x:c>
      <x:c r="D649" s="29" t="str">
        <x:v>τρέχω</x:v>
      </x:c>
      <x:c r="E649" s="29" t="str">
        <x:v>τρέχω</x:v>
      </x:c>
      <x:c r="F649" s="27" t="str">
        <x:v>trechō</x:v>
      </x:c>
      <x:c r="G649" s="20" t="str">
        <x:v>compare G2359 (θρίξ)); which uses (the base of G1408 (δρόμος)) as alternate in certain tenses; to run or walk hastily (literally or figuratively)</x:v>
      </x:c>
      <x:c r="H649" s="20" t="str"/>
      <x:c r="I649" s="21"/>
      <x:c r="J649" s="21" t="str">
        <x:v>Mounce 頻率延伸</x:v>
      </x:c>
      <x:c r="K649" s="21" t="str">
        <x:v>G5143</x:v>
      </x:c>
      <x:c r="L649" s="21" t="str">
        <x:v>否</x:v>
      </x:c>
      <x:c r="M649" s="21" t="str"/>
      <x:c r="N649" s="21" t="str">
        <x:v>source_and_lexicon_matched</x:v>
      </x:c>
      <x:c r="O649" s="21" t="str">
        <x:v>rule_generated_from_official_table</x:v>
      </x:c>
      <x:c r="P649" s="21" t="n">
        <x:v>11</x:v>
      </x:c>
      <x:c r="Q649" s="21" t="str">
        <x:v>https://doxa.billmounce.com/Flashcards%20%28BBG%29.pdf</x:v>
      </x:c>
      <x:c r="R649" s="16" t="str"/>
    </x:row>
    <x:row r="650" ht="28" customHeight="1">
      <x:c r="A650" s="21" t="n">
        <x:v>646</x:v>
      </x:c>
      <x:c r="B650" s="21" t="n">
        <x:f>ROUNDUP(A650/50,0)</x:f>
        <x:v>13</x:v>
      </x:c>
      <x:c r="C650" s="21" t="n">
        <x:f>MOD(A650-1,50)+1</x:f>
        <x:v>46</x:v>
      </x:c>
      <x:c r="D650" s="29" t="str">
        <x:v>ὑπηρέτης, -ου, ὁ</x:v>
      </x:c>
      <x:c r="E650" s="29" t="str">
        <x:v>ὑπηρέτης</x:v>
      </x:c>
      <x:c r="F650" s="27" t="str">
        <x:v>hupēretēs</x:v>
      </x:c>
      <x:c r="G650" s="20" t="str">
        <x:v>an under-oarsman, i.e. (generally) subordinate (assistant, sexton, constable)</x:v>
      </x:c>
      <x:c r="H650" s="20" t="str"/>
      <x:c r="I650" s="21"/>
      <x:c r="J650" s="21" t="str">
        <x:v>Mounce 頻率延伸</x:v>
      </x:c>
      <x:c r="K650" s="21" t="str">
        <x:v>G5257</x:v>
      </x:c>
      <x:c r="L650" s="21" t="str">
        <x:v>否</x:v>
      </x:c>
      <x:c r="M650" s="21" t="str"/>
      <x:c r="N650" s="21" t="str">
        <x:v>source_and_lexicon_matched</x:v>
      </x:c>
      <x:c r="O650" s="21" t="str">
        <x:v>rule_generated_from_official_table</x:v>
      </x:c>
      <x:c r="P650" s="21" t="n">
        <x:v>11</x:v>
      </x:c>
      <x:c r="Q650" s="21" t="str">
        <x:v>https://doxa.billmounce.com/Flashcards%20%28BBG%29.pdf</x:v>
      </x:c>
      <x:c r="R650" s="16" t="str"/>
    </x:row>
    <x:row r="651" ht="28" customHeight="1">
      <x:c r="A651" s="21" t="n">
        <x:v>647</x:v>
      </x:c>
      <x:c r="B651" s="21" t="n">
        <x:f>ROUNDUP(A651/50,0)</x:f>
        <x:v>13</x:v>
      </x:c>
      <x:c r="C651" s="21" t="n">
        <x:f>MOD(A651-1,50)+1</x:f>
        <x:v>47</x:v>
      </x:c>
      <x:c r="D651" s="29" t="str">
        <x:v>ὑψόω</x:v>
      </x:c>
      <x:c r="E651" s="29" t="str">
        <x:v>ὑψόω</x:v>
      </x:c>
      <x:c r="F651" s="27" t="str">
        <x:v>hupsoō</x:v>
      </x:c>
      <x:c r="G651" s="20" t="str">
        <x:v>to elevate (literally or figuratively)</x:v>
      </x:c>
      <x:c r="H651" s="20" t="str"/>
      <x:c r="I651" s="21"/>
      <x:c r="J651" s="21" t="str">
        <x:v>Mounce 頻率延伸</x:v>
      </x:c>
      <x:c r="K651" s="21" t="str">
        <x:v>G5312</x:v>
      </x:c>
      <x:c r="L651" s="21" t="str">
        <x:v>否</x:v>
      </x:c>
      <x:c r="M651" s="21" t="str"/>
      <x:c r="N651" s="21" t="str">
        <x:v>source_and_lexicon_matched</x:v>
      </x:c>
      <x:c r="O651" s="21" t="str">
        <x:v>rule_generated_from_official_table</x:v>
      </x:c>
      <x:c r="P651" s="21" t="n">
        <x:v>11</x:v>
      </x:c>
      <x:c r="Q651" s="21" t="str">
        <x:v>https://doxa.billmounce.com/Flashcards%20%28BBG%29.pdf</x:v>
      </x:c>
      <x:c r="R651" s="16" t="str"/>
    </x:row>
    <x:row r="652" ht="28" customHeight="1">
      <x:c r="A652" s="21" t="n">
        <x:v>648</x:v>
      </x:c>
      <x:c r="B652" s="21" t="n">
        <x:f>ROUNDUP(A652/50,0)</x:f>
        <x:v>13</x:v>
      </x:c>
      <x:c r="C652" s="21" t="n">
        <x:f>MOD(A652-1,50)+1</x:f>
        <x:v>48</x:v>
      </x:c>
      <x:c r="D652" s="29" t="str">
        <x:v>ἀπέχω</x:v>
      </x:c>
      <x:c r="E652" s="29" t="str">
        <x:v>ἀπέχω</x:v>
      </x:c>
      <x:c r="F652" s="27" t="str">
        <x:v>apechō</x:v>
      </x:c>
      <x:c r="G652" s="20" t="str">
        <x:v>(actively) to have out, i.e. receive in full; (intransitively) to keep (oneself) away, i.e. be distant (literally or figuratively)</x:v>
      </x:c>
      <x:c r="H652" s="20" t="str"/>
      <x:c r="I652" s="21"/>
      <x:c r="J652" s="21" t="str">
        <x:v>Mounce 頻率延伸</x:v>
      </x:c>
      <x:c r="K652" s="21" t="str">
        <x:v>G568</x:v>
      </x:c>
      <x:c r="L652" s="21" t="str">
        <x:v>否</x:v>
      </x:c>
      <x:c r="M652" s="21" t="str"/>
      <x:c r="N652" s="21" t="str">
        <x:v>source_and_lexicon_matched</x:v>
      </x:c>
      <x:c r="O652" s="21" t="str">
        <x:v>rule_generated_from_official_table</x:v>
      </x:c>
      <x:c r="P652" s="21" t="n">
        <x:v>11</x:v>
      </x:c>
      <x:c r="Q652" s="21" t="str">
        <x:v>https://doxa.billmounce.com/Flashcards%20%28BBG%29.pdf</x:v>
      </x:c>
      <x:c r="R652" s="16" t="str"/>
    </x:row>
    <x:row r="653" ht="28" customHeight="1">
      <x:c r="A653" s="21" t="n">
        <x:v>649</x:v>
      </x:c>
      <x:c r="B653" s="21" t="n">
        <x:f>ROUNDUP(A653/50,0)</x:f>
        <x:v>13</x:v>
      </x:c>
      <x:c r="C653" s="21" t="n">
        <x:f>MOD(A653-1,50)+1</x:f>
        <x:v>49</x:v>
      </x:c>
      <x:c r="D653" s="29" t="str">
        <x:v>βάπτισμα, -ατος, τό</x:v>
      </x:c>
      <x:c r="E653" s="29" t="str">
        <x:v>βάπτισμα</x:v>
      </x:c>
      <x:c r="F653" s="27" t="str">
        <x:v>baptisma</x:v>
      </x:c>
      <x:c r="G653" s="20" t="str">
        <x:v>baptism (technically or figuratively)</x:v>
      </x:c>
      <x:c r="H653" s="20" t="str"/>
      <x:c r="I653" s="21"/>
      <x:c r="J653" s="21" t="str">
        <x:v>Mounce 頻率延伸</x:v>
      </x:c>
      <x:c r="K653" s="21" t="str">
        <x:v>G908</x:v>
      </x:c>
      <x:c r="L653" s="21" t="str">
        <x:v>否</x:v>
      </x:c>
      <x:c r="M653" s="21" t="str"/>
      <x:c r="N653" s="21" t="str">
        <x:v>source_and_lexicon_matched</x:v>
      </x:c>
      <x:c r="O653" s="21" t="str">
        <x:v>rule_generated_from_official_table</x:v>
      </x:c>
      <x:c r="P653" s="21" t="n">
        <x:v>11</x:v>
      </x:c>
      <x:c r="Q653" s="21" t="str">
        <x:v>https://doxa.billmounce.com/Flashcards%20%28BBG%29.pdf</x:v>
      </x:c>
      <x:c r="R653" s="16" t="str"/>
    </x:row>
    <x:row r="654" ht="28" customHeight="1">
      <x:c r="A654" s="21" t="n">
        <x:v>650</x:v>
      </x:c>
      <x:c r="B654" s="21" t="n">
        <x:f>ROUNDUP(A654/50,0)</x:f>
        <x:v>13</x:v>
      </x:c>
      <x:c r="C654" s="21" t="n">
        <x:f>MOD(A654-1,50)+1</x:f>
        <x:v>50</x:v>
      </x:c>
      <x:c r="D654" s="29" t="str">
        <x:v>γεωργός, -οῦ, ὁ</x:v>
      </x:c>
      <x:c r="E654" s="29" t="str">
        <x:v>γεωργός</x:v>
      </x:c>
      <x:c r="F654" s="27" t="str">
        <x:v>geōrgos</x:v>
      </x:c>
      <x:c r="G654" s="20" t="str">
        <x:v>a land-worker, i.e. farmer</x:v>
      </x:c>
      <x:c r="H654" s="20" t="str"/>
      <x:c r="I654" s="21"/>
      <x:c r="J654" s="21" t="str">
        <x:v>Mounce 頻率延伸</x:v>
      </x:c>
      <x:c r="K654" s="21" t="str">
        <x:v>G1092</x:v>
      </x:c>
      <x:c r="L654" s="21" t="str">
        <x:v>否</x:v>
      </x:c>
      <x:c r="M654" s="21" t="str"/>
      <x:c r="N654" s="21" t="str">
        <x:v>source_and_lexicon_matched</x:v>
      </x:c>
      <x:c r="O654" s="21" t="str">
        <x:v>rule_generated_from_official_table</x:v>
      </x:c>
      <x:c r="P654" s="21" t="n">
        <x:v>11</x:v>
      </x:c>
      <x:c r="Q654" s="21" t="str">
        <x:v>https://doxa.billmounce.com/Flashcards%20%28BBG%29.pdf</x:v>
      </x:c>
      <x:c r="R654" s="16" t="str"/>
    </x:row>
    <x:row r="655" ht="28" customHeight="1">
      <x:c r="A655" s="21" t="n">
        <x:v>651</x:v>
      </x:c>
      <x:c r="B655" s="21" t="n">
        <x:f>ROUNDUP(A655/50,0)</x:f>
        <x:v>14</x:v>
      </x:c>
      <x:c r="C655" s="21" t="n">
        <x:f>MOD(A655-1,50)+1</x:f>
        <x:v>1</x:v>
      </x:c>
      <x:c r="D655" s="29" t="str">
        <x:v>διακρίνω</x:v>
      </x:c>
      <x:c r="E655" s="29" t="str">
        <x:v>διακρίνω</x:v>
      </x:c>
      <x:c r="F655" s="27" t="str">
        <x:v>diakrinō</x:v>
      </x:c>
      <x:c r="G655" s="20" t="str">
        <x:v>to separate thoroughly, i.e. (literally and reflexively) to withdraw from, or (by implication) oppose; figuratively, to discriminate (by implication, decide), or (reflexively) hesitate</x:v>
      </x:c>
      <x:c r="H655" s="20" t="str"/>
      <x:c r="I655" s="21"/>
      <x:c r="J655" s="21" t="str">
        <x:v>Mounce 頻率延伸</x:v>
      </x:c>
      <x:c r="K655" s="21" t="str">
        <x:v>G1252</x:v>
      </x:c>
      <x:c r="L655" s="21" t="str">
        <x:v>否</x:v>
      </x:c>
      <x:c r="M655" s="21" t="str"/>
      <x:c r="N655" s="21" t="str">
        <x:v>source_and_lexicon_matched</x:v>
      </x:c>
      <x:c r="O655" s="21" t="str">
        <x:v>rule_generated_from_official_table</x:v>
      </x:c>
      <x:c r="P655" s="21" t="n">
        <x:v>11</x:v>
      </x:c>
      <x:c r="Q655" s="21" t="str">
        <x:v>https://doxa.billmounce.com/Flashcards%20%28BBG%29.pdf</x:v>
      </x:c>
      <x:c r="R655" s="16" t="str"/>
    </x:row>
    <x:row r="656" ht="28" customHeight="1">
      <x:c r="A656" s="21" t="n">
        <x:v>652</x:v>
      </x:c>
      <x:c r="B656" s="21" t="n">
        <x:f>ROUNDUP(A656/50,0)</x:f>
        <x:v>14</x:v>
      </x:c>
      <x:c r="C656" s="21" t="n">
        <x:f>MOD(A656-1,50)+1</x:f>
        <x:v>2</x:v>
      </x:c>
      <x:c r="D656" s="29" t="str">
        <x:v>δῶρον, -ου, τό</x:v>
      </x:c>
      <x:c r="E656" s="29" t="str">
        <x:v>δῶρον</x:v>
      </x:c>
      <x:c r="F656" s="27" t="str">
        <x:v>dōron</x:v>
      </x:c>
      <x:c r="G656" s="20" t="str">
        <x:v>a present; specially, a sacrifice</x:v>
      </x:c>
      <x:c r="H656" s="20" t="str"/>
      <x:c r="I656" s="21"/>
      <x:c r="J656" s="21" t="str">
        <x:v>Mounce 頻率延伸</x:v>
      </x:c>
      <x:c r="K656" s="21" t="str">
        <x:v>G1435</x:v>
      </x:c>
      <x:c r="L656" s="21" t="str">
        <x:v>否</x:v>
      </x:c>
      <x:c r="M656" s="21" t="str"/>
      <x:c r="N656" s="21" t="str">
        <x:v>source_and_lexicon_matched</x:v>
      </x:c>
      <x:c r="O656" s="21" t="str">
        <x:v>rule_generated_from_official_table</x:v>
      </x:c>
      <x:c r="P656" s="21" t="n">
        <x:v>11</x:v>
      </x:c>
      <x:c r="Q656" s="21" t="str">
        <x:v>https://doxa.billmounce.com/Flashcards%20%28BBG%29.pdf</x:v>
      </x:c>
      <x:c r="R656" s="16" t="str"/>
    </x:row>
    <x:row r="657" ht="28" customHeight="1">
      <x:c r="A657" s="21" t="n">
        <x:v>653</x:v>
      </x:c>
      <x:c r="B657" s="21" t="n">
        <x:f>ROUNDUP(A657/50,0)</x:f>
        <x:v>14</x:v>
      </x:c>
      <x:c r="C657" s="21" t="n">
        <x:f>MOD(A657-1,50)+1</x:f>
        <x:v>3</x:v>
      </x:c>
      <x:c r="D657" s="29" t="str">
        <x:v>ἐπαίρω</x:v>
      </x:c>
      <x:c r="E657" s="29" t="str">
        <x:v>ἐπαίρω</x:v>
      </x:c>
      <x:c r="F657" s="27" t="str">
        <x:v>epairō</x:v>
      </x:c>
      <x:c r="G657" s="20" t="str">
        <x:v>to raise up (literally or figuratively)</x:v>
      </x:c>
      <x:c r="H657" s="20" t="str"/>
      <x:c r="I657" s="21"/>
      <x:c r="J657" s="21" t="str">
        <x:v>Mounce 頻率延伸</x:v>
      </x:c>
      <x:c r="K657" s="21" t="str">
        <x:v>G1869</x:v>
      </x:c>
      <x:c r="L657" s="21" t="str">
        <x:v>否</x:v>
      </x:c>
      <x:c r="M657" s="21" t="str"/>
      <x:c r="N657" s="21" t="str">
        <x:v>source_and_lexicon_matched</x:v>
      </x:c>
      <x:c r="O657" s="21" t="str">
        <x:v>rule_generated_from_official_table</x:v>
      </x:c>
      <x:c r="P657" s="21" t="n">
        <x:v>11</x:v>
      </x:c>
      <x:c r="Q657" s="21" t="str">
        <x:v>https://doxa.billmounce.com/Flashcards%20%28BBG%29.pdf</x:v>
      </x:c>
      <x:c r="R657" s="16" t="str"/>
    </x:row>
    <x:row r="658" ht="28" customHeight="1">
      <x:c r="A658" s="21" t="n">
        <x:v>654</x:v>
      </x:c>
      <x:c r="B658" s="21" t="n">
        <x:f>ROUNDUP(A658/50,0)</x:f>
        <x:v>14</x:v>
      </x:c>
      <x:c r="C658" s="21" t="n">
        <x:f>MOD(A658-1,50)+1</x:f>
        <x:v>4</x:v>
      </x:c>
      <x:c r="D658" s="29" t="str">
        <x:v>ἐπάνω</x:v>
      </x:c>
      <x:c r="E658" s="29" t="str">
        <x:v>ἐπάνω</x:v>
      </x:c>
      <x:c r="F658" s="27" t="str">
        <x:v>epanō</x:v>
      </x:c>
      <x:c r="G658" s="20" t="str">
        <x:v>up above, i.e. over or on (of place, amount, rank, etc.)</x:v>
      </x:c>
      <x:c r="H658" s="20" t="str"/>
      <x:c r="I658" s="21"/>
      <x:c r="J658" s="21" t="str">
        <x:v>Mounce 頻率延伸</x:v>
      </x:c>
      <x:c r="K658" s="21" t="str">
        <x:v>G1883</x:v>
      </x:c>
      <x:c r="L658" s="21" t="str">
        <x:v>否</x:v>
      </x:c>
      <x:c r="M658" s="21" t="str"/>
      <x:c r="N658" s="21" t="str">
        <x:v>source_and_lexicon_matched</x:v>
      </x:c>
      <x:c r="O658" s="21" t="str">
        <x:v>rule_generated_from_official_table</x:v>
      </x:c>
      <x:c r="P658" s="21" t="n">
        <x:v>11</x:v>
      </x:c>
      <x:c r="Q658" s="21" t="str">
        <x:v>https://doxa.billmounce.com/Flashcards%20%28BBG%29.pdf</x:v>
      </x:c>
      <x:c r="R658" s="16" t="str"/>
    </x:row>
    <x:row r="659" ht="28" customHeight="1">
      <x:c r="A659" s="21" t="n">
        <x:v>655</x:v>
      </x:c>
      <x:c r="B659" s="21" t="n">
        <x:f>ROUNDUP(A659/50,0)</x:f>
        <x:v>14</x:v>
      </x:c>
      <x:c r="C659" s="21" t="n">
        <x:f>MOD(A659-1,50)+1</x:f>
        <x:v>5</x:v>
      </x:c>
      <x:c r="D659" s="29" t="str">
        <x:v>ἐπιλαμβάνομαι</x:v>
      </x:c>
      <x:c r="E659" s="29" t="str">
        <x:v>ἐπιλαμβάνομαι</x:v>
      </x:c>
      <x:c r="F659" s="27" t="str">
        <x:v>epilambanomai</x:v>
      </x:c>
      <x:c r="G659" s="20" t="str">
        <x:v>to seize (for help, injury, attainment, or any other purpose; literally or figuratively)</x:v>
      </x:c>
      <x:c r="H659" s="20" t="str"/>
      <x:c r="I659" s="21"/>
      <x:c r="J659" s="21" t="str">
        <x:v>Mounce 頻率延伸</x:v>
      </x:c>
      <x:c r="K659" s="21" t="str">
        <x:v>G1949</x:v>
      </x:c>
      <x:c r="L659" s="21" t="str">
        <x:v>否</x:v>
      </x:c>
      <x:c r="M659" s="21" t="str"/>
      <x:c r="N659" s="21" t="str">
        <x:v>source_and_lexicon_matched</x:v>
      </x:c>
      <x:c r="O659" s="21" t="str">
        <x:v>rule_generated_from_official_table</x:v>
      </x:c>
      <x:c r="P659" s="21" t="n">
        <x:v>11</x:v>
      </x:c>
      <x:c r="Q659" s="21" t="str">
        <x:v>https://doxa.billmounce.com/Flashcards%20%28BBG%29.pdf</x:v>
      </x:c>
      <x:c r="R659" s="16" t="str"/>
    </x:row>
    <x:row r="660" ht="28" customHeight="1">
      <x:c r="A660" s="21" t="n">
        <x:v>656</x:v>
      </x:c>
      <x:c r="B660" s="21" t="n">
        <x:f>ROUNDUP(A660/50,0)</x:f>
        <x:v>14</x:v>
      </x:c>
      <x:c r="C660" s="21" t="n">
        <x:f>MOD(A660-1,50)+1</x:f>
        <x:v>6</x:v>
      </x:c>
      <x:c r="D660" s="29" t="str">
        <x:v>ἐπουράνιος, -ον</x:v>
      </x:c>
      <x:c r="E660" s="29" t="str">
        <x:v>ἐπουράνιος</x:v>
      </x:c>
      <x:c r="F660" s="27" t="str">
        <x:v>epouranios</x:v>
      </x:c>
      <x:c r="G660" s="20" t="str">
        <x:v>above the sky</x:v>
      </x:c>
      <x:c r="H660" s="20" t="str"/>
      <x:c r="I660" s="21"/>
      <x:c r="J660" s="21" t="str">
        <x:v>Mounce 頻率延伸</x:v>
      </x:c>
      <x:c r="K660" s="21" t="str">
        <x:v>G2032</x:v>
      </x:c>
      <x:c r="L660" s="21" t="str">
        <x:v>否</x:v>
      </x:c>
      <x:c r="M660" s="21" t="str"/>
      <x:c r="N660" s="21" t="str">
        <x:v>source_and_lexicon_matched</x:v>
      </x:c>
      <x:c r="O660" s="21" t="str">
        <x:v>rule_generated_from_official_table</x:v>
      </x:c>
      <x:c r="P660" s="21" t="n">
        <x:v>11</x:v>
      </x:c>
      <x:c r="Q660" s="21" t="str">
        <x:v>https://doxa.billmounce.com/Flashcards%20%28BBG%29.pdf</x:v>
      </x:c>
      <x:c r="R660" s="16" t="str"/>
    </x:row>
    <x:row r="661" ht="28" customHeight="1">
      <x:c r="A661" s="21" t="n">
        <x:v>657</x:v>
      </x:c>
      <x:c r="B661" s="21" t="n">
        <x:f>ROUNDUP(A661/50,0)</x:f>
        <x:v>14</x:v>
      </x:c>
      <x:c r="C661" s="21" t="n">
        <x:f>MOD(A661-1,50)+1</x:f>
        <x:v>7</x:v>
      </x:c>
      <x:c r="D661" s="29" t="str">
        <x:v>κοινωνία, -ας, ἡ</x:v>
      </x:c>
      <x:c r="E661" s="29" t="str">
        <x:v>κοινωνία</x:v>
      </x:c>
      <x:c r="F661" s="27" t="str">
        <x:v>koinōnia</x:v>
      </x:c>
      <x:c r="G661" s="20" t="str">
        <x:v>partnership, i.e. (literally) participation, or (social) intercourse, or (pecuniary) benefaction</x:v>
      </x:c>
      <x:c r="H661" s="20" t="str"/>
      <x:c r="I661" s="21"/>
      <x:c r="J661" s="21" t="str">
        <x:v>Mounce 頻率延伸</x:v>
      </x:c>
      <x:c r="K661" s="21" t="str">
        <x:v>G2842</x:v>
      </x:c>
      <x:c r="L661" s="21" t="str">
        <x:v>否</x:v>
      </x:c>
      <x:c r="M661" s="21" t="str"/>
      <x:c r="N661" s="21" t="str">
        <x:v>source_and_lexicon_matched</x:v>
      </x:c>
      <x:c r="O661" s="21" t="str">
        <x:v>rule_generated_from_official_table</x:v>
      </x:c>
      <x:c r="P661" s="21" t="n">
        <x:v>11</x:v>
      </x:c>
      <x:c r="Q661" s="21" t="str">
        <x:v>https://doxa.billmounce.com/Flashcards%20%28BBG%29.pdf</x:v>
      </x:c>
      <x:c r="R661" s="16" t="str"/>
    </x:row>
    <x:row r="662" ht="28" customHeight="1">
      <x:c r="A662" s="21" t="n">
        <x:v>658</x:v>
      </x:c>
      <x:c r="B662" s="21" t="n">
        <x:f>ROUNDUP(A662/50,0)</x:f>
        <x:v>14</x:v>
      </x:c>
      <x:c r="C662" s="21" t="n">
        <x:f>MOD(A662-1,50)+1</x:f>
        <x:v>8</x:v>
      </x:c>
      <x:c r="D662" s="29" t="str">
        <x:v>κρείσσων, -ονος</x:v>
      </x:c>
      <x:c r="E662" s="29" t="str">
        <x:v>κρείσσων</x:v>
      </x:c>
      <x:c r="F662" s="27" t="str">
        <x:v>kreissōn</x:v>
      </x:c>
      <x:c r="G662" s="20" t="str"/>
      <x:c r="H662" s="20" t="str"/>
      <x:c r="I662" s="21"/>
      <x:c r="J662" s="21" t="str">
        <x:v>Mounce 頻率延伸</x:v>
      </x:c>
      <x:c r="K662" s="21" t="str"/>
      <x:c r="L662" s="21" t="str">
        <x:v>否</x:v>
      </x:c>
      <x:c r="M662" s="21" t="str"/>
      <x:c r="N662" s="21" t="str">
        <x:v>source_verified_lexicon_pending</x:v>
      </x:c>
      <x:c r="O662" s="21" t="str">
        <x:v>rule_generated_from_official_table</x:v>
      </x:c>
      <x:c r="P662" s="21" t="n">
        <x:v>11</x:v>
      </x:c>
      <x:c r="Q662" s="21" t="str">
        <x:v>https://doxa.billmounce.com/Flashcards%20%28BBG%29.pdf</x:v>
      </x:c>
      <x:c r="R662" s="16" t="str"/>
    </x:row>
    <x:row r="663" ht="28" customHeight="1">
      <x:c r="A663" s="21" t="n">
        <x:v>659</x:v>
      </x:c>
      <x:c r="B663" s="21" t="n">
        <x:f>ROUNDUP(A663/50,0)</x:f>
        <x:v>14</x:v>
      </x:c>
      <x:c r="C663" s="21" t="n">
        <x:f>MOD(A663-1,50)+1</x:f>
        <x:v>9</x:v>
      </x:c>
      <x:c r="D663" s="29" t="str">
        <x:v>κριτής, -οῦ, ὁ</x:v>
      </x:c>
      <x:c r="E663" s="29" t="str">
        <x:v>κριτής</x:v>
      </x:c>
      <x:c r="F663" s="27" t="str">
        <x:v>kritēs</x:v>
      </x:c>
      <x:c r="G663" s="20" t="str">
        <x:v>a judge (genitive case or specially)</x:v>
      </x:c>
      <x:c r="H663" s="20" t="str"/>
      <x:c r="I663" s="21"/>
      <x:c r="J663" s="21" t="str">
        <x:v>Mounce 頻率延伸</x:v>
      </x:c>
      <x:c r="K663" s="21" t="str">
        <x:v>G2923</x:v>
      </x:c>
      <x:c r="L663" s="21" t="str">
        <x:v>否</x:v>
      </x:c>
      <x:c r="M663" s="21" t="str"/>
      <x:c r="N663" s="21" t="str">
        <x:v>source_and_lexicon_matched</x:v>
      </x:c>
      <x:c r="O663" s="21" t="str">
        <x:v>rule_generated_from_official_table</x:v>
      </x:c>
      <x:c r="P663" s="21" t="n">
        <x:v>11</x:v>
      </x:c>
      <x:c r="Q663" s="21" t="str">
        <x:v>https://doxa.billmounce.com/Flashcards%20%28BBG%29.pdf</x:v>
      </x:c>
      <x:c r="R663" s="16" t="str"/>
    </x:row>
    <x:row r="664" ht="28" customHeight="1">
      <x:c r="A664" s="21" t="n">
        <x:v>660</x:v>
      </x:c>
      <x:c r="B664" s="21" t="n">
        <x:f>ROUNDUP(A664/50,0)</x:f>
        <x:v>14</x:v>
      </x:c>
      <x:c r="C664" s="21" t="n">
        <x:f>MOD(A664-1,50)+1</x:f>
        <x:v>10</x:v>
      </x:c>
      <x:c r="D664" s="29" t="str">
        <x:v>κτίσις, -εως, ἡ</x:v>
      </x:c>
      <x:c r="E664" s="29" t="str">
        <x:v>κτίσις</x:v>
      </x:c>
      <x:c r="F664" s="27" t="str">
        <x:v>ktisis</x:v>
      </x:c>
      <x:c r="G664" s="20" t="str">
        <x:v>original formation (properly, the act; by implication, the thing, literally or figuratively)</x:v>
      </x:c>
      <x:c r="H664" s="20" t="str"/>
      <x:c r="I664" s="21"/>
      <x:c r="J664" s="21" t="str">
        <x:v>Mounce 頻率延伸</x:v>
      </x:c>
      <x:c r="K664" s="21" t="str">
        <x:v>G2937</x:v>
      </x:c>
      <x:c r="L664" s="21" t="str">
        <x:v>否</x:v>
      </x:c>
      <x:c r="M664" s="21" t="str"/>
      <x:c r="N664" s="21" t="str">
        <x:v>source_and_lexicon_matched</x:v>
      </x:c>
      <x:c r="O664" s="21" t="str">
        <x:v>rule_generated_from_official_table</x:v>
      </x:c>
      <x:c r="P664" s="21" t="n">
        <x:v>11</x:v>
      </x:c>
      <x:c r="Q664" s="21" t="str">
        <x:v>https://doxa.billmounce.com/Flashcards%20%28BBG%29.pdf</x:v>
      </x:c>
      <x:c r="R664" s="16" t="str"/>
    </x:row>
    <x:row r="665" ht="28" customHeight="1">
      <x:c r="A665" s="21" t="n">
        <x:v>661</x:v>
      </x:c>
      <x:c r="B665" s="21" t="n">
        <x:f>ROUNDUP(A665/50,0)</x:f>
        <x:v>14</x:v>
      </x:c>
      <x:c r="C665" s="21" t="n">
        <x:f>MOD(A665-1,50)+1</x:f>
        <x:v>11</x:v>
      </x:c>
      <x:c r="D665" s="29" t="str">
        <x:v>μαρτύριον, -ίου, τό</x:v>
      </x:c>
      <x:c r="E665" s="29" t="str">
        <x:v>μαρτύριον</x:v>
      </x:c>
      <x:c r="F665" s="27" t="str">
        <x:v>marturion</x:v>
      </x:c>
      <x:c r="G665" s="20" t="str">
        <x:v>something evidential, i.e. (genitive case) evidence given or (specially), the Decalogue (in the sacred Tabernacle)</x:v>
      </x:c>
      <x:c r="H665" s="20" t="str"/>
      <x:c r="I665" s="21"/>
      <x:c r="J665" s="21" t="str">
        <x:v>Mounce 頻率延伸</x:v>
      </x:c>
      <x:c r="K665" s="21" t="str">
        <x:v>G3142</x:v>
      </x:c>
      <x:c r="L665" s="21" t="str">
        <x:v>否</x:v>
      </x:c>
      <x:c r="M665" s="21" t="str"/>
      <x:c r="N665" s="21" t="str">
        <x:v>source_and_lexicon_matched</x:v>
      </x:c>
      <x:c r="O665" s="21" t="str">
        <x:v>rule_generated_from_official_table</x:v>
      </x:c>
      <x:c r="P665" s="21" t="n">
        <x:v>12</x:v>
      </x:c>
      <x:c r="Q665" s="21" t="str">
        <x:v>https://doxa.billmounce.com/Flashcards%20%28BBG%29.pdf</x:v>
      </x:c>
      <x:c r="R665" s="16" t="str"/>
    </x:row>
    <x:row r="666" ht="28" customHeight="1">
      <x:c r="A666" s="21" t="n">
        <x:v>662</x:v>
      </x:c>
      <x:c r="B666" s="21" t="n">
        <x:f>ROUNDUP(A666/50,0)</x:f>
        <x:v>14</x:v>
      </x:c>
      <x:c r="C666" s="21" t="n">
        <x:f>MOD(A666-1,50)+1</x:f>
        <x:v>12</x:v>
      </x:c>
      <x:c r="D666" s="29" t="str">
        <x:v>μεριμνάω</x:v>
      </x:c>
      <x:c r="E666" s="29" t="str">
        <x:v>μεριμνάω</x:v>
      </x:c>
      <x:c r="F666" s="27" t="str">
        <x:v>merimnaō</x:v>
      </x:c>
      <x:c r="G666" s="20" t="str">
        <x:v>to be anxious about</x:v>
      </x:c>
      <x:c r="H666" s="20" t="str"/>
      <x:c r="I666" s="21"/>
      <x:c r="J666" s="21" t="str">
        <x:v>Mounce 頻率延伸</x:v>
      </x:c>
      <x:c r="K666" s="21" t="str">
        <x:v>G3309</x:v>
      </x:c>
      <x:c r="L666" s="21" t="str">
        <x:v>否</x:v>
      </x:c>
      <x:c r="M666" s="21" t="str"/>
      <x:c r="N666" s="21" t="str">
        <x:v>source_and_lexicon_matched</x:v>
      </x:c>
      <x:c r="O666" s="21" t="str">
        <x:v>rule_generated_from_official_table</x:v>
      </x:c>
      <x:c r="P666" s="21" t="n">
        <x:v>12</x:v>
      </x:c>
      <x:c r="Q666" s="21" t="str">
        <x:v>https://doxa.billmounce.com/Flashcards%20%28BBG%29.pdf</x:v>
      </x:c>
      <x:c r="R666" s="16" t="str"/>
    </x:row>
    <x:row r="667" ht="28" customHeight="1">
      <x:c r="A667" s="21" t="n">
        <x:v>663</x:v>
      </x:c>
      <x:c r="B667" s="21" t="n">
        <x:f>ROUNDUP(A667/50,0)</x:f>
        <x:v>14</x:v>
      </x:c>
      <x:c r="C667" s="21" t="n">
        <x:f>MOD(A667-1,50)+1</x:f>
        <x:v>13</x:v>
      </x:c>
      <x:c r="D667" s="29" t="str">
        <x:v>παλαιός, -ά, -όν</x:v>
      </x:c>
      <x:c r="E667" s="29" t="str">
        <x:v>παλαιός</x:v>
      </x:c>
      <x:c r="F667" s="27" t="str">
        <x:v>palaios</x:v>
      </x:c>
      <x:c r="G667" s="20" t="str">
        <x:v>antique, i.e. not recent, worn out</x:v>
      </x:c>
      <x:c r="H667" s="20" t="str"/>
      <x:c r="I667" s="21"/>
      <x:c r="J667" s="21" t="str">
        <x:v>Mounce 頻率延伸</x:v>
      </x:c>
      <x:c r="K667" s="21" t="str">
        <x:v>G3820</x:v>
      </x:c>
      <x:c r="L667" s="21" t="str">
        <x:v>否</x:v>
      </x:c>
      <x:c r="M667" s="21" t="str"/>
      <x:c r="N667" s="21" t="str">
        <x:v>source_and_lexicon_matched</x:v>
      </x:c>
      <x:c r="O667" s="21" t="str">
        <x:v>rule_generated_from_official_table</x:v>
      </x:c>
      <x:c r="P667" s="21" t="n">
        <x:v>12</x:v>
      </x:c>
      <x:c r="Q667" s="21" t="str">
        <x:v>https://doxa.billmounce.com/Flashcards%20%28BBG%29.pdf</x:v>
      </x:c>
      <x:c r="R667" s="16" t="str"/>
    </x:row>
    <x:row r="668" ht="28" customHeight="1">
      <x:c r="A668" s="21" t="n">
        <x:v>664</x:v>
      </x:c>
      <x:c r="B668" s="21" t="n">
        <x:f>ROUNDUP(A668/50,0)</x:f>
        <x:v>14</x:v>
      </x:c>
      <x:c r="C668" s="21" t="n">
        <x:f>MOD(A668-1,50)+1</x:f>
        <x:v>14</x:v>
      </x:c>
      <x:c r="D668" s="29" t="str">
        <x:v>παράπτωμα, -ατος, τό</x:v>
      </x:c>
      <x:c r="E668" s="29" t="str">
        <x:v>παράπτωμα</x:v>
      </x:c>
      <x:c r="F668" s="27" t="str">
        <x:v>paraptōma</x:v>
      </x:c>
      <x:c r="G668" s="20" t="str">
        <x:v>a side-slip (lapse or deviation), i.e. (unintentional) error or (wilful) transgression</x:v>
      </x:c>
      <x:c r="H668" s="20" t="str"/>
      <x:c r="I668" s="21"/>
      <x:c r="J668" s="21" t="str">
        <x:v>Mounce 頻率延伸</x:v>
      </x:c>
      <x:c r="K668" s="21" t="str">
        <x:v>G3900</x:v>
      </x:c>
      <x:c r="L668" s="21" t="str">
        <x:v>否</x:v>
      </x:c>
      <x:c r="M668" s="21" t="str"/>
      <x:c r="N668" s="21" t="str">
        <x:v>source_and_lexicon_matched</x:v>
      </x:c>
      <x:c r="O668" s="21" t="str">
        <x:v>rule_generated_from_official_table</x:v>
      </x:c>
      <x:c r="P668" s="21" t="n">
        <x:v>12</x:v>
      </x:c>
      <x:c r="Q668" s="21" t="str">
        <x:v>https://doxa.billmounce.com/Flashcards%20%28BBG%29.pdf</x:v>
      </x:c>
      <x:c r="R668" s="16" t="str"/>
    </x:row>
    <x:row r="669" ht="28" customHeight="1">
      <x:c r="A669" s="21" t="n">
        <x:v>665</x:v>
      </x:c>
      <x:c r="B669" s="21" t="n">
        <x:f>ROUNDUP(A669/50,0)</x:f>
        <x:v>14</x:v>
      </x:c>
      <x:c r="C669" s="21" t="n">
        <x:f>MOD(A669-1,50)+1</x:f>
        <x:v>15</x:v>
      </x:c>
      <x:c r="D669" s="29" t="str">
        <x:v>παρατίθημι</x:v>
      </x:c>
      <x:c r="E669" s="29" t="str">
        <x:v>παρατίθημι</x:v>
      </x:c>
      <x:c r="F669" s="27" t="str">
        <x:v>paratithēmi</x:v>
      </x:c>
      <x:c r="G669" s="20" t="str">
        <x:v>to place alongside, i.e. present (food, truth); by implication, to deposit (as a trust or for protection)</x:v>
      </x:c>
      <x:c r="H669" s="20" t="str"/>
      <x:c r="I669" s="21"/>
      <x:c r="J669" s="21" t="str">
        <x:v>Mounce 頻率延伸</x:v>
      </x:c>
      <x:c r="K669" s="21" t="str">
        <x:v>G3908</x:v>
      </x:c>
      <x:c r="L669" s="21" t="str">
        <x:v>否</x:v>
      </x:c>
      <x:c r="M669" s="21" t="str"/>
      <x:c r="N669" s="21" t="str">
        <x:v>source_and_lexicon_matched</x:v>
      </x:c>
      <x:c r="O669" s="21" t="str">
        <x:v>rule_generated_from_official_table</x:v>
      </x:c>
      <x:c r="P669" s="21" t="n">
        <x:v>12</x:v>
      </x:c>
      <x:c r="Q669" s="21" t="str">
        <x:v>https://doxa.billmounce.com/Flashcards%20%28BBG%29.pdf</x:v>
      </x:c>
      <x:c r="R669" s="16" t="str"/>
    </x:row>
    <x:row r="670" ht="28" customHeight="1">
      <x:c r="A670" s="21" t="n">
        <x:v>666</x:v>
      </x:c>
      <x:c r="B670" s="21" t="n">
        <x:f>ROUNDUP(A670/50,0)</x:f>
        <x:v>14</x:v>
      </x:c>
      <x:c r="C670" s="21" t="n">
        <x:f>MOD(A670-1,50)+1</x:f>
        <x:v>16</x:v>
      </x:c>
      <x:c r="D670" s="29" t="str">
        <x:v>πότε</x:v>
      </x:c>
      <x:c r="E670" s="29" t="str">
        <x:v>πότε</x:v>
      </x:c>
      <x:c r="F670" s="27" t="str">
        <x:v>pote</x:v>
      </x:c>
      <x:c r="G670" s="20" t="str">
        <x:v>interrogative adverb, at what time</x:v>
      </x:c>
      <x:c r="H670" s="20" t="str"/>
      <x:c r="I670" s="21"/>
      <x:c r="J670" s="21" t="str">
        <x:v>Mounce 頻率延伸</x:v>
      </x:c>
      <x:c r="K670" s="21" t="str">
        <x:v>G4219</x:v>
      </x:c>
      <x:c r="L670" s="21" t="str">
        <x:v>否</x:v>
      </x:c>
      <x:c r="M670" s="21" t="str"/>
      <x:c r="N670" s="21" t="str">
        <x:v>source_and_lexicon_matched</x:v>
      </x:c>
      <x:c r="O670" s="21" t="str">
        <x:v>rule_generated_from_official_table</x:v>
      </x:c>
      <x:c r="P670" s="21" t="n">
        <x:v>12</x:v>
      </x:c>
      <x:c r="Q670" s="21" t="str">
        <x:v>https://doxa.billmounce.com/Flashcards%20%28BBG%29.pdf</x:v>
      </x:c>
      <x:c r="R670" s="16" t="str"/>
    </x:row>
    <x:row r="671" ht="28" customHeight="1">
      <x:c r="A671" s="21" t="n">
        <x:v>667</x:v>
      </x:c>
      <x:c r="B671" s="21" t="n">
        <x:f>ROUNDUP(A671/50,0)</x:f>
        <x:v>14</x:v>
      </x:c>
      <x:c r="C671" s="21" t="n">
        <x:f>MOD(A671-1,50)+1</x:f>
        <x:v>17</x:v>
      </x:c>
      <x:c r="D671" s="29" t="str">
        <x:v>προφητεία, -ας, ἡ</x:v>
      </x:c>
      <x:c r="E671" s="29" t="str">
        <x:v>προφητεία</x:v>
      </x:c>
      <x:c r="F671" s="27" t="str">
        <x:v>prophēteia</x:v>
      </x:c>
      <x:c r="G671" s="20" t="str">
        <x:v>prediction (scriptural or other)</x:v>
      </x:c>
      <x:c r="H671" s="20" t="str"/>
      <x:c r="I671" s="21"/>
      <x:c r="J671" s="21" t="str">
        <x:v>Mounce 頻率延伸</x:v>
      </x:c>
      <x:c r="K671" s="21" t="str">
        <x:v>G4394</x:v>
      </x:c>
      <x:c r="L671" s="21" t="str">
        <x:v>否</x:v>
      </x:c>
      <x:c r="M671" s="21" t="str"/>
      <x:c r="N671" s="21" t="str">
        <x:v>source_and_lexicon_matched</x:v>
      </x:c>
      <x:c r="O671" s="21" t="str">
        <x:v>rule_generated_from_official_table</x:v>
      </x:c>
      <x:c r="P671" s="21" t="n">
        <x:v>12</x:v>
      </x:c>
      <x:c r="Q671" s="21" t="str">
        <x:v>https://doxa.billmounce.com/Flashcards%20%28BBG%29.pdf</x:v>
      </x:c>
      <x:c r="R671" s="16" t="str"/>
    </x:row>
    <x:row r="672" ht="28" customHeight="1">
      <x:c r="A672" s="21" t="n">
        <x:v>668</x:v>
      </x:c>
      <x:c r="B672" s="21" t="n">
        <x:f>ROUNDUP(A672/50,0)</x:f>
        <x:v>14</x:v>
      </x:c>
      <x:c r="C672" s="21" t="n">
        <x:f>MOD(A672-1,50)+1</x:f>
        <x:v>18</x:v>
      </x:c>
      <x:c r="D672" s="29" t="str">
        <x:v>τέλειος, -α, -ον</x:v>
      </x:c>
      <x:c r="E672" s="29" t="str">
        <x:v>τέλειος</x:v>
      </x:c>
      <x:c r="F672" s="27" t="str">
        <x:v>teleios</x:v>
      </x:c>
      <x:c r="G672" s="20" t="str">
        <x:v>complete (in various applications of labor, growth, mental and moral character, etc.); neuter (as noun, with G3588 (ὁ)) completeness</x:v>
      </x:c>
      <x:c r="H672" s="20" t="str"/>
      <x:c r="I672" s="21"/>
      <x:c r="J672" s="21" t="str">
        <x:v>Mounce 頻率延伸</x:v>
      </x:c>
      <x:c r="K672" s="21" t="str">
        <x:v>G5046</x:v>
      </x:c>
      <x:c r="L672" s="21" t="str">
        <x:v>否</x:v>
      </x:c>
      <x:c r="M672" s="21" t="str"/>
      <x:c r="N672" s="21" t="str">
        <x:v>source_and_lexicon_matched</x:v>
      </x:c>
      <x:c r="O672" s="21" t="str">
        <x:v>rule_generated_from_official_table</x:v>
      </x:c>
      <x:c r="P672" s="21" t="n">
        <x:v>12</x:v>
      </x:c>
      <x:c r="Q672" s="21" t="str">
        <x:v>https://doxa.billmounce.com/Flashcards%20%28BBG%29.pdf</x:v>
      </x:c>
      <x:c r="R672" s="16" t="str"/>
    </x:row>
    <x:row r="673" ht="28" customHeight="1">
      <x:c r="A673" s="21" t="n">
        <x:v>669</x:v>
      </x:c>
      <x:c r="B673" s="21" t="n">
        <x:f>ROUNDUP(A673/50,0)</x:f>
        <x:v>14</x:v>
      </x:c>
      <x:c r="C673" s="21" t="n">
        <x:f>MOD(A673-1,50)+1</x:f>
        <x:v>19</x:v>
      </x:c>
      <x:c r="D673" s="29" t="str">
        <x:v>ἀληθῶς</x:v>
      </x:c>
      <x:c r="E673" s="29" t="str">
        <x:v>ἀληθῶς</x:v>
      </x:c>
      <x:c r="F673" s="27" t="str">
        <x:v>alēthōs</x:v>
      </x:c>
      <x:c r="G673" s="20" t="str">
        <x:v>truly</x:v>
      </x:c>
      <x:c r="H673" s="20" t="str"/>
      <x:c r="I673" s="21"/>
      <x:c r="J673" s="21" t="str">
        <x:v>Mounce 頻率延伸</x:v>
      </x:c>
      <x:c r="K673" s="21" t="str">
        <x:v>G230</x:v>
      </x:c>
      <x:c r="L673" s="21" t="str">
        <x:v>否</x:v>
      </x:c>
      <x:c r="M673" s="21" t="str"/>
      <x:c r="N673" s="21" t="str">
        <x:v>source_and_lexicon_matched</x:v>
      </x:c>
      <x:c r="O673" s="21" t="str">
        <x:v>rule_generated_from_official_table</x:v>
      </x:c>
      <x:c r="P673" s="21" t="n">
        <x:v>12</x:v>
      </x:c>
      <x:c r="Q673" s="21" t="str">
        <x:v>https://doxa.billmounce.com/Flashcards%20%28BBG%29.pdf</x:v>
      </x:c>
      <x:c r="R673" s="16" t="str"/>
    </x:row>
    <x:row r="674" ht="28" customHeight="1">
      <x:c r="A674" s="21" t="n">
        <x:v>670</x:v>
      </x:c>
      <x:c r="B674" s="21" t="n">
        <x:f>ROUNDUP(A674/50,0)</x:f>
        <x:v>14</x:v>
      </x:c>
      <x:c r="C674" s="21" t="n">
        <x:f>MOD(A674-1,50)+1</x:f>
        <x:v>20</x:v>
      </x:c>
      <x:c r="D674" s="29" t="str">
        <x:v>Ἀντιόχεια, -ας, ἡ</x:v>
      </x:c>
      <x:c r="E674" s="29" t="str">
        <x:v>Ἀντιόχεια</x:v>
      </x:c>
      <x:c r="F674" s="27" t="str">
        <x:v>Antiocheia</x:v>
      </x:c>
      <x:c r="G674" s="20" t="str">
        <x:v>Antiochia, a place in Syria</x:v>
      </x:c>
      <x:c r="H674" s="20" t="str"/>
      <x:c r="I674" s="21"/>
      <x:c r="J674" s="21" t="str">
        <x:v>Mounce 頻率延伸</x:v>
      </x:c>
      <x:c r="K674" s="21" t="str">
        <x:v>G490</x:v>
      </x:c>
      <x:c r="L674" s="21" t="str">
        <x:v>是</x:v>
      </x:c>
      <x:c r="M674" s="21" t="str">
        <x:v>地名</x:v>
      </x:c>
      <x:c r="N674" s="21" t="str">
        <x:v>source_and_lexicon_matched</x:v>
      </x:c>
      <x:c r="O674" s="21" t="str">
        <x:v>rule_generated_from_official_table</x:v>
      </x:c>
      <x:c r="P674" s="21" t="n">
        <x:v>12</x:v>
      </x:c>
      <x:c r="Q674" s="21" t="str">
        <x:v>https://doxa.billmounce.com/Flashcards%20%28BBG%29.pdf</x:v>
      </x:c>
      <x:c r="R674" s="16" t="str"/>
    </x:row>
    <x:row r="675" ht="28" customHeight="1">
      <x:c r="A675" s="21" t="n">
        <x:v>671</x:v>
      </x:c>
      <x:c r="B675" s="21" t="n">
        <x:f>ROUNDUP(A675/50,0)</x:f>
        <x:v>14</x:v>
      </x:c>
      <x:c r="C675" s="21" t="n">
        <x:f>MOD(A675-1,50)+1</x:f>
        <x:v>21</x:v>
      </x:c>
      <x:c r="D675" s="29" t="str">
        <x:v>ἀποκάλυψις, -εως, ἡ</x:v>
      </x:c>
      <x:c r="E675" s="29" t="str">
        <x:v>ἀποκάλυψις</x:v>
      </x:c>
      <x:c r="F675" s="27" t="str">
        <x:v>apokalupsis</x:v>
      </x:c>
      <x:c r="G675" s="20" t="str">
        <x:v>disclosure</x:v>
      </x:c>
      <x:c r="H675" s="20" t="str"/>
      <x:c r="I675" s="21"/>
      <x:c r="J675" s="21" t="str">
        <x:v>Mounce 頻率延伸</x:v>
      </x:c>
      <x:c r="K675" s="21" t="str">
        <x:v>G602</x:v>
      </x:c>
      <x:c r="L675" s="21" t="str">
        <x:v>否</x:v>
      </x:c>
      <x:c r="M675" s="21" t="str"/>
      <x:c r="N675" s="21" t="str">
        <x:v>source_and_lexicon_matched</x:v>
      </x:c>
      <x:c r="O675" s="21" t="str">
        <x:v>rule_generated_from_official_table</x:v>
      </x:c>
      <x:c r="P675" s="21" t="n">
        <x:v>12</x:v>
      </x:c>
      <x:c r="Q675" s="21" t="str">
        <x:v>https://doxa.billmounce.com/Flashcards%20%28BBG%29.pdf</x:v>
      </x:c>
      <x:c r="R675" s="16" t="str"/>
    </x:row>
    <x:row r="676" ht="28" customHeight="1">
      <x:c r="A676" s="21" t="n">
        <x:v>672</x:v>
      </x:c>
      <x:c r="B676" s="21" t="n">
        <x:f>ROUNDUP(A676/50,0)</x:f>
        <x:v>14</x:v>
      </x:c>
      <x:c r="C676" s="21" t="n">
        <x:f>MOD(A676-1,50)+1</x:f>
        <x:v>22</x:v>
      </x:c>
      <x:c r="D676" s="29" t="str">
        <x:v>ἀπώλεια, -ας, ἡ</x:v>
      </x:c>
      <x:c r="E676" s="29" t="str">
        <x:v>ἀπώλεια</x:v>
      </x:c>
      <x:c r="F676" s="27" t="str">
        <x:v>apōleia</x:v>
      </x:c>
      <x:c r="G676" s="20" t="str">
        <x:v>ruin or loss (physical, spiritual or eternal)</x:v>
      </x:c>
      <x:c r="H676" s="20" t="str"/>
      <x:c r="I676" s="21"/>
      <x:c r="J676" s="21" t="str">
        <x:v>Mounce 頻率延伸</x:v>
      </x:c>
      <x:c r="K676" s="21" t="str">
        <x:v>G684</x:v>
      </x:c>
      <x:c r="L676" s="21" t="str">
        <x:v>否</x:v>
      </x:c>
      <x:c r="M676" s="21" t="str"/>
      <x:c r="N676" s="21" t="str">
        <x:v>source_and_lexicon_matched</x:v>
      </x:c>
      <x:c r="O676" s="21" t="str">
        <x:v>rule_generated_from_official_table</x:v>
      </x:c>
      <x:c r="P676" s="21" t="n">
        <x:v>12</x:v>
      </x:c>
      <x:c r="Q676" s="21" t="str">
        <x:v>https://doxa.billmounce.com/Flashcards%20%28BBG%29.pdf</x:v>
      </x:c>
      <x:c r="R676" s="16" t="str"/>
    </x:row>
    <x:row r="677" ht="28" customHeight="1">
      <x:c r="A677" s="21" t="n">
        <x:v>673</x:v>
      </x:c>
      <x:c r="B677" s="21" t="n">
        <x:f>ROUNDUP(A677/50,0)</x:f>
        <x:v>14</x:v>
      </x:c>
      <x:c r="C677" s="21" t="n">
        <x:f>MOD(A677-1,50)+1</x:f>
        <x:v>23</x:v>
      </x:c>
      <x:c r="D677" s="29" t="str">
        <x:v>ἀριθμός, -οῦ, ὁ</x:v>
      </x:c>
      <x:c r="E677" s="29" t="str">
        <x:v>ἀριθμός</x:v>
      </x:c>
      <x:c r="F677" s="27" t="str">
        <x:v>arithmos</x:v>
      </x:c>
      <x:c r="G677" s="20" t="str">
        <x:v>a number (as reckoned up)</x:v>
      </x:c>
      <x:c r="H677" s="20" t="str"/>
      <x:c r="I677" s="21"/>
      <x:c r="J677" s="21" t="str">
        <x:v>Mounce 頻率延伸</x:v>
      </x:c>
      <x:c r="K677" s="21" t="str">
        <x:v>G706</x:v>
      </x:c>
      <x:c r="L677" s="21" t="str">
        <x:v>否</x:v>
      </x:c>
      <x:c r="M677" s="21" t="str"/>
      <x:c r="N677" s="21" t="str">
        <x:v>source_and_lexicon_matched</x:v>
      </x:c>
      <x:c r="O677" s="21" t="str">
        <x:v>rule_generated_from_official_table</x:v>
      </x:c>
      <x:c r="P677" s="21" t="n">
        <x:v>12</x:v>
      </x:c>
      <x:c r="Q677" s="21" t="str">
        <x:v>https://doxa.billmounce.com/Flashcards%20%28BBG%29.pdf</x:v>
      </x:c>
      <x:c r="R677" s="16" t="str"/>
    </x:row>
    <x:row r="678" ht="28" customHeight="1">
      <x:c r="A678" s="21" t="n">
        <x:v>674</x:v>
      </x:c>
      <x:c r="B678" s="21" t="n">
        <x:f>ROUNDUP(A678/50,0)</x:f>
        <x:v>14</x:v>
      </x:c>
      <x:c r="C678" s="21" t="n">
        <x:f>MOD(A678-1,50)+1</x:f>
        <x:v>24</x:v>
      </x:c>
      <x:c r="D678" s="29" t="str">
        <x:v>Ἀσία, -ας, ἡ</x:v>
      </x:c>
      <x:c r="E678" s="29" t="str">
        <x:v>Ἀσία</x:v>
      </x:c>
      <x:c r="F678" s="27" t="str">
        <x:v>Asia</x:v>
      </x:c>
      <x:c r="G678" s="20" t="str">
        <x:v>Asia, i.e. Asia Minor, or (usually) only its western shore</x:v>
      </x:c>
      <x:c r="H678" s="20" t="str"/>
      <x:c r="I678" s="21"/>
      <x:c r="J678" s="21" t="str">
        <x:v>Mounce 頻率延伸</x:v>
      </x:c>
      <x:c r="K678" s="21" t="str">
        <x:v>G773</x:v>
      </x:c>
      <x:c r="L678" s="21" t="str">
        <x:v>是</x:v>
      </x:c>
      <x:c r="M678" s="21" t="str">
        <x:v>地名</x:v>
      </x:c>
      <x:c r="N678" s="21" t="str">
        <x:v>source_and_lexicon_matched</x:v>
      </x:c>
      <x:c r="O678" s="21" t="str">
        <x:v>rule_generated_from_official_table</x:v>
      </x:c>
      <x:c r="P678" s="21" t="n">
        <x:v>12</x:v>
      </x:c>
      <x:c r="Q678" s="21" t="str">
        <x:v>https://doxa.billmounce.com/Flashcards%20%28BBG%29.pdf</x:v>
      </x:c>
      <x:c r="R678" s="16" t="str"/>
    </x:row>
    <x:row r="679" ht="28" customHeight="1">
      <x:c r="A679" s="21" t="n">
        <x:v>675</x:v>
      </x:c>
      <x:c r="B679" s="21" t="n">
        <x:f>ROUNDUP(A679/50,0)</x:f>
        <x:v>14</x:v>
      </x:c>
      <x:c r="C679" s="21" t="n">
        <x:f>MOD(A679-1,50)+1</x:f>
        <x:v>25</x:v>
      </x:c>
      <x:c r="D679" s="29" t="str">
        <x:v>βλασφημία, -ας, ἡ</x:v>
      </x:c>
      <x:c r="E679" s="29" t="str">
        <x:v>βλασφημία</x:v>
      </x:c>
      <x:c r="F679" s="27" t="str">
        <x:v>blasphēmia</x:v>
      </x:c>
      <x:c r="G679" s="20" t="str">
        <x:v>vilification (especially against God)</x:v>
      </x:c>
      <x:c r="H679" s="20" t="str"/>
      <x:c r="I679" s="21"/>
      <x:c r="J679" s="21" t="str">
        <x:v>Mounce 頻率延伸</x:v>
      </x:c>
      <x:c r="K679" s="21" t="str">
        <x:v>G988</x:v>
      </x:c>
      <x:c r="L679" s="21" t="str">
        <x:v>否</x:v>
      </x:c>
      <x:c r="M679" s="21" t="str"/>
      <x:c r="N679" s="21" t="str">
        <x:v>source_and_lexicon_matched</x:v>
      </x:c>
      <x:c r="O679" s="21" t="str">
        <x:v>rule_generated_from_official_table</x:v>
      </x:c>
      <x:c r="P679" s="21" t="n">
        <x:v>12</x:v>
      </x:c>
      <x:c r="Q679" s="21" t="str">
        <x:v>https://doxa.billmounce.com/Flashcards%20%28BBG%29.pdf</x:v>
      </x:c>
      <x:c r="R679" s="16" t="str"/>
    </x:row>
    <x:row r="680" ht="28" customHeight="1">
      <x:c r="A680" s="21" t="n">
        <x:v>676</x:v>
      </x:c>
      <x:c r="B680" s="21" t="n">
        <x:f>ROUNDUP(A680/50,0)</x:f>
        <x:v>14</x:v>
      </x:c>
      <x:c r="C680" s="21" t="n">
        <x:f>MOD(A680-1,50)+1</x:f>
        <x:v>26</x:v>
      </x:c>
      <x:c r="D680" s="29" t="str">
        <x:v>δέησις, -εως, ἡ</x:v>
      </x:c>
      <x:c r="E680" s="29" t="str">
        <x:v>δέησις</x:v>
      </x:c>
      <x:c r="F680" s="27" t="str">
        <x:v>deēsis</x:v>
      </x:c>
      <x:c r="G680" s="20" t="str">
        <x:v>a petition</x:v>
      </x:c>
      <x:c r="H680" s="20" t="str"/>
      <x:c r="I680" s="21"/>
      <x:c r="J680" s="21" t="str">
        <x:v>Mounce 頻率延伸</x:v>
      </x:c>
      <x:c r="K680" s="21" t="str">
        <x:v>G1162</x:v>
      </x:c>
      <x:c r="L680" s="21" t="str">
        <x:v>否</x:v>
      </x:c>
      <x:c r="M680" s="21" t="str"/>
      <x:c r="N680" s="21" t="str">
        <x:v>source_and_lexicon_matched</x:v>
      </x:c>
      <x:c r="O680" s="21" t="str">
        <x:v>rule_generated_from_official_table</x:v>
      </x:c>
      <x:c r="P680" s="21" t="n">
        <x:v>12</x:v>
      </x:c>
      <x:c r="Q680" s="21" t="str">
        <x:v>https://doxa.billmounce.com/Flashcards%20%28BBG%29.pdf</x:v>
      </x:c>
      <x:c r="R680" s="16" t="str"/>
    </x:row>
    <x:row r="681" ht="28" customHeight="1">
      <x:c r="A681" s="21" t="n">
        <x:v>677</x:v>
      </x:c>
      <x:c r="B681" s="21" t="n">
        <x:f>ROUNDUP(A681/50,0)</x:f>
        <x:v>14</x:v>
      </x:c>
      <x:c r="C681" s="21" t="n">
        <x:f>MOD(A681-1,50)+1</x:f>
        <x:v>27</x:v>
      </x:c>
      <x:c r="D681" s="29" t="str">
        <x:v>δεσμός, -οῦ, ὁ</x:v>
      </x:c>
      <x:c r="E681" s="29" t="str">
        <x:v>δεσμός</x:v>
      </x:c>
      <x:c r="F681" s="27" t="str">
        <x:v>desmos</x:v>
      </x:c>
      <x:c r="G681" s="20" t="str"/>
      <x:c r="H681" s="20" t="str"/>
      <x:c r="I681" s="21"/>
      <x:c r="J681" s="21" t="str">
        <x:v>Mounce 頻率延伸</x:v>
      </x:c>
      <x:c r="K681" s="21" t="str"/>
      <x:c r="L681" s="21" t="str">
        <x:v>否</x:v>
      </x:c>
      <x:c r="M681" s="21" t="str"/>
      <x:c r="N681" s="21" t="str">
        <x:v>source_verified_lexicon_pending</x:v>
      </x:c>
      <x:c r="O681" s="21" t="str">
        <x:v>rule_generated_from_official_table</x:v>
      </x:c>
      <x:c r="P681" s="21" t="n">
        <x:v>12</x:v>
      </x:c>
      <x:c r="Q681" s="21" t="str">
        <x:v>https://doxa.billmounce.com/Flashcards%20%28BBG%29.pdf</x:v>
      </x:c>
      <x:c r="R681" s="16" t="str"/>
    </x:row>
    <x:row r="682" ht="28" customHeight="1">
      <x:c r="A682" s="21" t="n">
        <x:v>678</x:v>
      </x:c>
      <x:c r="B682" s="21" t="n">
        <x:f>ROUNDUP(A682/50,0)</x:f>
        <x:v>14</x:v>
      </x:c>
      <x:c r="C682" s="21" t="n">
        <x:f>MOD(A682-1,50)+1</x:f>
        <x:v>28</x:v>
      </x:c>
      <x:c r="D682" s="29" t="str">
        <x:v>εἰσπορεύομαι</x:v>
      </x:c>
      <x:c r="E682" s="29" t="str">
        <x:v>εἰσπορεύομαι</x:v>
      </x:c>
      <x:c r="F682" s="27" t="str">
        <x:v>eisporeuomai</x:v>
      </x:c>
      <x:c r="G682" s="20" t="str">
        <x:v>to enter (literally or figuratively)</x:v>
      </x:c>
      <x:c r="H682" s="20" t="str"/>
      <x:c r="I682" s="21"/>
      <x:c r="J682" s="21" t="str">
        <x:v>Mounce 頻率延伸</x:v>
      </x:c>
      <x:c r="K682" s="21" t="str">
        <x:v>G1531</x:v>
      </x:c>
      <x:c r="L682" s="21" t="str">
        <x:v>否</x:v>
      </x:c>
      <x:c r="M682" s="21" t="str"/>
      <x:c r="N682" s="21" t="str">
        <x:v>source_and_lexicon_matched</x:v>
      </x:c>
      <x:c r="O682" s="21" t="str">
        <x:v>rule_generated_from_official_table</x:v>
      </x:c>
      <x:c r="P682" s="21" t="n">
        <x:v>12</x:v>
      </x:c>
      <x:c r="Q682" s="21" t="str">
        <x:v>https://doxa.billmounce.com/Flashcards%20%28BBG%29.pdf</x:v>
      </x:c>
      <x:c r="R682" s="16" t="str"/>
    </x:row>
    <x:row r="683" ht="28" customHeight="1">
      <x:c r="A683" s="21" t="n">
        <x:v>679</x:v>
      </x:c>
      <x:c r="B683" s="21" t="n">
        <x:f>ROUNDUP(A683/50,0)</x:f>
        <x:v>14</x:v>
      </x:c>
      <x:c r="C683" s="21" t="n">
        <x:f>MOD(A683-1,50)+1</x:f>
        <x:v>29</x:v>
      </x:c>
      <x:c r="D683" s="29" t="str">
        <x:v>ἐπιβάλλω</x:v>
      </x:c>
      <x:c r="E683" s="29" t="str">
        <x:v>ἐπιβάλλω</x:v>
      </x:c>
      <x:c r="F683" s="27" t="str">
        <x:v>epiballō</x:v>
      </x:c>
      <x:c r="G683" s="20" t="str">
        <x:v>to throw upon (literal or figurative, transitive or reflexive; usually with more or less force); specially (with G1438 (ἑαυτοῦ) implied) to reflect; impersonally, to belong to</x:v>
      </x:c>
      <x:c r="H683" s="20" t="str"/>
      <x:c r="I683" s="21"/>
      <x:c r="J683" s="21" t="str">
        <x:v>Mounce 頻率延伸</x:v>
      </x:c>
      <x:c r="K683" s="21" t="str">
        <x:v>G1911</x:v>
      </x:c>
      <x:c r="L683" s="21" t="str">
        <x:v>否</x:v>
      </x:c>
      <x:c r="M683" s="21" t="str"/>
      <x:c r="N683" s="21" t="str">
        <x:v>source_and_lexicon_matched</x:v>
      </x:c>
      <x:c r="O683" s="21" t="str">
        <x:v>rule_generated_from_official_table</x:v>
      </x:c>
      <x:c r="P683" s="21" t="n">
        <x:v>12</x:v>
      </x:c>
      <x:c r="Q683" s="21" t="str">
        <x:v>https://doxa.billmounce.com/Flashcards%20%28BBG%29.pdf</x:v>
      </x:c>
      <x:c r="R683" s="16" t="str"/>
    </x:row>
    <x:row r="684" ht="28" customHeight="1">
      <x:c r="A684" s="21" t="n">
        <x:v>680</x:v>
      </x:c>
      <x:c r="B684" s="21" t="n">
        <x:f>ROUNDUP(A684/50,0)</x:f>
        <x:v>14</x:v>
      </x:c>
      <x:c r="C684" s="21" t="n">
        <x:f>MOD(A684-1,50)+1</x:f>
        <x:v>30</x:v>
      </x:c>
      <x:c r="D684" s="29" t="str">
        <x:v>ἐπιτρέπω</x:v>
      </x:c>
      <x:c r="E684" s="29" t="str">
        <x:v>ἐπιτρέπω</x:v>
      </x:c>
      <x:c r="F684" s="27" t="str">
        <x:v>epitrepō</x:v>
      </x:c>
      <x:c r="G684" s="20" t="str">
        <x:v>to turn over (transfer), i.e. allow</x:v>
      </x:c>
      <x:c r="H684" s="20" t="str"/>
      <x:c r="I684" s="21"/>
      <x:c r="J684" s="21" t="str">
        <x:v>Mounce 頻率延伸</x:v>
      </x:c>
      <x:c r="K684" s="21" t="str">
        <x:v>G2010</x:v>
      </x:c>
      <x:c r="L684" s="21" t="str">
        <x:v>否</x:v>
      </x:c>
      <x:c r="M684" s="21" t="str"/>
      <x:c r="N684" s="21" t="str">
        <x:v>source_and_lexicon_matched</x:v>
      </x:c>
      <x:c r="O684" s="21" t="str">
        <x:v>rule_generated_from_official_table</x:v>
      </x:c>
      <x:c r="P684" s="21" t="n">
        <x:v>12</x:v>
      </x:c>
      <x:c r="Q684" s="21" t="str">
        <x:v>https://doxa.billmounce.com/Flashcards%20%28BBG%29.pdf</x:v>
      </x:c>
      <x:c r="R684" s="16" t="str"/>
    </x:row>
    <x:row r="685" ht="28" customHeight="1">
      <x:c r="A685" s="21" t="n">
        <x:v>681</x:v>
      </x:c>
      <x:c r="B685" s="21" t="n">
        <x:f>ROUNDUP(A685/50,0)</x:f>
        <x:v>14</x:v>
      </x:c>
      <x:c r="C685" s="21" t="n">
        <x:f>MOD(A685-1,50)+1</x:f>
        <x:v>31</x:v>
      </x:c>
      <x:c r="D685" s="29" t="str">
        <x:v>θυμός, -οῦ, ὁ</x:v>
      </x:c>
      <x:c r="E685" s="29" t="str">
        <x:v>θυμός</x:v>
      </x:c>
      <x:c r="F685" s="27" t="str">
        <x:v>thumos</x:v>
      </x:c>
      <x:c r="G685" s="20" t="str">
        <x:v>passion (as if breathing hard)</x:v>
      </x:c>
      <x:c r="H685" s="20" t="str"/>
      <x:c r="I685" s="21"/>
      <x:c r="J685" s="21" t="str">
        <x:v>Mounce 頻率延伸</x:v>
      </x:c>
      <x:c r="K685" s="21" t="str">
        <x:v>G2372</x:v>
      </x:c>
      <x:c r="L685" s="21" t="str">
        <x:v>否</x:v>
      </x:c>
      <x:c r="M685" s="21" t="str"/>
      <x:c r="N685" s="21" t="str">
        <x:v>source_and_lexicon_matched</x:v>
      </x:c>
      <x:c r="O685" s="21" t="str">
        <x:v>rule_generated_from_official_table</x:v>
      </x:c>
      <x:c r="P685" s="21" t="n">
        <x:v>12</x:v>
      </x:c>
      <x:c r="Q685" s="21" t="str">
        <x:v>https://doxa.billmounce.com/Flashcards%20%28BBG%29.pdf</x:v>
      </x:c>
      <x:c r="R685" s="16" t="str"/>
    </x:row>
    <x:row r="686" ht="28" customHeight="1">
      <x:c r="A686" s="21" t="n">
        <x:v>682</x:v>
      </x:c>
      <x:c r="B686" s="21" t="n">
        <x:f>ROUNDUP(A686/50,0)</x:f>
        <x:v>14</x:v>
      </x:c>
      <x:c r="C686" s="21" t="n">
        <x:f>MOD(A686-1,50)+1</x:f>
        <x:v>32</x:v>
      </x:c>
      <x:c r="D686" s="29" t="str">
        <x:v>καταγγέλλω</x:v>
      </x:c>
      <x:c r="E686" s="29" t="str">
        <x:v>καταγγέλλω</x:v>
      </x:c>
      <x:c r="F686" s="27" t="str">
        <x:v>katangellō</x:v>
      </x:c>
      <x:c r="G686" s="20" t="str">
        <x:v>to proclaim, promulgate</x:v>
      </x:c>
      <x:c r="H686" s="20" t="str"/>
      <x:c r="I686" s="21"/>
      <x:c r="J686" s="21" t="str">
        <x:v>Mounce 頻率延伸</x:v>
      </x:c>
      <x:c r="K686" s="21" t="str">
        <x:v>G2605</x:v>
      </x:c>
      <x:c r="L686" s="21" t="str">
        <x:v>否</x:v>
      </x:c>
      <x:c r="M686" s="21" t="str"/>
      <x:c r="N686" s="21" t="str">
        <x:v>source_and_lexicon_matched</x:v>
      </x:c>
      <x:c r="O686" s="21" t="str">
        <x:v>rule_generated_from_official_table</x:v>
      </x:c>
      <x:c r="P686" s="21" t="n">
        <x:v>12</x:v>
      </x:c>
      <x:c r="Q686" s="21" t="str">
        <x:v>https://doxa.billmounce.com/Flashcards%20%28BBG%29.pdf</x:v>
      </x:c>
      <x:c r="R686" s="16" t="str"/>
    </x:row>
    <x:row r="687" ht="28" customHeight="1">
      <x:c r="A687" s="21" t="n">
        <x:v>683</x:v>
      </x:c>
      <x:c r="B687" s="21" t="n">
        <x:f>ROUNDUP(A687/50,0)</x:f>
        <x:v>14</x:v>
      </x:c>
      <x:c r="C687" s="21" t="n">
        <x:f>MOD(A687-1,50)+1</x:f>
        <x:v>33</x:v>
      </x:c>
      <x:c r="D687" s="29" t="str">
        <x:v>κατακρίνω</x:v>
      </x:c>
      <x:c r="E687" s="29" t="str">
        <x:v>κατακρίνω</x:v>
      </x:c>
      <x:c r="F687" s="27" t="str">
        <x:v>katakrinō</x:v>
      </x:c>
      <x:c r="G687" s="20" t="str">
        <x:v>to judge against, i.e. sentence</x:v>
      </x:c>
      <x:c r="H687" s="20" t="str"/>
      <x:c r="I687" s="21"/>
      <x:c r="J687" s="21" t="str">
        <x:v>Mounce 頻率延伸</x:v>
      </x:c>
      <x:c r="K687" s="21" t="str">
        <x:v>G2632</x:v>
      </x:c>
      <x:c r="L687" s="21" t="str">
        <x:v>否</x:v>
      </x:c>
      <x:c r="M687" s="21" t="str"/>
      <x:c r="N687" s="21" t="str">
        <x:v>source_and_lexicon_matched</x:v>
      </x:c>
      <x:c r="O687" s="21" t="str">
        <x:v>rule_generated_from_official_table</x:v>
      </x:c>
      <x:c r="P687" s="21" t="n">
        <x:v>12</x:v>
      </x:c>
      <x:c r="Q687" s="21" t="str">
        <x:v>https://doxa.billmounce.com/Flashcards%20%28BBG%29.pdf</x:v>
      </x:c>
      <x:c r="R687" s="16" t="str"/>
    </x:row>
    <x:row r="688" ht="28" customHeight="1">
      <x:c r="A688" s="21" t="n">
        <x:v>684</x:v>
      </x:c>
      <x:c r="B688" s="21" t="n">
        <x:f>ROUNDUP(A688/50,0)</x:f>
        <x:v>14</x:v>
      </x:c>
      <x:c r="C688" s="21" t="n">
        <x:f>MOD(A688-1,50)+1</x:f>
        <x:v>34</x:v>
      </x:c>
      <x:c r="D688" s="29" t="str">
        <x:v>κενός, -ή, -όν</x:v>
      </x:c>
      <x:c r="E688" s="29" t="str">
        <x:v>κενός</x:v>
      </x:c>
      <x:c r="F688" s="27" t="str">
        <x:v>kenos</x:v>
      </x:c>
      <x:c r="G688" s="20" t="str">
        <x:v>empty (literally or figuratively)</x:v>
      </x:c>
      <x:c r="H688" s="20" t="str"/>
      <x:c r="I688" s="21"/>
      <x:c r="J688" s="21" t="str">
        <x:v>Mounce 頻率延伸</x:v>
      </x:c>
      <x:c r="K688" s="21" t="str">
        <x:v>G2756</x:v>
      </x:c>
      <x:c r="L688" s="21" t="str">
        <x:v>否</x:v>
      </x:c>
      <x:c r="M688" s="21" t="str"/>
      <x:c r="N688" s="21" t="str">
        <x:v>source_and_lexicon_matched</x:v>
      </x:c>
      <x:c r="O688" s="21" t="str">
        <x:v>rule_generated_from_official_table</x:v>
      </x:c>
      <x:c r="P688" s="21" t="n">
        <x:v>12</x:v>
      </x:c>
      <x:c r="Q688" s="21" t="str">
        <x:v>https://doxa.billmounce.com/Flashcards%20%28BBG%29.pdf</x:v>
      </x:c>
      <x:c r="R688" s="16" t="str"/>
    </x:row>
    <x:row r="689" ht="28" customHeight="1">
      <x:c r="A689" s="21" t="n">
        <x:v>685</x:v>
      </x:c>
      <x:c r="B689" s="21" t="n">
        <x:f>ROUNDUP(A689/50,0)</x:f>
        <x:v>14</x:v>
      </x:c>
      <x:c r="C689" s="21" t="n">
        <x:f>MOD(A689-1,50)+1</x:f>
        <x:v>35</x:v>
      </x:c>
      <x:c r="D689" s="29" t="str">
        <x:v>κληρονομέω</x:v>
      </x:c>
      <x:c r="E689" s="29" t="str">
        <x:v>κληρονομέω</x:v>
      </x:c>
      <x:c r="F689" s="27" t="str">
        <x:v>klēronomeō</x:v>
      </x:c>
      <x:c r="G689" s="20" t="str">
        <x:v>to be an heir to (literally or figuratively)</x:v>
      </x:c>
      <x:c r="H689" s="20" t="str"/>
      <x:c r="I689" s="21"/>
      <x:c r="J689" s="21" t="str">
        <x:v>Mounce 頻率延伸</x:v>
      </x:c>
      <x:c r="K689" s="21" t="str">
        <x:v>G2816</x:v>
      </x:c>
      <x:c r="L689" s="21" t="str">
        <x:v>否</x:v>
      </x:c>
      <x:c r="M689" s="21" t="str"/>
      <x:c r="N689" s="21" t="str">
        <x:v>source_and_lexicon_matched</x:v>
      </x:c>
      <x:c r="O689" s="21" t="str">
        <x:v>rule_generated_from_official_table</x:v>
      </x:c>
      <x:c r="P689" s="21" t="n">
        <x:v>12</x:v>
      </x:c>
      <x:c r="Q689" s="21" t="str">
        <x:v>https://doxa.billmounce.com/Flashcards%20%28BBG%29.pdf</x:v>
      </x:c>
      <x:c r="R689" s="16" t="str"/>
    </x:row>
    <x:row r="690" ht="28" customHeight="1">
      <x:c r="A690" s="21" t="n">
        <x:v>686</x:v>
      </x:c>
      <x:c r="B690" s="21" t="n">
        <x:f>ROUNDUP(A690/50,0)</x:f>
        <x:v>14</x:v>
      </x:c>
      <x:c r="C690" s="21" t="n">
        <x:f>MOD(A690-1,50)+1</x:f>
        <x:v>36</x:v>
      </x:c>
      <x:c r="D690" s="29" t="str">
        <x:v>κοιμάω</x:v>
      </x:c>
      <x:c r="E690" s="29" t="str">
        <x:v>κοιμάω</x:v>
      </x:c>
      <x:c r="F690" s="27" t="str">
        <x:v>koimaō</x:v>
      </x:c>
      <x:c r="G690" s="20" t="str">
        <x:v>to put to sleep, i.e. (passively or reflexively) to slumber; figuratively, to decease</x:v>
      </x:c>
      <x:c r="H690" s="20" t="str"/>
      <x:c r="I690" s="21"/>
      <x:c r="J690" s="21" t="str">
        <x:v>Mounce 頻率延伸</x:v>
      </x:c>
      <x:c r="K690" s="21" t="str">
        <x:v>G2837</x:v>
      </x:c>
      <x:c r="L690" s="21" t="str">
        <x:v>否</x:v>
      </x:c>
      <x:c r="M690" s="21" t="str"/>
      <x:c r="N690" s="21" t="str">
        <x:v>source_and_lexicon_matched</x:v>
      </x:c>
      <x:c r="O690" s="21" t="str">
        <x:v>rule_generated_from_official_table</x:v>
      </x:c>
      <x:c r="P690" s="21" t="n">
        <x:v>12</x:v>
      </x:c>
      <x:c r="Q690" s="21" t="str">
        <x:v>https://doxa.billmounce.com/Flashcards%20%28BBG%29.pdf</x:v>
      </x:c>
      <x:c r="R690" s="16" t="str"/>
    </x:row>
    <x:row r="691" ht="28" customHeight="1">
      <x:c r="A691" s="21" t="n">
        <x:v>687</x:v>
      </x:c>
      <x:c r="B691" s="21" t="n">
        <x:f>ROUNDUP(A691/50,0)</x:f>
        <x:v>14</x:v>
      </x:c>
      <x:c r="C691" s="21" t="n">
        <x:f>MOD(A691-1,50)+1</x:f>
        <x:v>37</x:v>
      </x:c>
      <x:c r="D691" s="29" t="str">
        <x:v>κόπος, -ου, ὁ</x:v>
      </x:c>
      <x:c r="E691" s="29" t="str">
        <x:v>κόπος</x:v>
      </x:c>
      <x:c r="F691" s="27" t="str">
        <x:v>kopos</x:v>
      </x:c>
      <x:c r="G691" s="20" t="str">
        <x:v>a cut, i.e. (by analogy) toil (as reducing the strength), literally or figuratively; by implication, pains</x:v>
      </x:c>
      <x:c r="H691" s="20" t="str"/>
      <x:c r="I691" s="21"/>
      <x:c r="J691" s="21" t="str">
        <x:v>Mounce 頻率延伸</x:v>
      </x:c>
      <x:c r="K691" s="21" t="str">
        <x:v>G2873</x:v>
      </x:c>
      <x:c r="L691" s="21" t="str">
        <x:v>否</x:v>
      </x:c>
      <x:c r="M691" s="21" t="str"/>
      <x:c r="N691" s="21" t="str">
        <x:v>source_and_lexicon_matched</x:v>
      </x:c>
      <x:c r="O691" s="21" t="str">
        <x:v>rule_generated_from_official_table</x:v>
      </x:c>
      <x:c r="P691" s="21" t="n">
        <x:v>12</x:v>
      </x:c>
      <x:c r="Q691" s="21" t="str">
        <x:v>https://doxa.billmounce.com/Flashcards%20%28BBG%29.pdf</x:v>
      </x:c>
      <x:c r="R691" s="16" t="str"/>
    </x:row>
    <x:row r="692" ht="28" customHeight="1">
      <x:c r="A692" s="21" t="n">
        <x:v>688</x:v>
      </x:c>
      <x:c r="B692" s="21" t="n">
        <x:f>ROUNDUP(A692/50,0)</x:f>
        <x:v>14</x:v>
      </x:c>
      <x:c r="C692" s="21" t="n">
        <x:f>MOD(A692-1,50)+1</x:f>
        <x:v>38</x:v>
      </x:c>
      <x:c r="D692" s="29" t="str">
        <x:v>κρύπτω</x:v>
      </x:c>
      <x:c r="E692" s="29" t="str">
        <x:v>κρύπτω</x:v>
      </x:c>
      <x:c r="F692" s="27" t="str">
        <x:v>kruptō</x:v>
      </x:c>
      <x:c r="G692" s="20" t="str">
        <x:v>to conceal (properly, by covering)</x:v>
      </x:c>
      <x:c r="H692" s="20" t="str"/>
      <x:c r="I692" s="21"/>
      <x:c r="J692" s="21" t="str">
        <x:v>Mounce 頻率延伸</x:v>
      </x:c>
      <x:c r="K692" s="21" t="str">
        <x:v>G2928</x:v>
      </x:c>
      <x:c r="L692" s="21" t="str">
        <x:v>否</x:v>
      </x:c>
      <x:c r="M692" s="21" t="str"/>
      <x:c r="N692" s="21" t="str">
        <x:v>source_and_lexicon_matched</x:v>
      </x:c>
      <x:c r="O692" s="21" t="str">
        <x:v>rule_generated_from_official_table</x:v>
      </x:c>
      <x:c r="P692" s="21" t="n">
        <x:v>12</x:v>
      </x:c>
      <x:c r="Q692" s="21" t="str">
        <x:v>https://doxa.billmounce.com/Flashcards%20%28BBG%29.pdf</x:v>
      </x:c>
      <x:c r="R692" s="16" t="str"/>
    </x:row>
    <x:row r="693" ht="28" customHeight="1">
      <x:c r="A693" s="21" t="n">
        <x:v>689</x:v>
      </x:c>
      <x:c r="B693" s="21" t="n">
        <x:f>ROUNDUP(A693/50,0)</x:f>
        <x:v>14</x:v>
      </x:c>
      <x:c r="C693" s="21" t="n">
        <x:f>MOD(A693-1,50)+1</x:f>
        <x:v>39</x:v>
      </x:c>
      <x:c r="D693" s="29" t="str">
        <x:v>μήν, μηνός, ὁ</x:v>
      </x:c>
      <x:c r="E693" s="29" t="str">
        <x:v>μήν</x:v>
      </x:c>
      <x:c r="F693" s="27" t="str">
        <x:v>mēn</x:v>
      </x:c>
      <x:c r="G693" s="20" t="str">
        <x:v>a month</x:v>
      </x:c>
      <x:c r="H693" s="20" t="str"/>
      <x:c r="I693" s="21"/>
      <x:c r="J693" s="21" t="str">
        <x:v>Mounce 頻率延伸</x:v>
      </x:c>
      <x:c r="K693" s="21" t="str">
        <x:v>G3376</x:v>
      </x:c>
      <x:c r="L693" s="21" t="str">
        <x:v>否</x:v>
      </x:c>
      <x:c r="M693" s="21" t="str"/>
      <x:c r="N693" s="21" t="str">
        <x:v>source_and_lexicon_matched</x:v>
      </x:c>
      <x:c r="O693" s="21" t="str">
        <x:v>rule_generated_from_official_table</x:v>
      </x:c>
      <x:c r="P693" s="21" t="n">
        <x:v>12</x:v>
      </x:c>
      <x:c r="Q693" s="21" t="str">
        <x:v>https://doxa.billmounce.com/Flashcards%20%28BBG%29.pdf</x:v>
      </x:c>
      <x:c r="R693" s="16" t="str"/>
    </x:row>
    <x:row r="694" ht="28" customHeight="1">
      <x:c r="A694" s="21" t="n">
        <x:v>690</x:v>
      </x:c>
      <x:c r="B694" s="21" t="n">
        <x:f>ROUNDUP(A694/50,0)</x:f>
        <x:v>14</x:v>
      </x:c>
      <x:c r="C694" s="21" t="n">
        <x:f>MOD(A694-1,50)+1</x:f>
        <x:v>40</x:v>
      </x:c>
      <x:c r="D694" s="29" t="str">
        <x:v>μήτι</x:v>
      </x:c>
      <x:c r="E694" s="29" t="str">
        <x:v>μήτι</x:v>
      </x:c>
      <x:c r="F694" s="27" t="str">
        <x:v>mēti</x:v>
      </x:c>
      <x:c r="G694" s="20" t="str">
        <x:v>whether at all</x:v>
      </x:c>
      <x:c r="H694" s="20" t="str"/>
      <x:c r="I694" s="21"/>
      <x:c r="J694" s="21" t="str">
        <x:v>Mounce 頻率延伸</x:v>
      </x:c>
      <x:c r="K694" s="21" t="str">
        <x:v>G3385</x:v>
      </x:c>
      <x:c r="L694" s="21" t="str">
        <x:v>否</x:v>
      </x:c>
      <x:c r="M694" s="21" t="str"/>
      <x:c r="N694" s="21" t="str">
        <x:v>source_and_lexicon_matched</x:v>
      </x:c>
      <x:c r="O694" s="21" t="str">
        <x:v>rule_generated_from_official_table</x:v>
      </x:c>
      <x:c r="P694" s="21" t="n">
        <x:v>12</x:v>
      </x:c>
      <x:c r="Q694" s="21" t="str">
        <x:v>https://doxa.billmounce.com/Flashcards%20%28BBG%29.pdf</x:v>
      </x:c>
      <x:c r="R694" s="16" t="str"/>
    </x:row>
    <x:row r="695" ht="28" customHeight="1">
      <x:c r="A695" s="21" t="n">
        <x:v>691</x:v>
      </x:c>
      <x:c r="B695" s="21" t="n">
        <x:f>ROUNDUP(A695/50,0)</x:f>
        <x:v>14</x:v>
      </x:c>
      <x:c r="C695" s="21" t="n">
        <x:f>MOD(A695-1,50)+1</x:f>
        <x:v>41</x:v>
      </x:c>
      <x:c r="D695" s="29" t="str">
        <x:v>οἰκοδομή, -ῆς, ἡ</x:v>
      </x:c>
      <x:c r="E695" s="29" t="str">
        <x:v>οἰκοδομή</x:v>
      </x:c>
      <x:c r="F695" s="27" t="str">
        <x:v>oikodomē</x:v>
      </x:c>
      <x:c r="G695" s="20" t="str">
        <x:v>architecture, i.e. (concretely) a structure; figuratively, confirmation</x:v>
      </x:c>
      <x:c r="H695" s="20" t="str"/>
      <x:c r="I695" s="21"/>
      <x:c r="J695" s="21" t="str">
        <x:v>Mounce 頻率延伸</x:v>
      </x:c>
      <x:c r="K695" s="21" t="str">
        <x:v>G3619</x:v>
      </x:c>
      <x:c r="L695" s="21" t="str">
        <x:v>否</x:v>
      </x:c>
      <x:c r="M695" s="21" t="str"/>
      <x:c r="N695" s="21" t="str">
        <x:v>source_and_lexicon_matched</x:v>
      </x:c>
      <x:c r="O695" s="21" t="str">
        <x:v>rule_generated_from_official_table</x:v>
      </x:c>
      <x:c r="P695" s="21" t="n">
        <x:v>12</x:v>
      </x:c>
      <x:c r="Q695" s="21" t="str">
        <x:v>https://doxa.billmounce.com/Flashcards%20%28BBG%29.pdf</x:v>
      </x:c>
      <x:c r="R695" s="16" t="str"/>
    </x:row>
    <x:row r="696" ht="28" customHeight="1">
      <x:c r="A696" s="21" t="n">
        <x:v>692</x:v>
      </x:c>
      <x:c r="B696" s="21" t="n">
        <x:f>ROUNDUP(A696/50,0)</x:f>
        <x:v>14</x:v>
      </x:c>
      <x:c r="C696" s="21" t="n">
        <x:f>MOD(A696-1,50)+1</x:f>
        <x:v>42</x:v>
      </x:c>
      <x:c r="D696" s="29" t="str">
        <x:v>παραχρῆμα</x:v>
      </x:c>
      <x:c r="E696" s="29" t="str">
        <x:v>παραχρῆμα</x:v>
      </x:c>
      <x:c r="F696" s="27" t="str">
        <x:v>parachrēma</x:v>
      </x:c>
      <x:c r="G696" s="20" t="str">
        <x:v>at the thing itself, i.e. instantly</x:v>
      </x:c>
      <x:c r="H696" s="20" t="str"/>
      <x:c r="I696" s="21"/>
      <x:c r="J696" s="21" t="str">
        <x:v>Mounce 頻率延伸</x:v>
      </x:c>
      <x:c r="K696" s="21" t="str">
        <x:v>G3916</x:v>
      </x:c>
      <x:c r="L696" s="21" t="str">
        <x:v>否</x:v>
      </x:c>
      <x:c r="M696" s="21" t="str"/>
      <x:c r="N696" s="21" t="str">
        <x:v>source_and_lexicon_matched</x:v>
      </x:c>
      <x:c r="O696" s="21" t="str">
        <x:v>rule_generated_from_official_table</x:v>
      </x:c>
      <x:c r="P696" s="21" t="n">
        <x:v>12</x:v>
      </x:c>
      <x:c r="Q696" s="21" t="str">
        <x:v>https://doxa.billmounce.com/Flashcards%20%28BBG%29.pdf</x:v>
      </x:c>
      <x:c r="R696" s="16" t="str"/>
    </x:row>
    <x:row r="697" ht="28" customHeight="1">
      <x:c r="A697" s="21" t="n">
        <x:v>693</x:v>
      </x:c>
      <x:c r="B697" s="21" t="n">
        <x:f>ROUNDUP(A697/50,0)</x:f>
        <x:v>14</x:v>
      </x:c>
      <x:c r="C697" s="21" t="n">
        <x:f>MOD(A697-1,50)+1</x:f>
        <x:v>43</x:v>
      </x:c>
      <x:c r="D697" s="29" t="str">
        <x:v>ποιμήν, -ένος, ὁ</x:v>
      </x:c>
      <x:c r="E697" s="29" t="str">
        <x:v>ποιμήν</x:v>
      </x:c>
      <x:c r="F697" s="27" t="str">
        <x:v>poimēn</x:v>
      </x:c>
      <x:c r="G697" s="20" t="str">
        <x:v>a shepherd (literally or figuratively)</x:v>
      </x:c>
      <x:c r="H697" s="20" t="str"/>
      <x:c r="I697" s="21"/>
      <x:c r="J697" s="21" t="str">
        <x:v>Mounce 頻率延伸</x:v>
      </x:c>
      <x:c r="K697" s="21" t="str">
        <x:v>G4166</x:v>
      </x:c>
      <x:c r="L697" s="21" t="str">
        <x:v>否</x:v>
      </x:c>
      <x:c r="M697" s="21" t="str"/>
      <x:c r="N697" s="21" t="str">
        <x:v>source_and_lexicon_matched</x:v>
      </x:c>
      <x:c r="O697" s="21" t="str">
        <x:v>rule_generated_from_official_table</x:v>
      </x:c>
      <x:c r="P697" s="21" t="n">
        <x:v>12</x:v>
      </x:c>
      <x:c r="Q697" s="21" t="str">
        <x:v>https://doxa.billmounce.com/Flashcards%20%28BBG%29.pdf</x:v>
      </x:c>
      <x:c r="R697" s="16" t="str"/>
    </x:row>
    <x:row r="698" ht="28" customHeight="1">
      <x:c r="A698" s="21" t="n">
        <x:v>694</x:v>
      </x:c>
      <x:c r="B698" s="21" t="n">
        <x:f>ROUNDUP(A698/50,0)</x:f>
        <x:v>14</x:v>
      </x:c>
      <x:c r="C698" s="21" t="n">
        <x:f>MOD(A698-1,50)+1</x:f>
        <x:v>44</x:v>
      </x:c>
      <x:c r="D698" s="29" t="str">
        <x:v>πόλεμος, -ου, ὁ</x:v>
      </x:c>
      <x:c r="E698" s="29" t="str">
        <x:v>πόλεμος</x:v>
      </x:c>
      <x:c r="F698" s="27" t="str">
        <x:v>polemos</x:v>
      </x:c>
      <x:c r="G698" s="20" t="str">
        <x:v>warfare (literally or figuratively; a single encounter or a series)</x:v>
      </x:c>
      <x:c r="H698" s="20" t="str"/>
      <x:c r="I698" s="21"/>
      <x:c r="J698" s="21" t="str">
        <x:v>Mounce 頻率延伸</x:v>
      </x:c>
      <x:c r="K698" s="21" t="str">
        <x:v>G4171</x:v>
      </x:c>
      <x:c r="L698" s="21" t="str">
        <x:v>否</x:v>
      </x:c>
      <x:c r="M698" s="21" t="str"/>
      <x:c r="N698" s="21" t="str">
        <x:v>source_and_lexicon_matched</x:v>
      </x:c>
      <x:c r="O698" s="21" t="str">
        <x:v>rule_generated_from_official_table</x:v>
      </x:c>
      <x:c r="P698" s="21" t="n">
        <x:v>12</x:v>
      </x:c>
      <x:c r="Q698" s="21" t="str">
        <x:v>https://doxa.billmounce.com/Flashcards%20%28BBG%29.pdf</x:v>
      </x:c>
      <x:c r="R698" s="16" t="str"/>
    </x:row>
    <x:row r="699" ht="28" customHeight="1">
      <x:c r="A699" s="21" t="n">
        <x:v>695</x:v>
      </x:c>
      <x:c r="B699" s="21" t="n">
        <x:f>ROUNDUP(A699/50,0)</x:f>
        <x:v>14</x:v>
      </x:c>
      <x:c r="C699" s="21" t="n">
        <x:f>MOD(A699-1,50)+1</x:f>
        <x:v>45</x:v>
      </x:c>
      <x:c r="D699" s="29" t="str">
        <x:v>πολλάκις</x:v>
      </x:c>
      <x:c r="E699" s="29" t="str">
        <x:v>πολλάκις</x:v>
      </x:c>
      <x:c r="F699" s="27" t="str">
        <x:v>pollakis</x:v>
      </x:c>
      <x:c r="G699" s="20" t="str">
        <x:v>many times, i.e. frequently</x:v>
      </x:c>
      <x:c r="H699" s="20" t="str"/>
      <x:c r="I699" s="21"/>
      <x:c r="J699" s="21" t="str">
        <x:v>Mounce 頻率延伸</x:v>
      </x:c>
      <x:c r="K699" s="21" t="str">
        <x:v>G4178</x:v>
      </x:c>
      <x:c r="L699" s="21" t="str">
        <x:v>否</x:v>
      </x:c>
      <x:c r="M699" s="21" t="str"/>
      <x:c r="N699" s="21" t="str">
        <x:v>source_and_lexicon_matched</x:v>
      </x:c>
      <x:c r="O699" s="21" t="str">
        <x:v>rule_generated_from_official_table</x:v>
      </x:c>
      <x:c r="P699" s="21" t="n">
        <x:v>12</x:v>
      </x:c>
      <x:c r="Q699" s="21" t="str">
        <x:v>https://doxa.billmounce.com/Flashcards%20%28BBG%29.pdf</x:v>
      </x:c>
      <x:c r="R699" s="16" t="str"/>
    </x:row>
    <x:row r="700" ht="28" customHeight="1">
      <x:c r="A700" s="21" t="n">
        <x:v>696</x:v>
      </x:c>
      <x:c r="B700" s="21" t="n">
        <x:f>ROUNDUP(A700/50,0)</x:f>
        <x:v>14</x:v>
      </x:c>
      <x:c r="C700" s="21" t="n">
        <x:f>MOD(A700-1,50)+1</x:f>
        <x:v>46</x:v>
      </x:c>
      <x:c r="D700" s="29" t="str">
        <x:v>προστίθημι</x:v>
      </x:c>
      <x:c r="E700" s="29" t="str">
        <x:v>προστίθημι</x:v>
      </x:c>
      <x:c r="F700" s="27" t="str">
        <x:v>prostithēmi</x:v>
      </x:c>
      <x:c r="G700" s="20" t="str">
        <x:v>to place additionally, i.e. lay beside, annex, repeat</x:v>
      </x:c>
      <x:c r="H700" s="20" t="str"/>
      <x:c r="I700" s="21"/>
      <x:c r="J700" s="21" t="str">
        <x:v>Mounce 頻率延伸</x:v>
      </x:c>
      <x:c r="K700" s="21" t="str">
        <x:v>G4369</x:v>
      </x:c>
      <x:c r="L700" s="21" t="str">
        <x:v>否</x:v>
      </x:c>
      <x:c r="M700" s="21" t="str"/>
      <x:c r="N700" s="21" t="str">
        <x:v>source_and_lexicon_matched</x:v>
      </x:c>
      <x:c r="O700" s="21" t="str">
        <x:v>rule_generated_from_official_table</x:v>
      </x:c>
      <x:c r="P700" s="21" t="n">
        <x:v>12</x:v>
      </x:c>
      <x:c r="Q700" s="21" t="str">
        <x:v>https://doxa.billmounce.com/Flashcards%20%28BBG%29.pdf</x:v>
      </x:c>
      <x:c r="R700" s="16" t="str"/>
    </x:row>
    <x:row r="701" ht="28" customHeight="1">
      <x:c r="A701" s="21" t="n">
        <x:v>697</x:v>
      </x:c>
      <x:c r="B701" s="21" t="n">
        <x:f>ROUNDUP(A701/50,0)</x:f>
        <x:v>14</x:v>
      </x:c>
      <x:c r="C701" s="21" t="n">
        <x:f>MOD(A701-1,50)+1</x:f>
        <x:v>47</x:v>
      </x:c>
      <x:c r="D701" s="29" t="str">
        <x:v>πυλών, -ῶνος, ὁ</x:v>
      </x:c>
      <x:c r="E701" s="29" t="str">
        <x:v>πυλών</x:v>
      </x:c>
      <x:c r="F701" s="27" t="str">
        <x:v>pulōn</x:v>
      </x:c>
      <x:c r="G701" s="20" t="str">
        <x:v>a gate-way, door-way of a building or city; by implication, a portal or vestibule</x:v>
      </x:c>
      <x:c r="H701" s="20" t="str"/>
      <x:c r="I701" s="21"/>
      <x:c r="J701" s="21" t="str">
        <x:v>Mounce 頻率延伸</x:v>
      </x:c>
      <x:c r="K701" s="21" t="str">
        <x:v>G4440</x:v>
      </x:c>
      <x:c r="L701" s="21" t="str">
        <x:v>否</x:v>
      </x:c>
      <x:c r="M701" s="21" t="str"/>
      <x:c r="N701" s="21" t="str">
        <x:v>source_and_lexicon_matched</x:v>
      </x:c>
      <x:c r="O701" s="21" t="str">
        <x:v>rule_generated_from_official_table</x:v>
      </x:c>
      <x:c r="P701" s="21" t="n">
        <x:v>12</x:v>
      </x:c>
      <x:c r="Q701" s="21" t="str">
        <x:v>https://doxa.billmounce.com/Flashcards%20%28BBG%29.pdf</x:v>
      </x:c>
      <x:c r="R701" s="16" t="str"/>
    </x:row>
    <x:row r="702" ht="28" customHeight="1">
      <x:c r="A702" s="21" t="n">
        <x:v>698</x:v>
      </x:c>
      <x:c r="B702" s="21" t="n">
        <x:f>ROUNDUP(A702/50,0)</x:f>
        <x:v>14</x:v>
      </x:c>
      <x:c r="C702" s="21" t="n">
        <x:f>MOD(A702-1,50)+1</x:f>
        <x:v>48</x:v>
      </x:c>
      <x:c r="D702" s="29" t="str">
        <x:v>στέφανος, -ου, ὁ</x:v>
      </x:c>
      <x:c r="E702" s="29" t="str">
        <x:v>στέφανος</x:v>
      </x:c>
      <x:c r="F702" s="27" t="str">
        <x:v>stephanos</x:v>
      </x:c>
      <x:c r="G702" s="20" t="str">
        <x:v>a chaplet (as a badge of royalty, a prize in the public games or a symbol of honor generally; but more conspicuous and elaborate than the simple fillet, G1238 (διάδημα)), literally or figuratively</x:v>
      </x:c>
      <x:c r="H702" s="20" t="str"/>
      <x:c r="I702" s="21"/>
      <x:c r="J702" s="21" t="str">
        <x:v>Mounce 頻率延伸</x:v>
      </x:c>
      <x:c r="K702" s="21" t="str">
        <x:v>G4735</x:v>
      </x:c>
      <x:c r="L702" s="21" t="str">
        <x:v>否</x:v>
      </x:c>
      <x:c r="M702" s="21" t="str"/>
      <x:c r="N702" s="21" t="str">
        <x:v>source_and_lexicon_matched</x:v>
      </x:c>
      <x:c r="O702" s="21" t="str">
        <x:v>rule_generated_from_official_table</x:v>
      </x:c>
      <x:c r="P702" s="21" t="n">
        <x:v>12</x:v>
      </x:c>
      <x:c r="Q702" s="21" t="str">
        <x:v>https://doxa.billmounce.com/Flashcards%20%28BBG%29.pdf</x:v>
      </x:c>
      <x:c r="R702" s="16" t="str"/>
    </x:row>
    <x:row r="703" ht="28" customHeight="1">
      <x:c r="A703" s="21" t="n">
        <x:v>699</x:v>
      </x:c>
      <x:c r="B703" s="21" t="n">
        <x:f>ROUNDUP(A703/50,0)</x:f>
        <x:v>14</x:v>
      </x:c>
      <x:c r="C703" s="21" t="n">
        <x:f>MOD(A703-1,50)+1</x:f>
        <x:v>49</x:v>
      </x:c>
      <x:c r="D703" s="29" t="str">
        <x:v>τίκτω</x:v>
      </x:c>
      <x:c r="E703" s="29" t="str">
        <x:v>τίκτω</x:v>
      </x:c>
      <x:c r="F703" s="27" t="str">
        <x:v>tiktō</x:v>
      </x:c>
      <x:c r="G703" s="20" t="str">
        <x:v>to produce (from seed, as a mother, a plant, the earth, etc.), literally or figuratively</x:v>
      </x:c>
      <x:c r="H703" s="20" t="str"/>
      <x:c r="I703" s="21"/>
      <x:c r="J703" s="21" t="str">
        <x:v>Mounce 頻率延伸</x:v>
      </x:c>
      <x:c r="K703" s="21" t="str">
        <x:v>G5088</x:v>
      </x:c>
      <x:c r="L703" s="21" t="str">
        <x:v>否</x:v>
      </x:c>
      <x:c r="M703" s="21" t="str"/>
      <x:c r="N703" s="21" t="str">
        <x:v>source_and_lexicon_matched</x:v>
      </x:c>
      <x:c r="O703" s="21" t="str">
        <x:v>rule_generated_from_official_table</x:v>
      </x:c>
      <x:c r="P703" s="21" t="n">
        <x:v>12</x:v>
      </x:c>
      <x:c r="Q703" s="21" t="str">
        <x:v>https://doxa.billmounce.com/Flashcards%20%28BBG%29.pdf</x:v>
      </x:c>
      <x:c r="R703" s="16" t="str"/>
    </x:row>
    <x:row r="704" ht="28" customHeight="1">
      <x:c r="A704" s="21" t="n">
        <x:v>700</x:v>
      </x:c>
      <x:c r="B704" s="21" t="n">
        <x:f>ROUNDUP(A704/50,0)</x:f>
        <x:v>14</x:v>
      </x:c>
      <x:c r="C704" s="21" t="n">
        <x:f>MOD(A704-1,50)+1</x:f>
        <x:v>50</x:v>
      </x:c>
      <x:c r="D704" s="29" t="str">
        <x:v>φανερός, -ά, -όν</x:v>
      </x:c>
      <x:c r="E704" s="29" t="str">
        <x:v>φανερός</x:v>
      </x:c>
      <x:c r="F704" s="27" t="str">
        <x:v>phaneros</x:v>
      </x:c>
      <x:c r="G704" s="20" t="str">
        <x:v>shining, i.e. apparent (literally or figuratively); neuter (as adverb) publicly, externally</x:v>
      </x:c>
      <x:c r="H704" s="20" t="str"/>
      <x:c r="I704" s="21"/>
      <x:c r="J704" s="21" t="str">
        <x:v>Mounce 頻率延伸</x:v>
      </x:c>
      <x:c r="K704" s="21" t="str">
        <x:v>G5318</x:v>
      </x:c>
      <x:c r="L704" s="21" t="str">
        <x:v>否</x:v>
      </x:c>
      <x:c r="M704" s="21" t="str"/>
      <x:c r="N704" s="21" t="str">
        <x:v>source_and_lexicon_matched</x:v>
      </x:c>
      <x:c r="O704" s="21" t="str">
        <x:v>rule_generated_from_official_table</x:v>
      </x:c>
      <x:c r="P704" s="21" t="n">
        <x:v>12</x:v>
      </x:c>
      <x:c r="Q704" s="21" t="str">
        <x:v>https://doxa.billmounce.com/Flashcards%20%28BBG%29.pdf</x:v>
      </x:c>
      <x:c r="R704" s="16" t="str"/>
    </x:row>
    <x:row r="705" ht="28" customHeight="1">
      <x:c r="A705" s="21" t="n">
        <x:v>701</x:v>
      </x:c>
      <x:c r="B705" s="21" t="n">
        <x:f>ROUNDUP(A705/50,0)</x:f>
        <x:v>15</x:v>
      </x:c>
      <x:c r="C705" s="21" t="n">
        <x:f>MOD(A705-1,50)+1</x:f>
        <x:v>1</x:v>
      </x:c>
      <x:c r="D705" s="29" t="str">
        <x:v>χρύσοῦς, -ῆ, -οῦν</x:v>
      </x:c>
      <x:c r="E705" s="29" t="str">
        <x:v>χρύσοῦς</x:v>
      </x:c>
      <x:c r="F705" s="27" t="str">
        <x:v>chrusous</x:v>
      </x:c>
      <x:c r="G705" s="20" t="str"/>
      <x:c r="H705" s="20" t="str"/>
      <x:c r="I705" s="21"/>
      <x:c r="J705" s="21" t="str">
        <x:v>Mounce 頻率延伸</x:v>
      </x:c>
      <x:c r="K705" s="21" t="str"/>
      <x:c r="L705" s="21" t="str">
        <x:v>否</x:v>
      </x:c>
      <x:c r="M705" s="21" t="str"/>
      <x:c r="N705" s="21" t="str">
        <x:v>source_verified_lexicon_pending</x:v>
      </x:c>
      <x:c r="O705" s="21" t="str">
        <x:v>rule_generated_from_official_table</x:v>
      </x:c>
      <x:c r="P705" s="21" t="n">
        <x:v>12</x:v>
      </x:c>
      <x:c r="Q705" s="21" t="str">
        <x:v>https://doxa.billmounce.com/Flashcards%20%28BBG%29.pdf</x:v>
      </x:c>
      <x:c r="R705" s="16" t="str"/>
    </x:row>
    <x:row r="706" ht="28" customHeight="1">
      <x:c r="A706" s="21" t="n">
        <x:v>702</x:v>
      </x:c>
      <x:c r="B706" s="21" t="n">
        <x:f>ROUNDUP(A706/50,0)</x:f>
        <x:v>15</x:v>
      </x:c>
      <x:c r="C706" s="21" t="n">
        <x:f>MOD(A706-1,50)+1</x:f>
        <x:v>2</x:v>
      </x:c>
      <x:c r="D706" s="29" t="str">
        <x:v>ἀνάγκη, -ης, ἡ</x:v>
      </x:c>
      <x:c r="E706" s="29" t="str">
        <x:v>ἀνάγκη</x:v>
      </x:c>
      <x:c r="F706" s="27" t="str">
        <x:v>anankē</x:v>
      </x:c>
      <x:c r="G706" s="20" t="str">
        <x:v>constraint (literally or figuratively); by implication, distress</x:v>
      </x:c>
      <x:c r="H706" s="20" t="str"/>
      <x:c r="I706" s="21"/>
      <x:c r="J706" s="21" t="str">
        <x:v>Mounce 頻率延伸</x:v>
      </x:c>
      <x:c r="K706" s="21" t="str">
        <x:v>G318</x:v>
      </x:c>
      <x:c r="L706" s="21" t="str">
        <x:v>否</x:v>
      </x:c>
      <x:c r="M706" s="21" t="str"/>
      <x:c r="N706" s="21" t="str">
        <x:v>source_and_lexicon_matched</x:v>
      </x:c>
      <x:c r="O706" s="21" t="str">
        <x:v>rule_generated_from_official_table</x:v>
      </x:c>
      <x:c r="P706" s="21" t="n">
        <x:v>12</x:v>
      </x:c>
      <x:c r="Q706" s="21" t="str">
        <x:v>https://doxa.billmounce.com/Flashcards%20%28BBG%29.pdf</x:v>
      </x:c>
      <x:c r="R706" s="16" t="str"/>
    </x:row>
    <x:row r="707" ht="28" customHeight="1">
      <x:c r="A707" s="21" t="n">
        <x:v>703</x:v>
      </x:c>
      <x:c r="B707" s="21" t="n">
        <x:f>ROUNDUP(A707/50,0)</x:f>
        <x:v>15</x:v>
      </x:c>
      <x:c r="C707" s="21" t="n">
        <x:f>MOD(A707-1,50)+1</x:f>
        <x:v>3</x:v>
      </x:c>
      <x:c r="D707" s="29" t="str">
        <x:v>ἀρέσκω</x:v>
      </x:c>
      <x:c r="E707" s="29" t="str">
        <x:v>ἀρέσκω</x:v>
      </x:c>
      <x:c r="F707" s="27" t="str">
        <x:v>areskō</x:v>
      </x:c>
      <x:c r="G707" s="20" t="str">
        <x:v>to be agreeable (or by implication, to seek to be so)</x:v>
      </x:c>
      <x:c r="H707" s="20" t="str"/>
      <x:c r="I707" s="21"/>
      <x:c r="J707" s="21" t="str">
        <x:v>Mounce 頻率延伸</x:v>
      </x:c>
      <x:c r="K707" s="21" t="str">
        <x:v>G700</x:v>
      </x:c>
      <x:c r="L707" s="21" t="str">
        <x:v>否</x:v>
      </x:c>
      <x:c r="M707" s="21" t="str"/>
      <x:c r="N707" s="21" t="str">
        <x:v>source_and_lexicon_matched</x:v>
      </x:c>
      <x:c r="O707" s="21" t="str">
        <x:v>rule_generated_from_official_table</x:v>
      </x:c>
      <x:c r="P707" s="21" t="n">
        <x:v>12</x:v>
      </x:c>
      <x:c r="Q707" s="21" t="str">
        <x:v>https://doxa.billmounce.com/Flashcards%20%28BBG%29.pdf</x:v>
      </x:c>
      <x:c r="R707" s="16" t="str"/>
    </x:row>
    <x:row r="708" ht="28" customHeight="1">
      <x:c r="A708" s="21" t="n">
        <x:v>704</x:v>
      </x:c>
      <x:c r="B708" s="21" t="n">
        <x:f>ROUNDUP(A708/50,0)</x:f>
        <x:v>15</x:v>
      </x:c>
      <x:c r="C708" s="21" t="n">
        <x:f>MOD(A708-1,50)+1</x:f>
        <x:v>4</x:v>
      </x:c>
      <x:c r="D708" s="29" t="str">
        <x:v>ἄφεσις, -εως, ἡ</x:v>
      </x:c>
      <x:c r="E708" s="29" t="str">
        <x:v>ἄφεσις</x:v>
      </x:c>
      <x:c r="F708" s="27" t="str">
        <x:v>aphesis</x:v>
      </x:c>
      <x:c r="G708" s="20" t="str">
        <x:v>freedom; (figuratively) pardon</x:v>
      </x:c>
      <x:c r="H708" s="20" t="str"/>
      <x:c r="I708" s="21"/>
      <x:c r="J708" s="21" t="str">
        <x:v>Mounce 頻率延伸</x:v>
      </x:c>
      <x:c r="K708" s="21" t="str">
        <x:v>G859</x:v>
      </x:c>
      <x:c r="L708" s="21" t="str">
        <x:v>否</x:v>
      </x:c>
      <x:c r="M708" s="21" t="str"/>
      <x:c r="N708" s="21" t="str">
        <x:v>source_and_lexicon_matched</x:v>
      </x:c>
      <x:c r="O708" s="21" t="str">
        <x:v>rule_generated_from_official_table</x:v>
      </x:c>
      <x:c r="P708" s="21" t="n">
        <x:v>12</x:v>
      </x:c>
      <x:c r="Q708" s="21" t="str">
        <x:v>https://doxa.billmounce.com/Flashcards%20%28BBG%29.pdf</x:v>
      </x:c>
      <x:c r="R708" s="16" t="str"/>
    </x:row>
    <x:row r="709" ht="28" customHeight="1">
      <x:c r="A709" s="21" t="n">
        <x:v>705</x:v>
      </x:c>
      <x:c r="B709" s="21" t="n">
        <x:f>ROUNDUP(A709/50,0)</x:f>
        <x:v>15</x:v>
      </x:c>
      <x:c r="C709" s="21" t="n">
        <x:f>MOD(A709-1,50)+1</x:f>
        <x:v>5</x:v>
      </x:c>
      <x:c r="D709" s="29" t="str">
        <x:v>βρῶμα, -ατος, τό</x:v>
      </x:c>
      <x:c r="E709" s="29" t="str">
        <x:v>βρῶμα</x:v>
      </x:c>
      <x:c r="F709" s="27" t="str">
        <x:v>brōma</x:v>
      </x:c>
      <x:c r="G709" s="20" t="str">
        <x:v>food (literally or figuratively), especially (ceremonially) articles allowed or forbidden by the Jewish law</x:v>
      </x:c>
      <x:c r="H709" s="20" t="str"/>
      <x:c r="I709" s="21"/>
      <x:c r="J709" s="21" t="str">
        <x:v>Mounce 頻率延伸</x:v>
      </x:c>
      <x:c r="K709" s="21" t="str">
        <x:v>G1033</x:v>
      </x:c>
      <x:c r="L709" s="21" t="str">
        <x:v>否</x:v>
      </x:c>
      <x:c r="M709" s="21" t="str"/>
      <x:c r="N709" s="21" t="str">
        <x:v>source_and_lexicon_matched</x:v>
      </x:c>
      <x:c r="O709" s="21" t="str">
        <x:v>rule_generated_from_official_table</x:v>
      </x:c>
      <x:c r="P709" s="21" t="n">
        <x:v>12</x:v>
      </x:c>
      <x:c r="Q709" s="21" t="str">
        <x:v>https://doxa.billmounce.com/Flashcards%20%28BBG%29.pdf</x:v>
      </x:c>
      <x:c r="R709" s="16" t="str"/>
    </x:row>
    <x:row r="710" ht="28" customHeight="1">
      <x:c r="A710" s="21" t="n">
        <x:v>706</x:v>
      </x:c>
      <x:c r="B710" s="21" t="n">
        <x:f>ROUNDUP(A710/50,0)</x:f>
        <x:v>15</x:v>
      </x:c>
      <x:c r="C710" s="21" t="n">
        <x:f>MOD(A710-1,50)+1</x:f>
        <x:v>6</x:v>
      </x:c>
      <x:c r="D710" s="29" t="str">
        <x:v>ἑκατόν</x:v>
      </x:c>
      <x:c r="E710" s="29" t="str">
        <x:v>ἑκατόν</x:v>
      </x:c>
      <x:c r="F710" s="27" t="str">
        <x:v>hekaton</x:v>
      </x:c>
      <x:c r="G710" s="20" t="str">
        <x:v>a hundred</x:v>
      </x:c>
      <x:c r="H710" s="20" t="str"/>
      <x:c r="I710" s="21"/>
      <x:c r="J710" s="21" t="str">
        <x:v>Mounce 頻率延伸</x:v>
      </x:c>
      <x:c r="K710" s="21" t="str">
        <x:v>G1540</x:v>
      </x:c>
      <x:c r="L710" s="21" t="str">
        <x:v>否</x:v>
      </x:c>
      <x:c r="M710" s="21" t="str"/>
      <x:c r="N710" s="21" t="str">
        <x:v>source_and_lexicon_matched</x:v>
      </x:c>
      <x:c r="O710" s="21" t="str">
        <x:v>rule_generated_from_official_table</x:v>
      </x:c>
      <x:c r="P710" s="21" t="n">
        <x:v>12</x:v>
      </x:c>
      <x:c r="Q710" s="21" t="str">
        <x:v>https://doxa.billmounce.com/Flashcards%20%28BBG%29.pdf</x:v>
      </x:c>
      <x:c r="R710" s="16" t="str"/>
    </x:row>
    <x:row r="711" ht="28" customHeight="1">
      <x:c r="A711" s="21" t="n">
        <x:v>707</x:v>
      </x:c>
      <x:c r="B711" s="21" t="n">
        <x:f>ROUNDUP(A711/50,0)</x:f>
        <x:v>15</x:v>
      </x:c>
      <x:c r="C711" s="21" t="n">
        <x:f>MOD(A711-1,50)+1</x:f>
        <x:v>7</x:v>
      </x:c>
      <x:c r="D711" s="29" t="str">
        <x:v>ἐλέγχω</x:v>
      </x:c>
      <x:c r="E711" s="29" t="str">
        <x:v>ἐλέγχω</x:v>
      </x:c>
      <x:c r="F711" s="27" t="str">
        <x:v>elenchō</x:v>
      </x:c>
      <x:c r="G711" s="20" t="str">
        <x:v>to confute, admonish</x:v>
      </x:c>
      <x:c r="H711" s="20" t="str"/>
      <x:c r="I711" s="21"/>
      <x:c r="J711" s="21" t="str">
        <x:v>Mounce 頻率延伸</x:v>
      </x:c>
      <x:c r="K711" s="21" t="str">
        <x:v>G1651</x:v>
      </x:c>
      <x:c r="L711" s="21" t="str">
        <x:v>否</x:v>
      </x:c>
      <x:c r="M711" s="21" t="str"/>
      <x:c r="N711" s="21" t="str">
        <x:v>source_and_lexicon_matched</x:v>
      </x:c>
      <x:c r="O711" s="21" t="str">
        <x:v>rule_generated_from_official_table</x:v>
      </x:c>
      <x:c r="P711" s="21" t="n">
        <x:v>12</x:v>
      </x:c>
      <x:c r="Q711" s="21" t="str">
        <x:v>https://doxa.billmounce.com/Flashcards%20%28BBG%29.pdf</x:v>
      </x:c>
      <x:c r="R711" s="16" t="str"/>
    </x:row>
    <x:row r="712" ht="28" customHeight="1">
      <x:c r="A712" s="21" t="n">
        <x:v>708</x:v>
      </x:c>
      <x:c r="B712" s="21" t="n">
        <x:f>ROUNDUP(A712/50,0)</x:f>
        <x:v>15</x:v>
      </x:c>
      <x:c r="C712" s="21" t="n">
        <x:f>MOD(A712-1,50)+1</x:f>
        <x:v>8</x:v>
      </x:c>
      <x:c r="D712" s="29" t="str">
        <x:v>ἐξίστημι</x:v>
      </x:c>
      <x:c r="E712" s="29" t="str">
        <x:v>ἐξίστημι</x:v>
      </x:c>
      <x:c r="F712" s="27" t="str">
        <x:v>existēmi</x:v>
      </x:c>
      <x:c r="G712" s="20" t="str">
        <x:v>to put (stand) out of wits, i.e. astound, or (reflexively) become astounded, insane</x:v>
      </x:c>
      <x:c r="H712" s="20" t="str"/>
      <x:c r="I712" s="21"/>
      <x:c r="J712" s="21" t="str">
        <x:v>Mounce 頻率延伸</x:v>
      </x:c>
      <x:c r="K712" s="21" t="str">
        <x:v>G1839</x:v>
      </x:c>
      <x:c r="L712" s="21" t="str">
        <x:v>否</x:v>
      </x:c>
      <x:c r="M712" s="21" t="str"/>
      <x:c r="N712" s="21" t="str">
        <x:v>source_and_lexicon_matched</x:v>
      </x:c>
      <x:c r="O712" s="21" t="str">
        <x:v>rule_generated_from_official_table</x:v>
      </x:c>
      <x:c r="P712" s="21" t="n">
        <x:v>12</x:v>
      </x:c>
      <x:c r="Q712" s="21" t="str">
        <x:v>https://doxa.billmounce.com/Flashcards%20%28BBG%29.pdf</x:v>
      </x:c>
      <x:c r="R712" s="16" t="str"/>
    </x:row>
    <x:row r="713" ht="28" customHeight="1">
      <x:c r="A713" s="21" t="n">
        <x:v>709</x:v>
      </x:c>
      <x:c r="B713" s="21" t="n">
        <x:f>ROUNDUP(A713/50,0)</x:f>
        <x:v>15</x:v>
      </x:c>
      <x:c r="C713" s="21" t="n">
        <x:f>MOD(A713-1,50)+1</x:f>
        <x:v>9</x:v>
      </x:c>
      <x:c r="D713" s="29" t="str">
        <x:v>ἐπαύριον</x:v>
      </x:c>
      <x:c r="E713" s="29" t="str">
        <x:v>ἐπαύριον</x:v>
      </x:c>
      <x:c r="F713" s="27" t="str">
        <x:v>epaurion</x:v>
      </x:c>
      <x:c r="G713" s="20" t="str">
        <x:v>occurring on the succeeding day, i.e. (G2250 (ἡμέρα) being implied) to-morrow</x:v>
      </x:c>
      <x:c r="H713" s="20" t="str"/>
      <x:c r="I713" s="21"/>
      <x:c r="J713" s="21" t="str">
        <x:v>Mounce 頻率延伸</x:v>
      </x:c>
      <x:c r="K713" s="21" t="str">
        <x:v>G1887</x:v>
      </x:c>
      <x:c r="L713" s="21" t="str">
        <x:v>否</x:v>
      </x:c>
      <x:c r="M713" s="21" t="str"/>
      <x:c r="N713" s="21" t="str">
        <x:v>source_and_lexicon_matched</x:v>
      </x:c>
      <x:c r="O713" s="21" t="str">
        <x:v>rule_generated_from_official_table</x:v>
      </x:c>
      <x:c r="P713" s="21" t="n">
        <x:v>12</x:v>
      </x:c>
      <x:c r="Q713" s="21" t="str">
        <x:v>https://doxa.billmounce.com/Flashcards%20%28BBG%29.pdf</x:v>
      </x:c>
      <x:c r="R713" s="16" t="str"/>
    </x:row>
    <x:row r="714" ht="28" customHeight="1">
      <x:c r="A714" s="21" t="n">
        <x:v>710</x:v>
      </x:c>
      <x:c r="B714" s="21" t="n">
        <x:f>ROUNDUP(A714/50,0)</x:f>
        <x:v>15</x:v>
      </x:c>
      <x:c r="C714" s="21" t="n">
        <x:f>MOD(A714-1,50)+1</x:f>
        <x:v>10</x:v>
      </x:c>
      <x:c r="D714" s="29" t="str">
        <x:v>ἕτοιμος, -η, -ον</x:v>
      </x:c>
      <x:c r="E714" s="29" t="str">
        <x:v>ἕτοιμος</x:v>
      </x:c>
      <x:c r="F714" s="27" t="str">
        <x:v>hetoimos</x:v>
      </x:c>
      <x:c r="G714" s="20" t="str">
        <x:v>adjusted, i.e. ready</x:v>
      </x:c>
      <x:c r="H714" s="20" t="str"/>
      <x:c r="I714" s="21"/>
      <x:c r="J714" s="21" t="str">
        <x:v>Mounce 頻率延伸</x:v>
      </x:c>
      <x:c r="K714" s="21" t="str">
        <x:v>G2092</x:v>
      </x:c>
      <x:c r="L714" s="21" t="str">
        <x:v>否</x:v>
      </x:c>
      <x:c r="M714" s="21" t="str"/>
      <x:c r="N714" s="21" t="str">
        <x:v>source_and_lexicon_matched</x:v>
      </x:c>
      <x:c r="O714" s="21" t="str">
        <x:v>rule_generated_from_official_table</x:v>
      </x:c>
      <x:c r="P714" s="21" t="n">
        <x:v>12</x:v>
      </x:c>
      <x:c r="Q714" s="21" t="str">
        <x:v>https://doxa.billmounce.com/Flashcards%20%28BBG%29.pdf</x:v>
      </x:c>
      <x:c r="R714" s="16" t="str"/>
    </x:row>
    <x:row r="715" ht="28" customHeight="1">
      <x:c r="A715" s="21" t="n">
        <x:v>711</x:v>
      </x:c>
      <x:c r="B715" s="21" t="n">
        <x:f>ROUNDUP(A715/50,0)</x:f>
        <x:v>15</x:v>
      </x:c>
      <x:c r="C715" s="21" t="n">
        <x:f>MOD(A715-1,50)+1</x:f>
        <x:v>11</x:v>
      </x:c>
      <x:c r="D715" s="29" t="str">
        <x:v>θησαυρός, -οῦ, ὁ</x:v>
      </x:c>
      <x:c r="E715" s="29" t="str">
        <x:v>θησαυρός</x:v>
      </x:c>
      <x:c r="F715" s="27" t="str">
        <x:v>thēsauros</x:v>
      </x:c>
      <x:c r="G715" s="20" t="str">
        <x:v>a deposit, i.e. wealth (literally or figuratively)</x:v>
      </x:c>
      <x:c r="H715" s="20" t="str"/>
      <x:c r="I715" s="21"/>
      <x:c r="J715" s="21" t="str">
        <x:v>Mounce 頻率延伸</x:v>
      </x:c>
      <x:c r="K715" s="21" t="str">
        <x:v>G2344</x:v>
      </x:c>
      <x:c r="L715" s="21" t="str">
        <x:v>否</x:v>
      </x:c>
      <x:c r="M715" s="21" t="str"/>
      <x:c r="N715" s="21" t="str">
        <x:v>source_and_lexicon_matched</x:v>
      </x:c>
      <x:c r="O715" s="21" t="str">
        <x:v>rule_generated_from_official_table</x:v>
      </x:c>
      <x:c r="P715" s="21" t="n">
        <x:v>12</x:v>
      </x:c>
      <x:c r="Q715" s="21" t="str">
        <x:v>https://doxa.billmounce.com/Flashcards%20%28BBG%29.pdf</x:v>
      </x:c>
      <x:c r="R715" s="16" t="str"/>
    </x:row>
    <x:row r="716" ht="28" customHeight="1">
      <x:c r="A716" s="21" t="n">
        <x:v>712</x:v>
      </x:c>
      <x:c r="B716" s="21" t="n">
        <x:f>ROUNDUP(A716/50,0)</x:f>
        <x:v>15</x:v>
      </x:c>
      <x:c r="C716" s="21" t="n">
        <x:f>MOD(A716-1,50)+1</x:f>
        <x:v>12</x:v>
      </x:c>
      <x:c r="D716" s="29" t="str">
        <x:v>ἵππος, -ου, ὁ</x:v>
      </x:c>
      <x:c r="E716" s="29" t="str">
        <x:v>ἵππος</x:v>
      </x:c>
      <x:c r="F716" s="27" t="str">
        <x:v>hippos</x:v>
      </x:c>
      <x:c r="G716" s="20" t="str">
        <x:v>a horse</x:v>
      </x:c>
      <x:c r="H716" s="20" t="str"/>
      <x:c r="I716" s="21"/>
      <x:c r="J716" s="21" t="str">
        <x:v>Mounce 頻率延伸</x:v>
      </x:c>
      <x:c r="K716" s="21" t="str">
        <x:v>G2462</x:v>
      </x:c>
      <x:c r="L716" s="21" t="str">
        <x:v>否</x:v>
      </x:c>
      <x:c r="M716" s="21" t="str"/>
      <x:c r="N716" s="21" t="str">
        <x:v>source_and_lexicon_matched</x:v>
      </x:c>
      <x:c r="O716" s="21" t="str">
        <x:v>rule_generated_from_official_table</x:v>
      </x:c>
      <x:c r="P716" s="21" t="n">
        <x:v>12</x:v>
      </x:c>
      <x:c r="Q716" s="21" t="str">
        <x:v>https://doxa.billmounce.com/Flashcards%20%28BBG%29.pdf</x:v>
      </x:c>
      <x:c r="R716" s="16" t="str"/>
    </x:row>
    <x:row r="717" ht="28" customHeight="1">
      <x:c r="A717" s="21" t="n">
        <x:v>713</x:v>
      </x:c>
      <x:c r="B717" s="21" t="n">
        <x:f>ROUNDUP(A717/50,0)</x:f>
        <x:v>15</x:v>
      </x:c>
      <x:c r="C717" s="21" t="n">
        <x:f>MOD(A717-1,50)+1</x:f>
        <x:v>13</x:v>
      </x:c>
      <x:c r="D717" s="29" t="str">
        <x:v>Καισάρεια, -ας, ἡ</x:v>
      </x:c>
      <x:c r="E717" s="29" t="str">
        <x:v>Καισάρεια</x:v>
      </x:c>
      <x:c r="F717" s="27" t="str">
        <x:v>Kaisareia</x:v>
      </x:c>
      <x:c r="G717" s="20" t="str">
        <x:v>Cæsaria, the name of two places in Palestine</x:v>
      </x:c>
      <x:c r="H717" s="20" t="str"/>
      <x:c r="I717" s="21"/>
      <x:c r="J717" s="21" t="str">
        <x:v>Mounce 頻率延伸</x:v>
      </x:c>
      <x:c r="K717" s="21" t="str">
        <x:v>G2542</x:v>
      </x:c>
      <x:c r="L717" s="21" t="str">
        <x:v>是</x:v>
      </x:c>
      <x:c r="M717" s="21" t="str">
        <x:v>地名</x:v>
      </x:c>
      <x:c r="N717" s="21" t="str">
        <x:v>source_and_lexicon_matched</x:v>
      </x:c>
      <x:c r="O717" s="21" t="str">
        <x:v>rule_generated_from_official_table</x:v>
      </x:c>
      <x:c r="P717" s="21" t="n">
        <x:v>12</x:v>
      </x:c>
      <x:c r="Q717" s="21" t="str">
        <x:v>https://doxa.billmounce.com/Flashcards%20%28BBG%29.pdf</x:v>
      </x:c>
      <x:c r="R717" s="16" t="str"/>
    </x:row>
    <x:row r="718" ht="28" customHeight="1">
      <x:c r="A718" s="21" t="n">
        <x:v>714</x:v>
      </x:c>
      <x:c r="B718" s="21" t="n">
        <x:f>ROUNDUP(A718/50,0)</x:f>
        <x:v>15</x:v>
      </x:c>
      <x:c r="C718" s="21" t="n">
        <x:f>MOD(A718-1,50)+1</x:f>
        <x:v>14</x:v>
      </x:c>
      <x:c r="D718" s="29" t="str">
        <x:v>κἄν</x:v>
      </x:c>
      <x:c r="E718" s="29" t="str">
        <x:v>κἄν</x:v>
      </x:c>
      <x:c r="F718" s="27" t="str">
        <x:v>kan</x:v>
      </x:c>
      <x:c r="G718" s="20" t="str">
        <x:v>and (or even) if</x:v>
      </x:c>
      <x:c r="H718" s="20" t="str"/>
      <x:c r="I718" s="21"/>
      <x:c r="J718" s="21" t="str">
        <x:v>Mounce 頻率延伸</x:v>
      </x:c>
      <x:c r="K718" s="21" t="str">
        <x:v>G2579</x:v>
      </x:c>
      <x:c r="L718" s="21" t="str">
        <x:v>否</x:v>
      </x:c>
      <x:c r="M718" s="21" t="str"/>
      <x:c r="N718" s="21" t="str">
        <x:v>source_and_lexicon_matched</x:v>
      </x:c>
      <x:c r="O718" s="21" t="str">
        <x:v>rule_generated_from_official_table</x:v>
      </x:c>
      <x:c r="P718" s="21" t="n">
        <x:v>12</x:v>
      </x:c>
      <x:c r="Q718" s="21" t="str">
        <x:v>https://doxa.billmounce.com/Flashcards%20%28BBG%29.pdf</x:v>
      </x:c>
      <x:c r="R718" s="16" t="str"/>
    </x:row>
    <x:row r="719" ht="28" customHeight="1">
      <x:c r="A719" s="21" t="n">
        <x:v>715</x:v>
      </x:c>
      <x:c r="B719" s="21" t="n">
        <x:f>ROUNDUP(A719/50,0)</x:f>
        <x:v>15</x:v>
      </x:c>
      <x:c r="C719" s="21" t="n">
        <x:f>MOD(A719-1,50)+1</x:f>
        <x:v>15</x:v>
      </x:c>
      <x:c r="D719" s="29" t="str">
        <x:v>καταλύω</x:v>
      </x:c>
      <x:c r="E719" s="29" t="str">
        <x:v>καταλύω</x:v>
      </x:c>
      <x:c r="F719" s="27" t="str">
        <x:v>kataluō</x:v>
      </x:c>
      <x:c r="G719" s="20" t="str">
        <x:v>to loosen down (disintegrate), i.e. (by implication) to demolish (literally or figuratively); specially (compare G2646 (κατάλυμα)) to halt for the night</x:v>
      </x:c>
      <x:c r="H719" s="20" t="str"/>
      <x:c r="I719" s="21"/>
      <x:c r="J719" s="21" t="str">
        <x:v>Mounce 頻率延伸</x:v>
      </x:c>
      <x:c r="K719" s="21" t="str">
        <x:v>G2647</x:v>
      </x:c>
      <x:c r="L719" s="21" t="str">
        <x:v>否</x:v>
      </x:c>
      <x:c r="M719" s="21" t="str"/>
      <x:c r="N719" s="21" t="str">
        <x:v>source_and_lexicon_matched</x:v>
      </x:c>
      <x:c r="O719" s="21" t="str">
        <x:v>rule_generated_from_official_table</x:v>
      </x:c>
      <x:c r="P719" s="21" t="n">
        <x:v>12</x:v>
      </x:c>
      <x:c r="Q719" s="21" t="str">
        <x:v>https://doxa.billmounce.com/Flashcards%20%28BBG%29.pdf</x:v>
      </x:c>
      <x:c r="R719" s="16" t="str"/>
    </x:row>
    <x:row r="720" ht="28" customHeight="1">
      <x:c r="A720" s="21" t="n">
        <x:v>716</x:v>
      </x:c>
      <x:c r="B720" s="21" t="n">
        <x:f>ROUNDUP(A720/50,0)</x:f>
        <x:v>15</x:v>
      </x:c>
      <x:c r="C720" s="21" t="n">
        <x:f>MOD(A720-1,50)+1</x:f>
        <x:v>16</x:v>
      </x:c>
      <x:c r="D720" s="29" t="str">
        <x:v>κατέχω</x:v>
      </x:c>
      <x:c r="E720" s="29" t="str">
        <x:v>κατέχω</x:v>
      </x:c>
      <x:c r="F720" s="27" t="str">
        <x:v>katechō</x:v>
      </x:c>
      <x:c r="G720" s="20" t="str">
        <x:v>to hold down (fast), in various applications (literally or figuratively)</x:v>
      </x:c>
      <x:c r="H720" s="20" t="str"/>
      <x:c r="I720" s="21"/>
      <x:c r="J720" s="21" t="str">
        <x:v>Mounce 頻率延伸</x:v>
      </x:c>
      <x:c r="K720" s="21" t="str">
        <x:v>G2722</x:v>
      </x:c>
      <x:c r="L720" s="21" t="str">
        <x:v>否</x:v>
      </x:c>
      <x:c r="M720" s="21" t="str"/>
      <x:c r="N720" s="21" t="str">
        <x:v>source_and_lexicon_matched</x:v>
      </x:c>
      <x:c r="O720" s="21" t="str">
        <x:v>rule_generated_from_official_table</x:v>
      </x:c>
      <x:c r="P720" s="21" t="n">
        <x:v>12</x:v>
      </x:c>
      <x:c r="Q720" s="21" t="str">
        <x:v>https://doxa.billmounce.com/Flashcards%20%28BBG%29.pdf</x:v>
      </x:c>
      <x:c r="R720" s="16" t="str"/>
    </x:row>
    <x:row r="721" ht="28" customHeight="1">
      <x:c r="A721" s="21" t="n">
        <x:v>717</x:v>
      </x:c>
      <x:c r="B721" s="21" t="n">
        <x:f>ROUNDUP(A721/50,0)</x:f>
        <x:v>15</x:v>
      </x:c>
      <x:c r="C721" s="21" t="n">
        <x:f>MOD(A721-1,50)+1</x:f>
        <x:v>17</x:v>
      </x:c>
      <x:c r="D721" s="29" t="str">
        <x:v>κερδαίνω</x:v>
      </x:c>
      <x:c r="E721" s="29" t="str">
        <x:v>κερδαίνω</x:v>
      </x:c>
      <x:c r="F721" s="27" t="str">
        <x:v>kerdainō</x:v>
      </x:c>
      <x:c r="G721" s="20" t="str">
        <x:v>to gain (literally or figuratively)</x:v>
      </x:c>
      <x:c r="H721" s="20" t="str"/>
      <x:c r="I721" s="21"/>
      <x:c r="J721" s="21" t="str">
        <x:v>Mounce 頻率延伸</x:v>
      </x:c>
      <x:c r="K721" s="21" t="str">
        <x:v>G2770</x:v>
      </x:c>
      <x:c r="L721" s="21" t="str">
        <x:v>否</x:v>
      </x:c>
      <x:c r="M721" s="21" t="str"/>
      <x:c r="N721" s="21" t="str">
        <x:v>source_and_lexicon_matched</x:v>
      </x:c>
      <x:c r="O721" s="21" t="str">
        <x:v>rule_generated_from_official_table</x:v>
      </x:c>
      <x:c r="P721" s="21" t="n">
        <x:v>12</x:v>
      </x:c>
      <x:c r="Q721" s="21" t="str">
        <x:v>https://doxa.billmounce.com/Flashcards%20%28BBG%29.pdf</x:v>
      </x:c>
      <x:c r="R721" s="16" t="str"/>
    </x:row>
    <x:row r="722" ht="28" customHeight="1">
      <x:c r="A722" s="21" t="n">
        <x:v>718</x:v>
      </x:c>
      <x:c r="B722" s="21" t="n">
        <x:f>ROUNDUP(A722/50,0)</x:f>
        <x:v>15</x:v>
      </x:c>
      <x:c r="C722" s="21" t="n">
        <x:f>MOD(A722-1,50)+1</x:f>
        <x:v>18</x:v>
      </x:c>
      <x:c r="D722" s="29" t="str">
        <x:v>κρυπτός, -ή, -όν</x:v>
      </x:c>
      <x:c r="E722" s="29" t="str">
        <x:v>κρυπτός</x:v>
      </x:c>
      <x:c r="F722" s="27" t="str">
        <x:v>kruptos</x:v>
      </x:c>
      <x:c r="G722" s="20" t="str">
        <x:v>concealed, i.e. private</x:v>
      </x:c>
      <x:c r="H722" s="20" t="str"/>
      <x:c r="I722" s="21"/>
      <x:c r="J722" s="21" t="str">
        <x:v>Mounce 頻率延伸</x:v>
      </x:c>
      <x:c r="K722" s="21" t="str">
        <x:v>G2927</x:v>
      </x:c>
      <x:c r="L722" s="21" t="str">
        <x:v>否</x:v>
      </x:c>
      <x:c r="M722" s="21" t="str"/>
      <x:c r="N722" s="21" t="str">
        <x:v>source_and_lexicon_matched</x:v>
      </x:c>
      <x:c r="O722" s="21" t="str">
        <x:v>rule_generated_from_official_table</x:v>
      </x:c>
      <x:c r="P722" s="21" t="n">
        <x:v>12</x:v>
      </x:c>
      <x:c r="Q722" s="21" t="str">
        <x:v>https://doxa.billmounce.com/Flashcards%20%28BBG%29.pdf</x:v>
      </x:c>
      <x:c r="R722" s="16" t="str"/>
    </x:row>
    <x:row r="723" ht="28" customHeight="1">
      <x:c r="A723" s="21" t="n">
        <x:v>719</x:v>
      </x:c>
      <x:c r="B723" s="21" t="n">
        <x:f>ROUNDUP(A723/50,0)</x:f>
        <x:v>15</x:v>
      </x:c>
      <x:c r="C723" s="21" t="n">
        <x:f>MOD(A723-1,50)+1</x:f>
        <x:v>19</x:v>
      </x:c>
      <x:c r="D723" s="29" t="str">
        <x:v>μέχρι or μέχρις</x:v>
      </x:c>
      <x:c r="E723" s="29" t="str">
        <x:v>μέχρι or μέχρις</x:v>
      </x:c>
      <x:c r="F723" s="27" t="str">
        <x:v>mechrimechris</x:v>
      </x:c>
      <x:c r="G723" s="20" t="str"/>
      <x:c r="H723" s="20" t="str"/>
      <x:c r="I723" s="21"/>
      <x:c r="J723" s="21" t="str">
        <x:v>Mounce 頻率延伸</x:v>
      </x:c>
      <x:c r="K723" s="21" t="str"/>
      <x:c r="L723" s="21" t="str">
        <x:v>否</x:v>
      </x:c>
      <x:c r="M723" s="21" t="str"/>
      <x:c r="N723" s="21" t="str">
        <x:v>source_verified_lexicon_pending</x:v>
      </x:c>
      <x:c r="O723" s="21" t="str">
        <x:v>rule_generated_from_official_table</x:v>
      </x:c>
      <x:c r="P723" s="21" t="n">
        <x:v>12</x:v>
      </x:c>
      <x:c r="Q723" s="21" t="str">
        <x:v>https://doxa.billmounce.com/Flashcards%20%28BBG%29.pdf</x:v>
      </x:c>
      <x:c r="R723" s="16" t="str"/>
    </x:row>
    <x:row r="724" ht="28" customHeight="1">
      <x:c r="A724" s="21" t="n">
        <x:v>720</x:v>
      </x:c>
      <x:c r="B724" s="21" t="n">
        <x:f>ROUNDUP(A724/50,0)</x:f>
        <x:v>15</x:v>
      </x:c>
      <x:c r="C724" s="21" t="n">
        <x:f>MOD(A724-1,50)+1</x:f>
        <x:v>20</x:v>
      </x:c>
      <x:c r="D724" s="29" t="str">
        <x:v>νίπτω</x:v>
      </x:c>
      <x:c r="E724" s="29" t="str">
        <x:v>νίπτω</x:v>
      </x:c>
      <x:c r="F724" s="27" t="str">
        <x:v>niptō</x:v>
      </x:c>
      <x:c r="G724" s="20" t="str">
        <x:v>to cleanse (especially the hands or the feet or the face); ceremonially, to perform ablution</x:v>
      </x:c>
      <x:c r="H724" s="20" t="str"/>
      <x:c r="I724" s="21"/>
      <x:c r="J724" s="21" t="str">
        <x:v>Mounce 頻率延伸</x:v>
      </x:c>
      <x:c r="K724" s="21" t="str">
        <x:v>G3538</x:v>
      </x:c>
      <x:c r="L724" s="21" t="str">
        <x:v>否</x:v>
      </x:c>
      <x:c r="M724" s="21" t="str"/>
      <x:c r="N724" s="21" t="str">
        <x:v>source_and_lexicon_matched</x:v>
      </x:c>
      <x:c r="O724" s="21" t="str">
        <x:v>rule_generated_from_official_table</x:v>
      </x:c>
      <x:c r="P724" s="21" t="n">
        <x:v>12</x:v>
      </x:c>
      <x:c r="Q724" s="21" t="str">
        <x:v>https://doxa.billmounce.com/Flashcards%20%28BBG%29.pdf</x:v>
      </x:c>
      <x:c r="R724" s="16" t="str"/>
    </x:row>
    <x:row r="725" ht="28" customHeight="1">
      <x:c r="A725" s="21" t="n">
        <x:v>721</x:v>
      </x:c>
      <x:c r="B725" s="21" t="n">
        <x:f>ROUNDUP(A725/50,0)</x:f>
        <x:v>15</x:v>
      </x:c>
      <x:c r="C725" s="21" t="n">
        <x:f>MOD(A725-1,50)+1</x:f>
        <x:v>21</x:v>
      </x:c>
      <x:c r="D725" s="29" t="str">
        <x:v>περιτέμνω</x:v>
      </x:c>
      <x:c r="E725" s="29" t="str">
        <x:v>περιτέμνω</x:v>
      </x:c>
      <x:c r="F725" s="27" t="str">
        <x:v>peritemnō</x:v>
      </x:c>
      <x:c r="G725" s="20" t="str">
        <x:v>to cut around, i.e. (specially) to circumcise</x:v>
      </x:c>
      <x:c r="H725" s="20" t="str"/>
      <x:c r="I725" s="21"/>
      <x:c r="J725" s="21" t="str">
        <x:v>Mounce 頻率延伸</x:v>
      </x:c>
      <x:c r="K725" s="21" t="str">
        <x:v>G4059</x:v>
      </x:c>
      <x:c r="L725" s="21" t="str">
        <x:v>否</x:v>
      </x:c>
      <x:c r="M725" s="21" t="str"/>
      <x:c r="N725" s="21" t="str">
        <x:v>source_and_lexicon_matched</x:v>
      </x:c>
      <x:c r="O725" s="21" t="str">
        <x:v>rule_generated_from_official_table</x:v>
      </x:c>
      <x:c r="P725" s="21" t="n">
        <x:v>13</x:v>
      </x:c>
      <x:c r="Q725" s="21" t="str">
        <x:v>https://doxa.billmounce.com/Flashcards%20%28BBG%29.pdf</x:v>
      </x:c>
      <x:c r="R725" s="16" t="str"/>
    </x:row>
    <x:row r="726" ht="28" customHeight="1">
      <x:c r="A726" s="21" t="n">
        <x:v>722</x:v>
      </x:c>
      <x:c r="B726" s="21" t="n">
        <x:f>ROUNDUP(A726/50,0)</x:f>
        <x:v>15</x:v>
      </x:c>
      <x:c r="C726" s="21" t="n">
        <x:f>MOD(A726-1,50)+1</x:f>
        <x:v>22</x:v>
      </x:c>
      <x:c r="D726" s="29" t="str">
        <x:v>πλήρης, -ες</x:v>
      </x:c>
      <x:c r="E726" s="29" t="str">
        <x:v>πλήρης</x:v>
      </x:c>
      <x:c r="F726" s="27" t="str">
        <x:v>plērēs</x:v>
      </x:c>
      <x:c r="G726" s="20" t="str">
        <x:v>replete, or covered over; by analogy, complete</x:v>
      </x:c>
      <x:c r="H726" s="20" t="str"/>
      <x:c r="I726" s="21"/>
      <x:c r="J726" s="21" t="str">
        <x:v>Mounce 頻率延伸</x:v>
      </x:c>
      <x:c r="K726" s="21" t="str">
        <x:v>G4134</x:v>
      </x:c>
      <x:c r="L726" s="21" t="str">
        <x:v>否</x:v>
      </x:c>
      <x:c r="M726" s="21" t="str"/>
      <x:c r="N726" s="21" t="str">
        <x:v>source_and_lexicon_matched</x:v>
      </x:c>
      <x:c r="O726" s="21" t="str">
        <x:v>rule_generated_from_official_table</x:v>
      </x:c>
      <x:c r="P726" s="21" t="n">
        <x:v>13</x:v>
      </x:c>
      <x:c r="Q726" s="21" t="str">
        <x:v>https://doxa.billmounce.com/Flashcards%20%28BBG%29.pdf</x:v>
      </x:c>
      <x:c r="R726" s="16" t="str"/>
    </x:row>
    <x:row r="727" ht="28" customHeight="1">
      <x:c r="A727" s="21" t="n">
        <x:v>723</x:v>
      </x:c>
      <x:c r="B727" s="21" t="n">
        <x:f>ROUNDUP(A727/50,0)</x:f>
        <x:v>15</x:v>
      </x:c>
      <x:c r="C727" s="21" t="n">
        <x:f>MOD(A727-1,50)+1</x:f>
        <x:v>23</x:v>
      </x:c>
      <x:c r="D727" s="29" t="str">
        <x:v>πλήρωμα, -ατος, τό</x:v>
      </x:c>
      <x:c r="E727" s="29" t="str">
        <x:v>πλήρωμα</x:v>
      </x:c>
      <x:c r="F727" s="27" t="str">
        <x:v>plērōma</x:v>
      </x:c>
      <x:c r="G727" s="20" t="str">
        <x:v>repletion or completion, i.e. (subjectively) what fills (as contents, supplement, copiousness, multitude), or (objectively) what is filled (as container, performance, period)</x:v>
      </x:c>
      <x:c r="H727" s="20" t="str"/>
      <x:c r="I727" s="21"/>
      <x:c r="J727" s="21" t="str">
        <x:v>Mounce 頻率延伸</x:v>
      </x:c>
      <x:c r="K727" s="21" t="str">
        <x:v>G4138</x:v>
      </x:c>
      <x:c r="L727" s="21" t="str">
        <x:v>否</x:v>
      </x:c>
      <x:c r="M727" s="21" t="str"/>
      <x:c r="N727" s="21" t="str">
        <x:v>source_and_lexicon_matched</x:v>
      </x:c>
      <x:c r="O727" s="21" t="str">
        <x:v>rule_generated_from_official_table</x:v>
      </x:c>
      <x:c r="P727" s="21" t="n">
        <x:v>13</x:v>
      </x:c>
      <x:c r="Q727" s="21" t="str">
        <x:v>https://doxa.billmounce.com/Flashcards%20%28BBG%29.pdf</x:v>
      </x:c>
      <x:c r="R727" s="16" t="str"/>
    </x:row>
    <x:row r="728" ht="28" customHeight="1">
      <x:c r="A728" s="21" t="n">
        <x:v>724</x:v>
      </x:c>
      <x:c r="B728" s="21" t="n">
        <x:f>ROUNDUP(A728/50,0)</x:f>
        <x:v>15</x:v>
      </x:c>
      <x:c r="C728" s="21" t="n">
        <x:f>MOD(A728-1,50)+1</x:f>
        <x:v>24</x:v>
      </x:c>
      <x:c r="D728" s="29" t="str">
        <x:v>πλησίον</x:v>
      </x:c>
      <x:c r="E728" s="29" t="str">
        <x:v>πλησίον</x:v>
      </x:c>
      <x:c r="F728" s="27" t="str">
        <x:v>plēsion</x:v>
      </x:c>
      <x:c r="G728" s="20" t="str">
        <x:v>(adverbially) close by; as noun, a neighbor, i.e. fellow (as man, countryman, Christian or friend)</x:v>
      </x:c>
      <x:c r="H728" s="20" t="str"/>
      <x:c r="I728" s="21"/>
      <x:c r="J728" s="21" t="str">
        <x:v>Mounce 頻率延伸</x:v>
      </x:c>
      <x:c r="K728" s="21" t="str">
        <x:v>G4139</x:v>
      </x:c>
      <x:c r="L728" s="21" t="str">
        <x:v>否</x:v>
      </x:c>
      <x:c r="M728" s="21" t="str"/>
      <x:c r="N728" s="21" t="str">
        <x:v>source_and_lexicon_matched</x:v>
      </x:c>
      <x:c r="O728" s="21" t="str">
        <x:v>rule_generated_from_official_table</x:v>
      </x:c>
      <x:c r="P728" s="21" t="n">
        <x:v>13</x:v>
      </x:c>
      <x:c r="Q728" s="21" t="str">
        <x:v>https://doxa.billmounce.com/Flashcards%20%28BBG%29.pdf</x:v>
      </x:c>
      <x:c r="R728" s="16" t="str"/>
    </x:row>
    <x:row r="729" ht="28" customHeight="1">
      <x:c r="A729" s="21" t="n">
        <x:v>725</x:v>
      </x:c>
      <x:c r="B729" s="21" t="n">
        <x:f>ROUNDUP(A729/50,0)</x:f>
        <x:v>15</x:v>
      </x:c>
      <x:c r="C729" s="21" t="n">
        <x:f>MOD(A729-1,50)+1</x:f>
        <x:v>25</x:v>
      </x:c>
      <x:c r="D729" s="29" t="str">
        <x:v>ποταμός, -οῦ, ὁ</x:v>
      </x:c>
      <x:c r="E729" s="29" t="str">
        <x:v>ποταμός</x:v>
      </x:c>
      <x:c r="F729" s="27" t="str">
        <x:v>potamos</x:v>
      </x:c>
      <x:c r="G729" s="20" t="str">
        <x:v>a current, brook or freshet (as drinkable), i.e. running water</x:v>
      </x:c>
      <x:c r="H729" s="20" t="str"/>
      <x:c r="I729" s="21"/>
      <x:c r="J729" s="21" t="str">
        <x:v>Mounce 頻率延伸</x:v>
      </x:c>
      <x:c r="K729" s="21" t="str">
        <x:v>G4215</x:v>
      </x:c>
      <x:c r="L729" s="21" t="str">
        <x:v>否</x:v>
      </x:c>
      <x:c r="M729" s="21" t="str"/>
      <x:c r="N729" s="21" t="str">
        <x:v>source_and_lexicon_matched</x:v>
      </x:c>
      <x:c r="O729" s="21" t="str">
        <x:v>rule_generated_from_official_table</x:v>
      </x:c>
      <x:c r="P729" s="21" t="n">
        <x:v>13</x:v>
      </x:c>
      <x:c r="Q729" s="21" t="str">
        <x:v>https://doxa.billmounce.com/Flashcards%20%28BBG%29.pdf</x:v>
      </x:c>
      <x:c r="R729" s="16" t="str"/>
    </x:row>
    <x:row r="730" ht="28" customHeight="1">
      <x:c r="A730" s="21" t="n">
        <x:v>726</x:v>
      </x:c>
      <x:c r="B730" s="21" t="n">
        <x:f>ROUNDUP(A730/50,0)</x:f>
        <x:v>15</x:v>
      </x:c>
      <x:c r="C730" s="21" t="n">
        <x:f>MOD(A730-1,50)+1</x:f>
        <x:v>26</x:v>
      </x:c>
      <x:c r="D730" s="29" t="str">
        <x:v>ῥίζα, -ης, ἡ</x:v>
      </x:c>
      <x:c r="E730" s="29" t="str">
        <x:v>ῥίζα</x:v>
      </x:c>
      <x:c r="F730" s="27" t="str">
        <x:v>rhiza</x:v>
      </x:c>
      <x:c r="G730" s="20" t="str">
        <x:v>a "root" (literally or figuratively)</x:v>
      </x:c>
      <x:c r="H730" s="20" t="str"/>
      <x:c r="I730" s="21"/>
      <x:c r="J730" s="21" t="str">
        <x:v>Mounce 頻率延伸</x:v>
      </x:c>
      <x:c r="K730" s="21" t="str">
        <x:v>G4491</x:v>
      </x:c>
      <x:c r="L730" s="21" t="str">
        <x:v>否</x:v>
      </x:c>
      <x:c r="M730" s="21" t="str"/>
      <x:c r="N730" s="21" t="str">
        <x:v>source_and_lexicon_matched</x:v>
      </x:c>
      <x:c r="O730" s="21" t="str">
        <x:v>rule_generated_from_official_table</x:v>
      </x:c>
      <x:c r="P730" s="21" t="n">
        <x:v>13</x:v>
      </x:c>
      <x:c r="Q730" s="21" t="str">
        <x:v>https://doxa.billmounce.com/Flashcards%20%28BBG%29.pdf</x:v>
      </x:c>
      <x:c r="R730" s="16" t="str"/>
    </x:row>
    <x:row r="731" ht="28" customHeight="1">
      <x:c r="A731" s="21" t="n">
        <x:v>727</x:v>
      </x:c>
      <x:c r="B731" s="21" t="n">
        <x:f>ROUNDUP(A731/50,0)</x:f>
        <x:v>15</x:v>
      </x:c>
      <x:c r="C731" s="21" t="n">
        <x:f>MOD(A731-1,50)+1</x:f>
        <x:v>27</x:v>
      </x:c>
      <x:c r="D731" s="29" t="str">
        <x:v>ῥύομαι</x:v>
      </x:c>
      <x:c r="E731" s="29" t="str">
        <x:v>ῥύομαι</x:v>
      </x:c>
      <x:c r="F731" s="27" t="str">
        <x:v>rhuomai</x:v>
      </x:c>
      <x:c r="G731" s="20" t="str">
        <x:v>compare G4511 (ῥύσις)); to rush or draw (for oneself), i.e. rescue</x:v>
      </x:c>
      <x:c r="H731" s="20" t="str"/>
      <x:c r="I731" s="21"/>
      <x:c r="J731" s="21" t="str">
        <x:v>Mounce 頻率延伸</x:v>
      </x:c>
      <x:c r="K731" s="21" t="str">
        <x:v>G4506</x:v>
      </x:c>
      <x:c r="L731" s="21" t="str">
        <x:v>否</x:v>
      </x:c>
      <x:c r="M731" s="21" t="str"/>
      <x:c r="N731" s="21" t="str">
        <x:v>source_and_lexicon_matched</x:v>
      </x:c>
      <x:c r="O731" s="21" t="str">
        <x:v>rule_generated_from_official_table</x:v>
      </x:c>
      <x:c r="P731" s="21" t="n">
        <x:v>13</x:v>
      </x:c>
      <x:c r="Q731" s="21" t="str">
        <x:v>https://doxa.billmounce.com/Flashcards%20%28BBG%29.pdf</x:v>
      </x:c>
      <x:c r="R731" s="16" t="str"/>
    </x:row>
    <x:row r="732" ht="28" customHeight="1">
      <x:c r="A732" s="21" t="n">
        <x:v>728</x:v>
      </x:c>
      <x:c r="B732" s="21" t="n">
        <x:f>ROUNDUP(A732/50,0)</x:f>
        <x:v>15</x:v>
      </x:c>
      <x:c r="C732" s="21" t="n">
        <x:f>MOD(A732-1,50)+1</x:f>
        <x:v>28</x:v>
      </x:c>
      <x:c r="D732" s="29" t="str">
        <x:v>ταράσσω</x:v>
      </x:c>
      <x:c r="E732" s="29" t="str">
        <x:v>ταράσσω</x:v>
      </x:c>
      <x:c r="F732" s="27" t="str">
        <x:v>tarassō</x:v>
      </x:c>
      <x:c r="G732" s="20" t="str">
        <x:v>to stir or agitate (roil water)</x:v>
      </x:c>
      <x:c r="H732" s="20" t="str"/>
      <x:c r="I732" s="21"/>
      <x:c r="J732" s="21" t="str">
        <x:v>Mounce 頻率延伸</x:v>
      </x:c>
      <x:c r="K732" s="21" t="str">
        <x:v>G5015</x:v>
      </x:c>
      <x:c r="L732" s="21" t="str">
        <x:v>否</x:v>
      </x:c>
      <x:c r="M732" s="21" t="str"/>
      <x:c r="N732" s="21" t="str">
        <x:v>source_and_lexicon_matched</x:v>
      </x:c>
      <x:c r="O732" s="21" t="str">
        <x:v>rule_generated_from_official_table</x:v>
      </x:c>
      <x:c r="P732" s="21" t="n">
        <x:v>13</x:v>
      </x:c>
      <x:c r="Q732" s="21" t="str">
        <x:v>https://doxa.billmounce.com/Flashcards%20%28BBG%29.pdf</x:v>
      </x:c>
      <x:c r="R732" s="16" t="str"/>
    </x:row>
    <x:row r="733" ht="28" customHeight="1">
      <x:c r="A733" s="21" t="n">
        <x:v>729</x:v>
      </x:c>
      <x:c r="B733" s="21" t="n">
        <x:f>ROUNDUP(A733/50,0)</x:f>
        <x:v>15</x:v>
      </x:c>
      <x:c r="C733" s="21" t="n">
        <x:f>MOD(A733-1,50)+1</x:f>
        <x:v>29</x:v>
      </x:c>
      <x:c r="D733" s="29" t="str">
        <x:v>ὑποκριτής, -οῦ, ὁ</x:v>
      </x:c>
      <x:c r="E733" s="29" t="str">
        <x:v>ὑποκριτής</x:v>
      </x:c>
      <x:c r="F733" s="27" t="str">
        <x:v>hupokritēs</x:v>
      </x:c>
      <x:c r="G733" s="20" t="str">
        <x:v>an actor under an assumed character (stage-player), i.e. (figuratively) a dissembler ("hypocrite"</x:v>
      </x:c>
      <x:c r="H733" s="20" t="str"/>
      <x:c r="I733" s="21"/>
      <x:c r="J733" s="21" t="str">
        <x:v>Mounce 頻率延伸</x:v>
      </x:c>
      <x:c r="K733" s="21" t="str">
        <x:v>G5273</x:v>
      </x:c>
      <x:c r="L733" s="21" t="str">
        <x:v>否</x:v>
      </x:c>
      <x:c r="M733" s="21" t="str"/>
      <x:c r="N733" s="21" t="str">
        <x:v>source_and_lexicon_matched</x:v>
      </x:c>
      <x:c r="O733" s="21" t="str">
        <x:v>rule_generated_from_official_table</x:v>
      </x:c>
      <x:c r="P733" s="21" t="n">
        <x:v>13</x:v>
      </x:c>
      <x:c r="Q733" s="21" t="str">
        <x:v>https://doxa.billmounce.com/Flashcards%20%28BBG%29.pdf</x:v>
      </x:c>
      <x:c r="R733" s="16" t="str"/>
    </x:row>
    <x:row r="734" ht="28" customHeight="1">
      <x:c r="A734" s="21" t="n">
        <x:v>730</x:v>
      </x:c>
      <x:c r="B734" s="21" t="n">
        <x:f>ROUNDUP(A734/50,0)</x:f>
        <x:v>15</x:v>
      </x:c>
      <x:c r="C734" s="21" t="n">
        <x:f>MOD(A734-1,50)+1</x:f>
        <x:v>30</x:v>
      </x:c>
      <x:c r="D734" s="29" t="str">
        <x:v>ὑπομένω</x:v>
      </x:c>
      <x:c r="E734" s="29" t="str">
        <x:v>ὑπομένω</x:v>
      </x:c>
      <x:c r="F734" s="27" t="str">
        <x:v>hupomenō</x:v>
      </x:c>
      <x:c r="G734" s="20" t="str">
        <x:v>to stay under (behind), i.e. remain; figuratively, to undergo, i.e. bear (trials), have fortitude, persevere</x:v>
      </x:c>
      <x:c r="H734" s="20" t="str"/>
      <x:c r="I734" s="21"/>
      <x:c r="J734" s="21" t="str">
        <x:v>Mounce 頻率延伸</x:v>
      </x:c>
      <x:c r="K734" s="21" t="str">
        <x:v>G5278</x:v>
      </x:c>
      <x:c r="L734" s="21" t="str">
        <x:v>否</x:v>
      </x:c>
      <x:c r="M734" s="21" t="str"/>
      <x:c r="N734" s="21" t="str">
        <x:v>source_and_lexicon_matched</x:v>
      </x:c>
      <x:c r="O734" s="21" t="str">
        <x:v>rule_generated_from_official_table</x:v>
      </x:c>
      <x:c r="P734" s="21" t="n">
        <x:v>13</x:v>
      </x:c>
      <x:c r="Q734" s="21" t="str">
        <x:v>https://doxa.billmounce.com/Flashcards%20%28BBG%29.pdf</x:v>
      </x:c>
      <x:c r="R734" s="16" t="str"/>
    </x:row>
    <x:row r="735" ht="28" customHeight="1">
      <x:c r="A735" s="21" t="n">
        <x:v>731</x:v>
      </x:c>
      <x:c r="B735" s="21" t="n">
        <x:f>ROUNDUP(A735/50,0)</x:f>
        <x:v>15</x:v>
      </x:c>
      <x:c r="C735" s="21" t="n">
        <x:f>MOD(A735-1,50)+1</x:f>
        <x:v>31</x:v>
      </x:c>
      <x:c r="D735" s="29" t="str">
        <x:v>χάρισμα, -ατος, τό</x:v>
      </x:c>
      <x:c r="E735" s="29" t="str">
        <x:v>χάρισμα</x:v>
      </x:c>
      <x:c r="F735" s="27" t="str">
        <x:v>charisma</x:v>
      </x:c>
      <x:c r="G735" s="20" t="str">
        <x:v>a (divine) gratuity, i.e. deliverance (from danger or passion); (specially), a (spiritual) endowment, i.e. (subjectively) religious qualification, or (objectively) miraculous faculty</x:v>
      </x:c>
      <x:c r="H735" s="20" t="str"/>
      <x:c r="I735" s="21"/>
      <x:c r="J735" s="21" t="str">
        <x:v>Mounce 頻率延伸</x:v>
      </x:c>
      <x:c r="K735" s="21" t="str">
        <x:v>G5486</x:v>
      </x:c>
      <x:c r="L735" s="21" t="str">
        <x:v>否</x:v>
      </x:c>
      <x:c r="M735" s="21" t="str"/>
      <x:c r="N735" s="21" t="str">
        <x:v>source_and_lexicon_matched</x:v>
      </x:c>
      <x:c r="O735" s="21" t="str">
        <x:v>rule_generated_from_official_table</x:v>
      </x:c>
      <x:c r="P735" s="21" t="n">
        <x:v>13</x:v>
      </x:c>
      <x:c r="Q735" s="21" t="str">
        <x:v>https://doxa.billmounce.com/Flashcards%20%28BBG%29.pdf</x:v>
      </x:c>
      <x:c r="R735" s="16" t="str"/>
    </x:row>
    <x:row r="736" ht="28" customHeight="1">
      <x:c r="A736" s="21" t="n">
        <x:v>732</x:v>
      </x:c>
      <x:c r="B736" s="21" t="n">
        <x:f>ROUNDUP(A736/50,0)</x:f>
        <x:v>15</x:v>
      </x:c>
      <x:c r="C736" s="21" t="n">
        <x:f>MOD(A736-1,50)+1</x:f>
        <x:v>32</x:v>
      </x:c>
      <x:c r="D736" s="29" t="str">
        <x:v>ὦ</x:v>
      </x:c>
      <x:c r="E736" s="29" t="str">
        <x:v>ὦ</x:v>
      </x:c>
      <x:c r="F736" s="27" t="str">
        <x:v>ō</x:v>
      </x:c>
      <x:c r="G736" s="20" t="str">
        <x:v>as a sign of the vocative case, O; as a note of exclamation, oh</x:v>
      </x:c>
      <x:c r="H736" s="20" t="str"/>
      <x:c r="I736" s="21"/>
      <x:c r="J736" s="21" t="str">
        <x:v>Mounce 頻率延伸</x:v>
      </x:c>
      <x:c r="K736" s="21" t="str">
        <x:v>G5599</x:v>
      </x:c>
      <x:c r="L736" s="21" t="str">
        <x:v>否</x:v>
      </x:c>
      <x:c r="M736" s="21" t="str"/>
      <x:c r="N736" s="21" t="str">
        <x:v>source_and_lexicon_matched</x:v>
      </x:c>
      <x:c r="O736" s="21" t="str">
        <x:v>rule_generated_from_official_table</x:v>
      </x:c>
      <x:c r="P736" s="21" t="n">
        <x:v>13</x:v>
      </x:c>
      <x:c r="Q736" s="21" t="str">
        <x:v>https://doxa.billmounce.com/Flashcards%20%28BBG%29.pdf</x:v>
      </x:c>
      <x:c r="R736" s="16" t="str"/>
    </x:row>
    <x:row r="737" ht="28" customHeight="1">
      <x:c r="A737" s="21" t="n">
        <x:v>733</x:v>
      </x:c>
      <x:c r="B737" s="21" t="n">
        <x:f>ROUNDUP(A737/50,0)</x:f>
        <x:v>15</x:v>
      </x:c>
      <x:c r="C737" s="21" t="n">
        <x:f>MOD(A737-1,50)+1</x:f>
        <x:v>33</x:v>
      </x:c>
      <x:c r="D737" s="29" t="str">
        <x:v>ὡσαύτως</x:v>
      </x:c>
      <x:c r="E737" s="29" t="str">
        <x:v>ὡσαύτως</x:v>
      </x:c>
      <x:c r="F737" s="27" t="str">
        <x:v>hōsautōs</x:v>
      </x:c>
      <x:c r="G737" s="20" t="str">
        <x:v>as thus, i.e. in the same way</x:v>
      </x:c>
      <x:c r="H737" s="20" t="str"/>
      <x:c r="I737" s="21"/>
      <x:c r="J737" s="21" t="str">
        <x:v>Mounce 頻率延伸</x:v>
      </x:c>
      <x:c r="K737" s="21" t="str">
        <x:v>G5615</x:v>
      </x:c>
      <x:c r="L737" s="21" t="str">
        <x:v>否</x:v>
      </x:c>
      <x:c r="M737" s="21" t="str"/>
      <x:c r="N737" s="21" t="str">
        <x:v>source_and_lexicon_matched</x:v>
      </x:c>
      <x:c r="O737" s="21" t="str">
        <x:v>rule_generated_from_official_table</x:v>
      </x:c>
      <x:c r="P737" s="21" t="n">
        <x:v>13</x:v>
      </x:c>
      <x:c r="Q737" s="21" t="str">
        <x:v>https://doxa.billmounce.com/Flashcards%20%28BBG%29.pdf</x:v>
      </x:c>
      <x:c r="R737" s="16" t="str"/>
    </x:row>
    <x:row r="738" ht="28" customHeight="1">
      <x:c r="A738" s="21" t="n">
        <x:v>734</x:v>
      </x:c>
      <x:c r="B738" s="21" t="n">
        <x:f>ROUNDUP(A738/50,0)</x:f>
        <x:v>15</x:v>
      </x:c>
      <x:c r="C738" s="21" t="n">
        <x:f>MOD(A738-1,50)+1</x:f>
        <x:v>34</x:v>
      </x:c>
      <x:c r="D738" s="29" t="str">
        <x:v>ἀθετέω</x:v>
      </x:c>
      <x:c r="E738" s="29" t="str">
        <x:v>ἀθετέω</x:v>
      </x:c>
      <x:c r="F738" s="27" t="str">
        <x:v>atheteō</x:v>
      </x:c>
      <x:c r="G738" s="20" t="str">
        <x:v>to set aside, i.e. (by implication) to disesteem, neutralize or violate</x:v>
      </x:c>
      <x:c r="H738" s="20" t="str"/>
      <x:c r="I738" s="21"/>
      <x:c r="J738" s="21" t="str">
        <x:v>Mounce 頻率延伸</x:v>
      </x:c>
      <x:c r="K738" s="21" t="str">
        <x:v>G114</x:v>
      </x:c>
      <x:c r="L738" s="21" t="str">
        <x:v>否</x:v>
      </x:c>
      <x:c r="M738" s="21" t="str"/>
      <x:c r="N738" s="21" t="str">
        <x:v>source_and_lexicon_matched</x:v>
      </x:c>
      <x:c r="O738" s="21" t="str">
        <x:v>rule_generated_from_official_table</x:v>
      </x:c>
      <x:c r="P738" s="21" t="n">
        <x:v>13</x:v>
      </x:c>
      <x:c r="Q738" s="21" t="str">
        <x:v>https://doxa.billmounce.com/Flashcards%20%28BBG%29.pdf</x:v>
      </x:c>
      <x:c r="R738" s="16" t="str"/>
    </x:row>
    <x:row r="739" ht="28" customHeight="1">
      <x:c r="A739" s="21" t="n">
        <x:v>735</x:v>
      </x:c>
      <x:c r="B739" s="21" t="n">
        <x:f>ROUNDUP(A739/50,0)</x:f>
        <x:v>15</x:v>
      </x:c>
      <x:c r="C739" s="21" t="n">
        <x:f>MOD(A739-1,50)+1</x:f>
        <x:v>35</x:v>
      </x:c>
      <x:c r="D739" s="29" t="str">
        <x:v>ἀνακρίνω</x:v>
      </x:c>
      <x:c r="E739" s="29" t="str">
        <x:v>ἀνακρίνω</x:v>
      </x:c>
      <x:c r="F739" s="27" t="str">
        <x:v>anakrinō</x:v>
      </x:c>
      <x:c r="G739" s="20" t="str">
        <x:v>properly, to scrutinize, i.e. (by implication) investigate, interrogate, determine</x:v>
      </x:c>
      <x:c r="H739" s="20" t="str"/>
      <x:c r="I739" s="21"/>
      <x:c r="J739" s="21" t="str">
        <x:v>Mounce 頻率延伸</x:v>
      </x:c>
      <x:c r="K739" s="21" t="str">
        <x:v>G350</x:v>
      </x:c>
      <x:c r="L739" s="21" t="str">
        <x:v>否</x:v>
      </x:c>
      <x:c r="M739" s="21" t="str"/>
      <x:c r="N739" s="21" t="str">
        <x:v>source_and_lexicon_matched</x:v>
      </x:c>
      <x:c r="O739" s="21" t="str">
        <x:v>rule_generated_from_official_table</x:v>
      </x:c>
      <x:c r="P739" s="21" t="n">
        <x:v>13</x:v>
      </x:c>
      <x:c r="Q739" s="21" t="str">
        <x:v>https://doxa.billmounce.com/Flashcards%20%28BBG%29.pdf</x:v>
      </x:c>
      <x:c r="R739" s="16" t="str"/>
    </x:row>
    <x:row r="740" ht="28" customHeight="1">
      <x:c r="A740" s="21" t="n">
        <x:v>736</x:v>
      </x:c>
      <x:c r="B740" s="21" t="n">
        <x:f>ROUNDUP(A740/50,0)</x:f>
        <x:v>15</x:v>
      </x:c>
      <x:c r="C740" s="21" t="n">
        <x:f>MOD(A740-1,50)+1</x:f>
        <x:v>36</x:v>
      </x:c>
      <x:c r="D740" s="29" t="str">
        <x:v>γάμος, -ου, ὁ</x:v>
      </x:c>
      <x:c r="E740" s="29" t="str">
        <x:v>γάμος</x:v>
      </x:c>
      <x:c r="F740" s="27" t="str">
        <x:v>gamos</x:v>
      </x:c>
      <x:c r="G740" s="20" t="str">
        <x:v>nuptials</x:v>
      </x:c>
      <x:c r="H740" s="20" t="str"/>
      <x:c r="I740" s="21"/>
      <x:c r="J740" s="21" t="str">
        <x:v>Mounce 頻率延伸</x:v>
      </x:c>
      <x:c r="K740" s="21" t="str">
        <x:v>G1062</x:v>
      </x:c>
      <x:c r="L740" s="21" t="str">
        <x:v>否</x:v>
      </x:c>
      <x:c r="M740" s="21" t="str"/>
      <x:c r="N740" s="21" t="str">
        <x:v>source_and_lexicon_matched</x:v>
      </x:c>
      <x:c r="O740" s="21" t="str">
        <x:v>rule_generated_from_official_table</x:v>
      </x:c>
      <x:c r="P740" s="21" t="n">
        <x:v>13</x:v>
      </x:c>
      <x:c r="Q740" s="21" t="str">
        <x:v>https://doxa.billmounce.com/Flashcards%20%28BBG%29.pdf</x:v>
      </x:c>
      <x:c r="R740" s="16" t="str"/>
    </x:row>
    <x:row r="741" ht="28" customHeight="1">
      <x:c r="A741" s="21" t="n">
        <x:v>737</x:v>
      </x:c>
      <x:c r="B741" s="21" t="n">
        <x:f>ROUNDUP(A741/50,0)</x:f>
        <x:v>15</x:v>
      </x:c>
      <x:c r="C741" s="21" t="n">
        <x:f>MOD(A741-1,50)+1</x:f>
        <x:v>37</x:v>
      </x:c>
      <x:c r="D741" s="29" t="str">
        <x:v>δεῖπνον, -ου, τό</x:v>
      </x:c>
      <x:c r="E741" s="29" t="str">
        <x:v>δεῖπνον</x:v>
      </x:c>
      <x:c r="F741" s="27" t="str">
        <x:v>deipnon</x:v>
      </x:c>
      <x:c r="G741" s="20" t="str">
        <x:v>dinner, i.e. the chief meal (usually in the evening)</x:v>
      </x:c>
      <x:c r="H741" s="20" t="str"/>
      <x:c r="I741" s="21"/>
      <x:c r="J741" s="21" t="str">
        <x:v>Mounce 頻率延伸</x:v>
      </x:c>
      <x:c r="K741" s="21" t="str">
        <x:v>G1173</x:v>
      </x:c>
      <x:c r="L741" s="21" t="str">
        <x:v>否</x:v>
      </x:c>
      <x:c r="M741" s="21" t="str"/>
      <x:c r="N741" s="21" t="str">
        <x:v>source_and_lexicon_matched</x:v>
      </x:c>
      <x:c r="O741" s="21" t="str">
        <x:v>rule_generated_from_official_table</x:v>
      </x:c>
      <x:c r="P741" s="21" t="n">
        <x:v>13</x:v>
      </x:c>
      <x:c r="Q741" s="21" t="str">
        <x:v>https://doxa.billmounce.com/Flashcards%20%28BBG%29.pdf</x:v>
      </x:c>
      <x:c r="R741" s="16" t="str"/>
    </x:row>
    <x:row r="742" ht="28" customHeight="1">
      <x:c r="A742" s="21" t="n">
        <x:v>738</x:v>
      </x:c>
      <x:c r="B742" s="21" t="n">
        <x:f>ROUNDUP(A742/50,0)</x:f>
        <x:v>15</x:v>
      </x:c>
      <x:c r="C742" s="21" t="n">
        <x:f>MOD(A742-1,50)+1</x:f>
        <x:v>38</x:v>
      </x:c>
      <x:c r="D742" s="29" t="str">
        <x:v>δέσμιος, -ου, ὁ</x:v>
      </x:c>
      <x:c r="E742" s="29" t="str">
        <x:v>δέσμιος</x:v>
      </x:c>
      <x:c r="F742" s="27" t="str">
        <x:v>desmios</x:v>
      </x:c>
      <x:c r="G742" s="20" t="str">
        <x:v>a captive (as bound)</x:v>
      </x:c>
      <x:c r="H742" s="20" t="str"/>
      <x:c r="I742" s="21"/>
      <x:c r="J742" s="21" t="str">
        <x:v>Mounce 頻率延伸</x:v>
      </x:c>
      <x:c r="K742" s="21" t="str">
        <x:v>G1198</x:v>
      </x:c>
      <x:c r="L742" s="21" t="str">
        <x:v>否</x:v>
      </x:c>
      <x:c r="M742" s="21" t="str"/>
      <x:c r="N742" s="21" t="str">
        <x:v>source_and_lexicon_matched</x:v>
      </x:c>
      <x:c r="O742" s="21" t="str">
        <x:v>rule_generated_from_official_table</x:v>
      </x:c>
      <x:c r="P742" s="21" t="n">
        <x:v>13</x:v>
      </x:c>
      <x:c r="Q742" s="21" t="str">
        <x:v>https://doxa.billmounce.com/Flashcards%20%28BBG%29.pdf</x:v>
      </x:c>
      <x:c r="R742" s="16" t="str"/>
    </x:row>
    <x:row r="743" ht="28" customHeight="1">
      <x:c r="A743" s="21" t="n">
        <x:v>739</x:v>
      </x:c>
      <x:c r="B743" s="21" t="n">
        <x:f>ROUNDUP(A743/50,0)</x:f>
        <x:v>15</x:v>
      </x:c>
      <x:c r="C743" s="21" t="n">
        <x:f>MOD(A743-1,50)+1</x:f>
        <x:v>39</x:v>
      </x:c>
      <x:c r="D743" s="29" t="str">
        <x:v>δηνάριον, -ου, τό</x:v>
      </x:c>
      <x:c r="E743" s="29" t="str">
        <x:v>δηνάριον</x:v>
      </x:c>
      <x:c r="F743" s="27" t="str">
        <x:v>dēnarion</x:v>
      </x:c>
      <x:c r="G743" s="20" t="str">
        <x:v>a denarius (or ten asses)</x:v>
      </x:c>
      <x:c r="H743" s="20" t="str"/>
      <x:c r="I743" s="21"/>
      <x:c r="J743" s="21" t="str">
        <x:v>Mounce 頻率延伸</x:v>
      </x:c>
      <x:c r="K743" s="21" t="str">
        <x:v>G1220</x:v>
      </x:c>
      <x:c r="L743" s="21" t="str">
        <x:v>否</x:v>
      </x:c>
      <x:c r="M743" s="21" t="str"/>
      <x:c r="N743" s="21" t="str">
        <x:v>source_and_lexicon_matched</x:v>
      </x:c>
      <x:c r="O743" s="21" t="str">
        <x:v>rule_generated_from_official_table</x:v>
      </x:c>
      <x:c r="P743" s="21" t="n">
        <x:v>13</x:v>
      </x:c>
      <x:c r="Q743" s="21" t="str">
        <x:v>https://doxa.billmounce.com/Flashcards%20%28BBG%29.pdf</x:v>
      </x:c>
      <x:c r="R743" s="16" t="str"/>
    </x:row>
    <x:row r="744" ht="28" customHeight="1">
      <x:c r="A744" s="21" t="n">
        <x:v>740</x:v>
      </x:c>
      <x:c r="B744" s="21" t="n">
        <x:f>ROUNDUP(A744/50,0)</x:f>
        <x:v>15</x:v>
      </x:c>
      <x:c r="C744" s="21" t="n">
        <x:f>MOD(A744-1,50)+1</x:f>
        <x:v>40</x:v>
      </x:c>
      <x:c r="D744" s="29" t="str">
        <x:v>διαλογίζομαι</x:v>
      </x:c>
      <x:c r="E744" s="29" t="str">
        <x:v>διαλογίζομαι</x:v>
      </x:c>
      <x:c r="F744" s="27" t="str">
        <x:v>dialogizomai</x:v>
      </x:c>
      <x:c r="G744" s="20" t="str">
        <x:v>to reckon thoroughly, i.e. (genitive case) to deliberate (by reflection or discussion)</x:v>
      </x:c>
      <x:c r="H744" s="20" t="str"/>
      <x:c r="I744" s="21"/>
      <x:c r="J744" s="21" t="str">
        <x:v>Mounce 頻率延伸</x:v>
      </x:c>
      <x:c r="K744" s="21" t="str">
        <x:v>G1260</x:v>
      </x:c>
      <x:c r="L744" s="21" t="str">
        <x:v>否</x:v>
      </x:c>
      <x:c r="M744" s="21" t="str"/>
      <x:c r="N744" s="21" t="str">
        <x:v>source_and_lexicon_matched</x:v>
      </x:c>
      <x:c r="O744" s="21" t="str">
        <x:v>rule_generated_from_official_table</x:v>
      </x:c>
      <x:c r="P744" s="21" t="n">
        <x:v>13</x:v>
      </x:c>
      <x:c r="Q744" s="21" t="str">
        <x:v>https://doxa.billmounce.com/Flashcards%20%28BBG%29.pdf</x:v>
      </x:c>
      <x:c r="R744" s="16" t="str"/>
    </x:row>
    <x:row r="745" ht="28" customHeight="1">
      <x:c r="A745" s="21" t="n">
        <x:v>741</x:v>
      </x:c>
      <x:c r="B745" s="21" t="n">
        <x:f>ROUNDUP(A745/50,0)</x:f>
        <x:v>15</x:v>
      </x:c>
      <x:c r="C745" s="21" t="n">
        <x:f>MOD(A745-1,50)+1</x:f>
        <x:v>41</x:v>
      </x:c>
      <x:c r="D745" s="29" t="str">
        <x:v>διατάσσω</x:v>
      </x:c>
      <x:c r="E745" s="29" t="str">
        <x:v>διατάσσω</x:v>
      </x:c>
      <x:c r="F745" s="27" t="str">
        <x:v>diatassō</x:v>
      </x:c>
      <x:c r="G745" s="20" t="str">
        <x:v>to arrange thoroughly, i.e. (specially) institute, prescribe, etc.</x:v>
      </x:c>
      <x:c r="H745" s="20" t="str"/>
      <x:c r="I745" s="21"/>
      <x:c r="J745" s="21" t="str">
        <x:v>Mounce 頻率延伸</x:v>
      </x:c>
      <x:c r="K745" s="21" t="str">
        <x:v>G1299</x:v>
      </x:c>
      <x:c r="L745" s="21" t="str">
        <x:v>否</x:v>
      </x:c>
      <x:c r="M745" s="21" t="str"/>
      <x:c r="N745" s="21" t="str">
        <x:v>source_and_lexicon_matched</x:v>
      </x:c>
      <x:c r="O745" s="21" t="str">
        <x:v>rule_generated_from_official_table</x:v>
      </x:c>
      <x:c r="P745" s="21" t="n">
        <x:v>13</x:v>
      </x:c>
      <x:c r="Q745" s="21" t="str">
        <x:v>https://doxa.billmounce.com/Flashcards%20%28BBG%29.pdf</x:v>
      </x:c>
      <x:c r="R745" s="16" t="str"/>
    </x:row>
    <x:row r="746" ht="28" customHeight="1">
      <x:c r="A746" s="21" t="n">
        <x:v>742</x:v>
      </x:c>
      <x:c r="B746" s="21" t="n">
        <x:f>ROUNDUP(A746/50,0)</x:f>
        <x:v>15</x:v>
      </x:c>
      <x:c r="C746" s="21" t="n">
        <x:f>MOD(A746-1,50)+1</x:f>
        <x:v>42</x:v>
      </x:c>
      <x:c r="D746" s="29" t="str">
        <x:v>διψάω</x:v>
      </x:c>
      <x:c r="E746" s="29" t="str">
        <x:v>διψάω</x:v>
      </x:c>
      <x:c r="F746" s="27" t="str">
        <x:v>dipsaō</x:v>
      </x:c>
      <x:c r="G746" s="20" t="str">
        <x:v>to thirst for (literally or figuratively)</x:v>
      </x:c>
      <x:c r="H746" s="20" t="str"/>
      <x:c r="I746" s="21"/>
      <x:c r="J746" s="21" t="str">
        <x:v>Mounce 頻率延伸</x:v>
      </x:c>
      <x:c r="K746" s="21" t="str">
        <x:v>G1372</x:v>
      </x:c>
      <x:c r="L746" s="21" t="str">
        <x:v>否</x:v>
      </x:c>
      <x:c r="M746" s="21" t="str"/>
      <x:c r="N746" s="21" t="str">
        <x:v>source_and_lexicon_matched</x:v>
      </x:c>
      <x:c r="O746" s="21" t="str">
        <x:v>rule_generated_from_official_table</x:v>
      </x:c>
      <x:c r="P746" s="21" t="n">
        <x:v>13</x:v>
      </x:c>
      <x:c r="Q746" s="21" t="str">
        <x:v>https://doxa.billmounce.com/Flashcards%20%28BBG%29.pdf</x:v>
      </x:c>
      <x:c r="R746" s="16" t="str"/>
    </x:row>
    <x:row r="747" ht="28" customHeight="1">
      <x:c r="A747" s="21" t="n">
        <x:v>743</x:v>
      </x:c>
      <x:c r="B747" s="21" t="n">
        <x:f>ROUNDUP(A747/50,0)</x:f>
        <x:v>15</x:v>
      </x:c>
      <x:c r="C747" s="21" t="n">
        <x:f>MOD(A747-1,50)+1</x:f>
        <x:v>43</x:v>
      </x:c>
      <x:c r="D747" s="29" t="str">
        <x:v>ἐκτείνω</x:v>
      </x:c>
      <x:c r="E747" s="29" t="str">
        <x:v>ἐκτείνω</x:v>
      </x:c>
      <x:c r="F747" s="27" t="str">
        <x:v>ekteinō</x:v>
      </x:c>
      <x:c r="G747" s="20" t="str">
        <x:v>to extend</x:v>
      </x:c>
      <x:c r="H747" s="20" t="str"/>
      <x:c r="I747" s="21"/>
      <x:c r="J747" s="21" t="str">
        <x:v>Mounce 頻率延伸</x:v>
      </x:c>
      <x:c r="K747" s="21" t="str">
        <x:v>G1614</x:v>
      </x:c>
      <x:c r="L747" s="21" t="str">
        <x:v>否</x:v>
      </x:c>
      <x:c r="M747" s="21" t="str"/>
      <x:c r="N747" s="21" t="str">
        <x:v>source_and_lexicon_matched</x:v>
      </x:c>
      <x:c r="O747" s="21" t="str">
        <x:v>rule_generated_from_official_table</x:v>
      </x:c>
      <x:c r="P747" s="21" t="n">
        <x:v>13</x:v>
      </x:c>
      <x:c r="Q747" s="21" t="str">
        <x:v>https://doxa.billmounce.com/Flashcards%20%28BBG%29.pdf</x:v>
      </x:c>
      <x:c r="R747" s="16" t="str"/>
    </x:row>
    <x:row r="748" ht="28" customHeight="1">
      <x:c r="A748" s="21" t="n">
        <x:v>744</x:v>
      </x:c>
      <x:c r="B748" s="21" t="n">
        <x:f>ROUNDUP(A748/50,0)</x:f>
        <x:v>15</x:v>
      </x:c>
      <x:c r="C748" s="21" t="n">
        <x:f>MOD(A748-1,50)+1</x:f>
        <x:v>44</x:v>
      </x:c>
      <x:c r="D748" s="29" t="str">
        <x:v>ἐκχέω</x:v>
      </x:c>
      <x:c r="E748" s="29" t="str">
        <x:v>ἐκχέω</x:v>
      </x:c>
      <x:c r="F748" s="27" t="str">
        <x:v>ekcheō</x:v>
      </x:c>
      <x:c r="G748" s="20" t="str">
        <x:v>to pour forth; figuratively, to bestow</x:v>
      </x:c>
      <x:c r="H748" s="20" t="str"/>
      <x:c r="I748" s="21"/>
      <x:c r="J748" s="21" t="str">
        <x:v>Mounce 頻率延伸</x:v>
      </x:c>
      <x:c r="K748" s="21" t="str">
        <x:v>G1632</x:v>
      </x:c>
      <x:c r="L748" s="21" t="str">
        <x:v>否</x:v>
      </x:c>
      <x:c r="M748" s="21" t="str"/>
      <x:c r="N748" s="21" t="str">
        <x:v>source_and_lexicon_matched</x:v>
      </x:c>
      <x:c r="O748" s="21" t="str">
        <x:v>rule_generated_from_official_table</x:v>
      </x:c>
      <x:c r="P748" s="21" t="n">
        <x:v>13</x:v>
      </x:c>
      <x:c r="Q748" s="21" t="str">
        <x:v>https://doxa.billmounce.com/Flashcards%20%28BBG%29.pdf</x:v>
      </x:c>
      <x:c r="R748" s="16" t="str"/>
    </x:row>
    <x:row r="749" ht="28" customHeight="1">
      <x:c r="A749" s="21" t="n">
        <x:v>745</x:v>
      </x:c>
      <x:c r="B749" s="21" t="n">
        <x:f>ROUNDUP(A749/50,0)</x:f>
        <x:v>15</x:v>
      </x:c>
      <x:c r="C749" s="21" t="n">
        <x:f>MOD(A749-1,50)+1</x:f>
        <x:v>45</x:v>
      </x:c>
      <x:c r="D749" s="29" t="str">
        <x:v>ἐμβαίνω</x:v>
      </x:c>
      <x:c r="E749" s="29" t="str">
        <x:v>ἐμβαίνω</x:v>
      </x:c>
      <x:c r="F749" s="27" t="str">
        <x:v>embainō</x:v>
      </x:c>
      <x:c r="G749" s="20" t="str">
        <x:v>to walk on, i.e. embark (aboard a vessel), reach (a pool)</x:v>
      </x:c>
      <x:c r="H749" s="20" t="str"/>
      <x:c r="I749" s="21"/>
      <x:c r="J749" s="21" t="str">
        <x:v>Mounce 頻率延伸</x:v>
      </x:c>
      <x:c r="K749" s="21" t="str">
        <x:v>G1684</x:v>
      </x:c>
      <x:c r="L749" s="21" t="str">
        <x:v>否</x:v>
      </x:c>
      <x:c r="M749" s="21" t="str"/>
      <x:c r="N749" s="21" t="str">
        <x:v>source_and_lexicon_matched</x:v>
      </x:c>
      <x:c r="O749" s="21" t="str">
        <x:v>rule_generated_from_official_table</x:v>
      </x:c>
      <x:c r="P749" s="21" t="n">
        <x:v>13</x:v>
      </x:c>
      <x:c r="Q749" s="21" t="str">
        <x:v>https://doxa.billmounce.com/Flashcards%20%28BBG%29.pdf</x:v>
      </x:c>
      <x:c r="R749" s="16" t="str"/>
    </x:row>
    <x:row r="750" ht="28" customHeight="1">
      <x:c r="A750" s="21" t="n">
        <x:v>746</x:v>
      </x:c>
      <x:c r="B750" s="21" t="n">
        <x:f>ROUNDUP(A750/50,0)</x:f>
        <x:v>15</x:v>
      </x:c>
      <x:c r="C750" s="21" t="n">
        <x:f>MOD(A750-1,50)+1</x:f>
        <x:v>46</x:v>
      </x:c>
      <x:c r="D750" s="29" t="str">
        <x:v>ἔπειτα</x:v>
      </x:c>
      <x:c r="E750" s="29" t="str">
        <x:v>ἔπειτα</x:v>
      </x:c>
      <x:c r="F750" s="27" t="str">
        <x:v>epeita</x:v>
      </x:c>
      <x:c r="G750" s="20" t="str">
        <x:v>thereafter</x:v>
      </x:c>
      <x:c r="H750" s="20" t="str"/>
      <x:c r="I750" s="21"/>
      <x:c r="J750" s="21" t="str">
        <x:v>Mounce 頻率延伸</x:v>
      </x:c>
      <x:c r="K750" s="21" t="str">
        <x:v>G1899</x:v>
      </x:c>
      <x:c r="L750" s="21" t="str">
        <x:v>否</x:v>
      </x:c>
      <x:c r="M750" s="21" t="str"/>
      <x:c r="N750" s="21" t="str">
        <x:v>source_and_lexicon_matched</x:v>
      </x:c>
      <x:c r="O750" s="21" t="str">
        <x:v>rule_generated_from_official_table</x:v>
      </x:c>
      <x:c r="P750" s="21" t="n">
        <x:v>13</x:v>
      </x:c>
      <x:c r="Q750" s="21" t="str">
        <x:v>https://doxa.billmounce.com/Flashcards%20%28BBG%29.pdf</x:v>
      </x:c>
      <x:c r="R750" s="16" t="str"/>
    </x:row>
    <x:row r="751" ht="28" customHeight="1">
      <x:c r="A751" s="21" t="n">
        <x:v>747</x:v>
      </x:c>
      <x:c r="B751" s="21" t="n">
        <x:f>ROUNDUP(A751/50,0)</x:f>
        <x:v>15</x:v>
      </x:c>
      <x:c r="C751" s="21" t="n">
        <x:f>MOD(A751-1,50)+1</x:f>
        <x:v>47</x:v>
      </x:c>
      <x:c r="D751" s="29" t="str">
        <x:v>ἐπιθυμέω</x:v>
      </x:c>
      <x:c r="E751" s="29" t="str">
        <x:v>ἐπιθυμέω</x:v>
      </x:c>
      <x:c r="F751" s="27" t="str">
        <x:v>epithumeō</x:v>
      </x:c>
      <x:c r="G751" s="20" t="str">
        <x:v>to set the heart upon, i.e. long for (rightfully or otherwise)</x:v>
      </x:c>
      <x:c r="H751" s="20" t="str"/>
      <x:c r="I751" s="21"/>
      <x:c r="J751" s="21" t="str">
        <x:v>Mounce 頻率延伸</x:v>
      </x:c>
      <x:c r="K751" s="21" t="str">
        <x:v>G1937</x:v>
      </x:c>
      <x:c r="L751" s="21" t="str">
        <x:v>否</x:v>
      </x:c>
      <x:c r="M751" s="21" t="str"/>
      <x:c r="N751" s="21" t="str">
        <x:v>source_and_lexicon_matched</x:v>
      </x:c>
      <x:c r="O751" s="21" t="str">
        <x:v>rule_generated_from_official_table</x:v>
      </x:c>
      <x:c r="P751" s="21" t="n">
        <x:v>13</x:v>
      </x:c>
      <x:c r="Q751" s="21" t="str">
        <x:v>https://doxa.billmounce.com/Flashcards%20%28BBG%29.pdf</x:v>
      </x:c>
      <x:c r="R751" s="16" t="str"/>
    </x:row>
    <x:row r="752" ht="28" customHeight="1">
      <x:c r="A752" s="21" t="n">
        <x:v>748</x:v>
      </x:c>
      <x:c r="B752" s="21" t="n">
        <x:f>ROUNDUP(A752/50,0)</x:f>
        <x:v>15</x:v>
      </x:c>
      <x:c r="C752" s="21" t="n">
        <x:f>MOD(A752-1,50)+1</x:f>
        <x:v>48</x:v>
      </x:c>
      <x:c r="D752" s="29" t="str">
        <x:v>ἐπιμένω</x:v>
      </x:c>
      <x:c r="E752" s="29" t="str">
        <x:v>ἐπιμένω</x:v>
      </x:c>
      <x:c r="F752" s="27" t="str">
        <x:v>epimenō</x:v>
      </x:c>
      <x:c r="G752" s="20" t="str">
        <x:v>to stay over, i.e. remain (figuratively, persevere)</x:v>
      </x:c>
      <x:c r="H752" s="20" t="str"/>
      <x:c r="I752" s="21"/>
      <x:c r="J752" s="21" t="str">
        <x:v>Mounce 頻率延伸</x:v>
      </x:c>
      <x:c r="K752" s="21" t="str">
        <x:v>G1961</x:v>
      </x:c>
      <x:c r="L752" s="21" t="str">
        <x:v>否</x:v>
      </x:c>
      <x:c r="M752" s="21" t="str"/>
      <x:c r="N752" s="21" t="str">
        <x:v>source_and_lexicon_matched</x:v>
      </x:c>
      <x:c r="O752" s="21" t="str">
        <x:v>rule_generated_from_official_table</x:v>
      </x:c>
      <x:c r="P752" s="21" t="n">
        <x:v>13</x:v>
      </x:c>
      <x:c r="Q752" s="21" t="str">
        <x:v>https://doxa.billmounce.com/Flashcards%20%28BBG%29.pdf</x:v>
      </x:c>
      <x:c r="R752" s="16" t="str"/>
    </x:row>
    <x:row r="753" ht="28" customHeight="1">
      <x:c r="A753" s="21" t="n">
        <x:v>749</x:v>
      </x:c>
      <x:c r="B753" s="21" t="n">
        <x:f>ROUNDUP(A753/50,0)</x:f>
        <x:v>15</x:v>
      </x:c>
      <x:c r="C753" s="21" t="n">
        <x:f>MOD(A753-1,50)+1</x:f>
        <x:v>49</x:v>
      </x:c>
      <x:c r="D753" s="29" t="str">
        <x:v>ἐργάτης, -ου, ὁ</x:v>
      </x:c>
      <x:c r="E753" s="29" t="str">
        <x:v>ἐργάτης</x:v>
      </x:c>
      <x:c r="F753" s="27" t="str">
        <x:v>ergatēs</x:v>
      </x:c>
      <x:c r="G753" s="20" t="str">
        <x:v>a toiler; figuratively, a teacher</x:v>
      </x:c>
      <x:c r="H753" s="20" t="str"/>
      <x:c r="I753" s="21"/>
      <x:c r="J753" s="21" t="str">
        <x:v>Mounce 頻率延伸</x:v>
      </x:c>
      <x:c r="K753" s="21" t="str">
        <x:v>G2040</x:v>
      </x:c>
      <x:c r="L753" s="21" t="str">
        <x:v>否</x:v>
      </x:c>
      <x:c r="M753" s="21" t="str"/>
      <x:c r="N753" s="21" t="str">
        <x:v>source_and_lexicon_matched</x:v>
      </x:c>
      <x:c r="O753" s="21" t="str">
        <x:v>rule_generated_from_official_table</x:v>
      </x:c>
      <x:c r="P753" s="21" t="n">
        <x:v>13</x:v>
      </x:c>
      <x:c r="Q753" s="21" t="str">
        <x:v>https://doxa.billmounce.com/Flashcards%20%28BBG%29.pdf</x:v>
      </x:c>
      <x:c r="R753" s="16" t="str"/>
    </x:row>
    <x:row r="754" ht="28" customHeight="1">
      <x:c r="A754" s="21" t="n">
        <x:v>750</x:v>
      </x:c>
      <x:c r="B754" s="21" t="n">
        <x:f>ROUNDUP(A754/50,0)</x:f>
        <x:v>15</x:v>
      </x:c>
      <x:c r="C754" s="21" t="n">
        <x:f>MOD(A754-1,50)+1</x:f>
        <x:v>50</x:v>
      </x:c>
      <x:c r="D754" s="29" t="str">
        <x:v>εὐλογία, -ας, ἡ</x:v>
      </x:c>
      <x:c r="E754" s="29" t="str">
        <x:v>εὐλογία</x:v>
      </x:c>
      <x:c r="F754" s="27" t="str">
        <x:v>eulogia</x:v>
      </x:c>
      <x:c r="G754" s="20" t="str">
        <x:v>fine speaking, i.e. elegance of language; commendation ("eulogy"), i.e. (reverentially) adoration; religiously, benediction; by implication, consecration; by extension, benefit or largess</x:v>
      </x:c>
      <x:c r="H754" s="20" t="str"/>
      <x:c r="I754" s="21"/>
      <x:c r="J754" s="21" t="str">
        <x:v>Mounce 頻率延伸</x:v>
      </x:c>
      <x:c r="K754" s="21" t="str">
        <x:v>G2129</x:v>
      </x:c>
      <x:c r="L754" s="21" t="str">
        <x:v>否</x:v>
      </x:c>
      <x:c r="M754" s="21" t="str"/>
      <x:c r="N754" s="21" t="str">
        <x:v>source_and_lexicon_matched</x:v>
      </x:c>
      <x:c r="O754" s="21" t="str">
        <x:v>rule_generated_from_official_table</x:v>
      </x:c>
      <x:c r="P754" s="21" t="n">
        <x:v>13</x:v>
      </x:c>
      <x:c r="Q754" s="21" t="str">
        <x:v>https://doxa.billmounce.com/Flashcards%20%28BBG%29.pdf</x:v>
      </x:c>
      <x:c r="R754" s="16" t="str"/>
    </x:row>
    <x:row r="755" ht="28" customHeight="1">
      <x:c r="A755" s="21" t="n">
        <x:v>751</x:v>
      </x:c>
      <x:c r="B755" s="21" t="n">
        <x:f>ROUNDUP(A755/50,0)</x:f>
        <x:v>16</x:v>
      </x:c>
      <x:c r="C755" s="21" t="n">
        <x:f>MOD(A755-1,50)+1</x:f>
        <x:v>1</x:v>
      </x:c>
      <x:c r="D755" s="29" t="str">
        <x:v>Ἔφεσος, -ου, ἡ</x:v>
      </x:c>
      <x:c r="E755" s="29" t="str">
        <x:v>Ἔφεσος</x:v>
      </x:c>
      <x:c r="F755" s="27" t="str">
        <x:v>Ephesos</x:v>
      </x:c>
      <x:c r="G755" s="20" t="str">
        <x:v>Ephesus, a city of Asia Minor</x:v>
      </x:c>
      <x:c r="H755" s="20" t="str"/>
      <x:c r="I755" s="21"/>
      <x:c r="J755" s="21" t="str">
        <x:v>Mounce 頻率延伸</x:v>
      </x:c>
      <x:c r="K755" s="21" t="str">
        <x:v>G2181</x:v>
      </x:c>
      <x:c r="L755" s="21" t="str">
        <x:v>是</x:v>
      </x:c>
      <x:c r="M755" s="21" t="str">
        <x:v>地名</x:v>
      </x:c>
      <x:c r="N755" s="21" t="str">
        <x:v>source_and_lexicon_matched</x:v>
      </x:c>
      <x:c r="O755" s="21" t="str">
        <x:v>rule_generated_from_official_table</x:v>
      </x:c>
      <x:c r="P755" s="21" t="n">
        <x:v>13</x:v>
      </x:c>
      <x:c r="Q755" s="21" t="str">
        <x:v>https://doxa.billmounce.com/Flashcards%20%28BBG%29.pdf</x:v>
      </x:c>
      <x:c r="R755" s="16" t="str"/>
    </x:row>
    <x:row r="756" ht="28" customHeight="1">
      <x:c r="A756" s="21" t="n">
        <x:v>752</x:v>
      </x:c>
      <x:c r="B756" s="21" t="n">
        <x:f>ROUNDUP(A756/50,0)</x:f>
        <x:v>16</x:v>
      </x:c>
      <x:c r="C756" s="21" t="n">
        <x:f>MOD(A756-1,50)+1</x:f>
        <x:v>2</x:v>
      </x:c>
      <x:c r="D756" s="29" t="str">
        <x:v>ζῆλος, -ου, ὁ</x:v>
      </x:c>
      <x:c r="E756" s="29" t="str">
        <x:v>ζῆλος</x:v>
      </x:c>
      <x:c r="F756" s="27" t="str">
        <x:v>zēlos</x:v>
      </x:c>
      <x:c r="G756" s="20" t="str">
        <x:v>properly, heat, i.e. (figuratively) "zeal" (in a favorable sense, ardor; in an unfavorable one, jealousy, as of a husband (figuratively, of God), or an enemy, malice)</x:v>
      </x:c>
      <x:c r="H756" s="20" t="str"/>
      <x:c r="I756" s="21"/>
      <x:c r="J756" s="21" t="str">
        <x:v>Mounce 頻率延伸</x:v>
      </x:c>
      <x:c r="K756" s="21" t="str">
        <x:v>G2205</x:v>
      </x:c>
      <x:c r="L756" s="21" t="str">
        <x:v>否</x:v>
      </x:c>
      <x:c r="M756" s="21" t="str"/>
      <x:c r="N756" s="21" t="str">
        <x:v>source_and_lexicon_matched</x:v>
      </x:c>
      <x:c r="O756" s="21" t="str">
        <x:v>rule_generated_from_official_table</x:v>
      </x:c>
      <x:c r="P756" s="21" t="n">
        <x:v>13</x:v>
      </x:c>
      <x:c r="Q756" s="21" t="str">
        <x:v>https://doxa.billmounce.com/Flashcards%20%28BBG%29.pdf</x:v>
      </x:c>
      <x:c r="R756" s="16" t="str"/>
    </x:row>
    <x:row r="757" ht="28" customHeight="1">
      <x:c r="A757" s="21" t="n">
        <x:v>753</x:v>
      </x:c>
      <x:c r="B757" s="21" t="n">
        <x:f>ROUNDUP(A757/50,0)</x:f>
        <x:v>16</x:v>
      </x:c>
      <x:c r="C757" s="21" t="n">
        <x:f>MOD(A757-1,50)+1</x:f>
        <x:v>3</x:v>
      </x:c>
      <x:c r="D757" s="29" t="str">
        <x:v>κακῶς</x:v>
      </x:c>
      <x:c r="E757" s="29" t="str">
        <x:v>κακῶς</x:v>
      </x:c>
      <x:c r="F757" s="27" t="str">
        <x:v>kakōs</x:v>
      </x:c>
      <x:c r="G757" s="20" t="str">
        <x:v>badly (physically or morally)</x:v>
      </x:c>
      <x:c r="H757" s="20" t="str"/>
      <x:c r="I757" s="21"/>
      <x:c r="J757" s="21" t="str">
        <x:v>Mounce 頻率延伸</x:v>
      </x:c>
      <x:c r="K757" s="21" t="str">
        <x:v>G2560</x:v>
      </x:c>
      <x:c r="L757" s="21" t="str">
        <x:v>否</x:v>
      </x:c>
      <x:c r="M757" s="21" t="str"/>
      <x:c r="N757" s="21" t="str">
        <x:v>source_and_lexicon_matched</x:v>
      </x:c>
      <x:c r="O757" s="21" t="str">
        <x:v>rule_generated_from_official_table</x:v>
      </x:c>
      <x:c r="P757" s="21" t="n">
        <x:v>13</x:v>
      </x:c>
      <x:c r="Q757" s="21" t="str">
        <x:v>https://doxa.billmounce.com/Flashcards%20%28BBG%29.pdf</x:v>
      </x:c>
      <x:c r="R757" s="16" t="str"/>
    </x:row>
    <x:row r="758" ht="28" customHeight="1">
      <x:c r="A758" s="21" t="n">
        <x:v>754</x:v>
      </x:c>
      <x:c r="B758" s="21" t="n">
        <x:f>ROUNDUP(A758/50,0)</x:f>
        <x:v>16</x:v>
      </x:c>
      <x:c r="C758" s="21" t="n">
        <x:f>MOD(A758-1,50)+1</x:f>
        <x:v>4</x:v>
      </x:c>
      <x:c r="D758" s="29" t="str">
        <x:v>κατέρχομαι</x:v>
      </x:c>
      <x:c r="E758" s="29" t="str">
        <x:v>κατέρχομαι</x:v>
      </x:c>
      <x:c r="F758" s="27" t="str">
        <x:v>katerchomai</x:v>
      </x:c>
      <x:c r="G758" s="20" t="str">
        <x:v>to come (or go) down (literally or figuratively)</x:v>
      </x:c>
      <x:c r="H758" s="20" t="str"/>
      <x:c r="I758" s="21"/>
      <x:c r="J758" s="21" t="str">
        <x:v>Mounce 頻率延伸</x:v>
      </x:c>
      <x:c r="K758" s="21" t="str">
        <x:v>G2718</x:v>
      </x:c>
      <x:c r="L758" s="21" t="str">
        <x:v>否</x:v>
      </x:c>
      <x:c r="M758" s="21" t="str"/>
      <x:c r="N758" s="21" t="str">
        <x:v>source_and_lexicon_matched</x:v>
      </x:c>
      <x:c r="O758" s="21" t="str">
        <x:v>rule_generated_from_official_table</x:v>
      </x:c>
      <x:c r="P758" s="21" t="n">
        <x:v>13</x:v>
      </x:c>
      <x:c r="Q758" s="21" t="str">
        <x:v>https://doxa.billmounce.com/Flashcards%20%28BBG%29.pdf</x:v>
      </x:c>
      <x:c r="R758" s="16" t="str"/>
    </x:row>
    <x:row r="759" ht="28" customHeight="1">
      <x:c r="A759" s="21" t="n">
        <x:v>755</x:v>
      </x:c>
      <x:c r="B759" s="21" t="n">
        <x:f>ROUNDUP(A759/50,0)</x:f>
        <x:v>16</x:v>
      </x:c>
      <x:c r="C759" s="21" t="n">
        <x:f>MOD(A759-1,50)+1</x:f>
        <x:v>5</x:v>
      </x:c>
      <x:c r="D759" s="29" t="str">
        <x:v>Καφαρναούμ, ἡ</x:v>
      </x:c>
      <x:c r="E759" s="29" t="str">
        <x:v>Καφαρναούμ</x:v>
      </x:c>
      <x:c r="F759" s="27" t="str">
        <x:v>Kapharnaoum</x:v>
      </x:c>
      <x:c r="G759" s="20" t="str"/>
      <x:c r="H759" s="20" t="str"/>
      <x:c r="I759" s="21"/>
      <x:c r="J759" s="21" t="str">
        <x:v>Mounce 頻率延伸</x:v>
      </x:c>
      <x:c r="K759" s="21" t="str"/>
      <x:c r="L759" s="21" t="str">
        <x:v>是</x:v>
      </x:c>
      <x:c r="M759" s="21" t="str">
        <x:v>地名</x:v>
      </x:c>
      <x:c r="N759" s="21" t="str">
        <x:v>source_verified_lexicon_pending</x:v>
      </x:c>
      <x:c r="O759" s="21" t="str">
        <x:v>rule_generated_from_official_table</x:v>
      </x:c>
      <x:c r="P759" s="21" t="n">
        <x:v>13</x:v>
      </x:c>
      <x:c r="Q759" s="21" t="str">
        <x:v>https://doxa.billmounce.com/Flashcards%20%28BBG%29.pdf</x:v>
      </x:c>
      <x:c r="R759" s="16" t="str"/>
    </x:row>
    <x:row r="760" ht="28" customHeight="1">
      <x:c r="A760" s="21" t="n">
        <x:v>756</x:v>
      </x:c>
      <x:c r="B760" s="21" t="n">
        <x:f>ROUNDUP(A760/50,0)</x:f>
        <x:v>16</x:v>
      </x:c>
      <x:c r="C760" s="21" t="n">
        <x:f>MOD(A760-1,50)+1</x:f>
        <x:v>6</x:v>
      </x:c>
      <x:c r="D760" s="29" t="str">
        <x:v>κλείω</x:v>
      </x:c>
      <x:c r="E760" s="29" t="str">
        <x:v>κλείω</x:v>
      </x:c>
      <x:c r="F760" s="27" t="str">
        <x:v>kleiō</x:v>
      </x:c>
      <x:c r="G760" s="20" t="str">
        <x:v>to close (literally or figuratively)</x:v>
      </x:c>
      <x:c r="H760" s="20" t="str"/>
      <x:c r="I760" s="21"/>
      <x:c r="J760" s="21" t="str">
        <x:v>Mounce 頻率延伸</x:v>
      </x:c>
      <x:c r="K760" s="21" t="str">
        <x:v>G2808</x:v>
      </x:c>
      <x:c r="L760" s="21" t="str">
        <x:v>否</x:v>
      </x:c>
      <x:c r="M760" s="21" t="str"/>
      <x:c r="N760" s="21" t="str">
        <x:v>source_and_lexicon_matched</x:v>
      </x:c>
      <x:c r="O760" s="21" t="str">
        <x:v>rule_generated_from_official_table</x:v>
      </x:c>
      <x:c r="P760" s="21" t="n">
        <x:v>13</x:v>
      </x:c>
      <x:c r="Q760" s="21" t="str">
        <x:v>https://doxa.billmounce.com/Flashcards%20%28BBG%29.pdf</x:v>
      </x:c>
      <x:c r="R760" s="16" t="str"/>
    </x:row>
    <x:row r="761" ht="28" customHeight="1">
      <x:c r="A761" s="21" t="n">
        <x:v>757</x:v>
      </x:c>
      <x:c r="B761" s="21" t="n">
        <x:f>ROUNDUP(A761/50,0)</x:f>
        <x:v>16</x:v>
      </x:c>
      <x:c r="C761" s="21" t="n">
        <x:f>MOD(A761-1,50)+1</x:f>
        <x:v>7</x:v>
      </x:c>
      <x:c r="D761" s="29" t="str">
        <x:v>κλέπτης, -ου, ὁ</x:v>
      </x:c>
      <x:c r="E761" s="29" t="str">
        <x:v>κλέπτης</x:v>
      </x:c>
      <x:c r="F761" s="27" t="str">
        <x:v>kleptēs</x:v>
      </x:c>
      <x:c r="G761" s="20" t="str">
        <x:v>a stealer (literally or figuratively)</x:v>
      </x:c>
      <x:c r="H761" s="20" t="str"/>
      <x:c r="I761" s="21"/>
      <x:c r="J761" s="21" t="str">
        <x:v>Mounce 頻率延伸</x:v>
      </x:c>
      <x:c r="K761" s="21" t="str">
        <x:v>G2812</x:v>
      </x:c>
      <x:c r="L761" s="21" t="str">
        <x:v>否</x:v>
      </x:c>
      <x:c r="M761" s="21" t="str"/>
      <x:c r="N761" s="21" t="str">
        <x:v>source_and_lexicon_matched</x:v>
      </x:c>
      <x:c r="O761" s="21" t="str">
        <x:v>rule_generated_from_official_table</x:v>
      </x:c>
      <x:c r="P761" s="21" t="n">
        <x:v>13</x:v>
      </x:c>
      <x:c r="Q761" s="21" t="str">
        <x:v>https://doxa.billmounce.com/Flashcards%20%28BBG%29.pdf</x:v>
      </x:c>
      <x:c r="R761" s="16" t="str"/>
    </x:row>
    <x:row r="762" ht="28" customHeight="1">
      <x:c r="A762" s="21" t="n">
        <x:v>758</x:v>
      </x:c>
      <x:c r="B762" s="21" t="n">
        <x:f>ROUNDUP(A762/50,0)</x:f>
        <x:v>16</x:v>
      </x:c>
      <x:c r="C762" s="21" t="n">
        <x:f>MOD(A762-1,50)+1</x:f>
        <x:v>8</x:v>
      </x:c>
      <x:c r="D762" s="29" t="str">
        <x:v>λύπη, -ης, ἡ</x:v>
      </x:c>
      <x:c r="E762" s="29" t="str">
        <x:v>λύπη</x:v>
      </x:c>
      <x:c r="F762" s="27" t="str">
        <x:v>lupē</x:v>
      </x:c>
      <x:c r="G762" s="20" t="str">
        <x:v>sadness</x:v>
      </x:c>
      <x:c r="H762" s="20" t="str"/>
      <x:c r="I762" s="21"/>
      <x:c r="J762" s="21" t="str">
        <x:v>Mounce 頻率延伸</x:v>
      </x:c>
      <x:c r="K762" s="21" t="str">
        <x:v>G3077</x:v>
      </x:c>
      <x:c r="L762" s="21" t="str">
        <x:v>否</x:v>
      </x:c>
      <x:c r="M762" s="21" t="str"/>
      <x:c r="N762" s="21" t="str">
        <x:v>source_and_lexicon_matched</x:v>
      </x:c>
      <x:c r="O762" s="21" t="str">
        <x:v>rule_generated_from_official_table</x:v>
      </x:c>
      <x:c r="P762" s="21" t="n">
        <x:v>13</x:v>
      </x:c>
      <x:c r="Q762" s="21" t="str">
        <x:v>https://doxa.billmounce.com/Flashcards%20%28BBG%29.pdf</x:v>
      </x:c>
      <x:c r="R762" s="16" t="str"/>
    </x:row>
    <x:row r="763" ht="28" customHeight="1">
      <x:c r="A763" s="21" t="n">
        <x:v>759</x:v>
      </x:c>
      <x:c r="B763" s="21" t="n">
        <x:f>ROUNDUP(A763/50,0)</x:f>
        <x:v>16</x:v>
      </x:c>
      <x:c r="C763" s="21" t="n">
        <x:f>MOD(A763-1,50)+1</x:f>
        <x:v>9</x:v>
      </x:c>
      <x:c r="D763" s="29" t="str">
        <x:v>νυμφίος, -ου, ὁ</x:v>
      </x:c>
      <x:c r="E763" s="29" t="str">
        <x:v>νυμφίος</x:v>
      </x:c>
      <x:c r="F763" s="27" t="str">
        <x:v>numphios</x:v>
      </x:c>
      <x:c r="G763" s="20" t="str">
        <x:v>a bride-groom (literally or figuratively)</x:v>
      </x:c>
      <x:c r="H763" s="20" t="str"/>
      <x:c r="I763" s="21"/>
      <x:c r="J763" s="21" t="str">
        <x:v>Mounce 頻率延伸</x:v>
      </x:c>
      <x:c r="K763" s="21" t="str">
        <x:v>G3566</x:v>
      </x:c>
      <x:c r="L763" s="21" t="str">
        <x:v>否</x:v>
      </x:c>
      <x:c r="M763" s="21" t="str"/>
      <x:c r="N763" s="21" t="str">
        <x:v>source_and_lexicon_matched</x:v>
      </x:c>
      <x:c r="O763" s="21" t="str">
        <x:v>rule_generated_from_official_table</x:v>
      </x:c>
      <x:c r="P763" s="21" t="n">
        <x:v>13</x:v>
      </x:c>
      <x:c r="Q763" s="21" t="str">
        <x:v>https://doxa.billmounce.com/Flashcards%20%28BBG%29.pdf</x:v>
      </x:c>
      <x:c r="R763" s="16" t="str"/>
    </x:row>
    <x:row r="764" ht="28" customHeight="1">
      <x:c r="A764" s="21" t="n">
        <x:v>760</x:v>
      </x:c>
      <x:c r="B764" s="21" t="n">
        <x:f>ROUNDUP(A764/50,0)</x:f>
        <x:v>16</x:v>
      </x:c>
      <x:c r="C764" s="21" t="n">
        <x:f>MOD(A764-1,50)+1</x:f>
        <x:v>10</x:v>
      </x:c>
      <x:c r="D764" s="29" t="str">
        <x:v>οὐδέποτε</x:v>
      </x:c>
      <x:c r="E764" s="29" t="str">
        <x:v>οὐδέποτε</x:v>
      </x:c>
      <x:c r="F764" s="27" t="str">
        <x:v>oudepote</x:v>
      </x:c>
      <x:c r="G764" s="20" t="str">
        <x:v>not even at any time, i.e. never at all</x:v>
      </x:c>
      <x:c r="H764" s="20" t="str"/>
      <x:c r="I764" s="21"/>
      <x:c r="J764" s="21" t="str">
        <x:v>Mounce 頻率延伸</x:v>
      </x:c>
      <x:c r="K764" s="21" t="str">
        <x:v>G3763</x:v>
      </x:c>
      <x:c r="L764" s="21" t="str">
        <x:v>否</x:v>
      </x:c>
      <x:c r="M764" s="21" t="str"/>
      <x:c r="N764" s="21" t="str">
        <x:v>source_and_lexicon_matched</x:v>
      </x:c>
      <x:c r="O764" s="21" t="str">
        <x:v>rule_generated_from_official_table</x:v>
      </x:c>
      <x:c r="P764" s="21" t="n">
        <x:v>13</x:v>
      </x:c>
      <x:c r="Q764" s="21" t="str">
        <x:v>https://doxa.billmounce.com/Flashcards%20%28BBG%29.pdf</x:v>
      </x:c>
      <x:c r="R764" s="16" t="str"/>
    </x:row>
    <x:row r="765" ht="28" customHeight="1">
      <x:c r="A765" s="21" t="n">
        <x:v>761</x:v>
      </x:c>
      <x:c r="B765" s="21" t="n">
        <x:f>ROUNDUP(A765/50,0)</x:f>
        <x:v>16</x:v>
      </x:c>
      <x:c r="C765" s="21" t="n">
        <x:f>MOD(A765-1,50)+1</x:f>
        <x:v>11</x:v>
      </x:c>
      <x:c r="D765" s="29" t="str">
        <x:v>πάθημα, -ατος, τό</x:v>
      </x:c>
      <x:c r="E765" s="29" t="str">
        <x:v>πάθημα</x:v>
      </x:c>
      <x:c r="F765" s="27" t="str">
        <x:v>pathēma</x:v>
      </x:c>
      <x:c r="G765" s="20" t="str">
        <x:v>something undergone, i.e. hardship or pain; subjectively, an emotion or influence</x:v>
      </x:c>
      <x:c r="H765" s="20" t="str"/>
      <x:c r="I765" s="21"/>
      <x:c r="J765" s="21" t="str">
        <x:v>Mounce 頻率延伸</x:v>
      </x:c>
      <x:c r="K765" s="21" t="str">
        <x:v>G3804</x:v>
      </x:c>
      <x:c r="L765" s="21" t="str">
        <x:v>否</x:v>
      </x:c>
      <x:c r="M765" s="21" t="str"/>
      <x:c r="N765" s="21" t="str">
        <x:v>source_and_lexicon_matched</x:v>
      </x:c>
      <x:c r="O765" s="21" t="str">
        <x:v>rule_generated_from_official_table</x:v>
      </x:c>
      <x:c r="P765" s="21" t="n">
        <x:v>13</x:v>
      </x:c>
      <x:c r="Q765" s="21" t="str">
        <x:v>https://doxa.billmounce.com/Flashcards%20%28BBG%29.pdf</x:v>
      </x:c>
      <x:c r="R765" s="16" t="str"/>
    </x:row>
    <x:row r="766" ht="28" customHeight="1">
      <x:c r="A766" s="21" t="n">
        <x:v>762</x:v>
      </x:c>
      <x:c r="B766" s="21" t="n">
        <x:f>ROUNDUP(A766/50,0)</x:f>
        <x:v>16</x:v>
      </x:c>
      <x:c r="C766" s="21" t="n">
        <x:f>MOD(A766-1,50)+1</x:f>
        <x:v>12</x:v>
      </x:c>
      <x:c r="D766" s="29" t="str">
        <x:v>παρέχω</x:v>
      </x:c>
      <x:c r="E766" s="29" t="str">
        <x:v>παρέχω</x:v>
      </x:c>
      <x:c r="F766" s="27" t="str">
        <x:v>parechō</x:v>
      </x:c>
      <x:c r="G766" s="20" t="str">
        <x:v>to hold near, i.e. present, afford, exhibit, furnish occasion</x:v>
      </x:c>
      <x:c r="H766" s="20" t="str"/>
      <x:c r="I766" s="21"/>
      <x:c r="J766" s="21" t="str">
        <x:v>Mounce 頻率延伸</x:v>
      </x:c>
      <x:c r="K766" s="21" t="str">
        <x:v>G3930</x:v>
      </x:c>
      <x:c r="L766" s="21" t="str">
        <x:v>否</x:v>
      </x:c>
      <x:c r="M766" s="21" t="str"/>
      <x:c r="N766" s="21" t="str">
        <x:v>source_and_lexicon_matched</x:v>
      </x:c>
      <x:c r="O766" s="21" t="str">
        <x:v>rule_generated_from_official_table</x:v>
      </x:c>
      <x:c r="P766" s="21" t="n">
        <x:v>13</x:v>
      </x:c>
      <x:c r="Q766" s="21" t="str">
        <x:v>https://doxa.billmounce.com/Flashcards%20%28BBG%29.pdf</x:v>
      </x:c>
      <x:c r="R766" s="16" t="str"/>
    </x:row>
    <x:row r="767" ht="28" customHeight="1">
      <x:c r="A767" s="21" t="n">
        <x:v>763</x:v>
      </x:c>
      <x:c r="B767" s="21" t="n">
        <x:f>ROUNDUP(A767/50,0)</x:f>
        <x:v>16</x:v>
      </x:c>
      <x:c r="C767" s="21" t="n">
        <x:f>MOD(A767-1,50)+1</x:f>
        <x:v>13</x:v>
      </x:c>
      <x:c r="D767" s="29" t="str">
        <x:v>περισσότερος, τερον –τέρα, –</x:v>
      </x:c>
      <x:c r="E767" s="29" t="str">
        <x:v>περισσότερος</x:v>
      </x:c>
      <x:c r="F767" s="27" t="str">
        <x:v>perissoteros</x:v>
      </x:c>
      <x:c r="G767" s="20" t="str">
        <x:v>more superabundant (in number, degree or character)</x:v>
      </x:c>
      <x:c r="H767" s="20" t="str"/>
      <x:c r="I767" s="21"/>
      <x:c r="J767" s="21" t="str">
        <x:v>Mounce 頻率延伸</x:v>
      </x:c>
      <x:c r="K767" s="21" t="str">
        <x:v>G4055</x:v>
      </x:c>
      <x:c r="L767" s="21" t="str">
        <x:v>否</x:v>
      </x:c>
      <x:c r="M767" s="21" t="str"/>
      <x:c r="N767" s="21" t="str">
        <x:v>source_and_lexicon_matched</x:v>
      </x:c>
      <x:c r="O767" s="21" t="str">
        <x:v>rule_generated_from_official_table</x:v>
      </x:c>
      <x:c r="P767" s="21" t="n">
        <x:v>13</x:v>
      </x:c>
      <x:c r="Q767" s="21" t="str">
        <x:v>https://doxa.billmounce.com/Flashcards%20%28BBG%29.pdf</x:v>
      </x:c>
      <x:c r="R767" s="16" t="str"/>
    </x:row>
    <x:row r="768" ht="28" customHeight="1">
      <x:c r="A768" s="21" t="n">
        <x:v>764</x:v>
      </x:c>
      <x:c r="B768" s="21" t="n">
        <x:f>ROUNDUP(A768/50,0)</x:f>
        <x:v>16</x:v>
      </x:c>
      <x:c r="C768" s="21" t="n">
        <x:f>MOD(A768-1,50)+1</x:f>
        <x:v>14</x:v>
      </x:c>
      <x:c r="D768" s="29" t="str">
        <x:v>προσδοκάω</x:v>
      </x:c>
      <x:c r="E768" s="29" t="str">
        <x:v>προσδοκάω</x:v>
      </x:c>
      <x:c r="F768" s="27" t="str">
        <x:v>prosdokaō</x:v>
      </x:c>
      <x:c r="G768" s="20" t="str">
        <x:v>to anticipate (in thought, hope or fear); by implication, to await</x:v>
      </x:c>
      <x:c r="H768" s="20" t="str"/>
      <x:c r="I768" s="21"/>
      <x:c r="J768" s="21" t="str">
        <x:v>Mounce 頻率延伸</x:v>
      </x:c>
      <x:c r="K768" s="21" t="str">
        <x:v>G4328</x:v>
      </x:c>
      <x:c r="L768" s="21" t="str">
        <x:v>否</x:v>
      </x:c>
      <x:c r="M768" s="21" t="str"/>
      <x:c r="N768" s="21" t="str">
        <x:v>source_and_lexicon_matched</x:v>
      </x:c>
      <x:c r="O768" s="21" t="str">
        <x:v>rule_generated_from_official_table</x:v>
      </x:c>
      <x:c r="P768" s="21" t="n">
        <x:v>13</x:v>
      </x:c>
      <x:c r="Q768" s="21" t="str">
        <x:v>https://doxa.billmounce.com/Flashcards%20%28BBG%29.pdf</x:v>
      </x:c>
      <x:c r="R768" s="16" t="str"/>
    </x:row>
    <x:row r="769" ht="28" customHeight="1">
      <x:c r="A769" s="21" t="n">
        <x:v>765</x:v>
      </x:c>
      <x:c r="B769" s="21" t="n">
        <x:f>ROUNDUP(A769/50,0)</x:f>
        <x:v>16</x:v>
      </x:c>
      <x:c r="C769" s="21" t="n">
        <x:f>MOD(A769-1,50)+1</x:f>
        <x:v>15</x:v>
      </x:c>
      <x:c r="D769" s="29" t="str">
        <x:v>σκοτία, -ας, ἡ</x:v>
      </x:c>
      <x:c r="E769" s="29" t="str">
        <x:v>σκοτία</x:v>
      </x:c>
      <x:c r="F769" s="27" t="str">
        <x:v>skotia</x:v>
      </x:c>
      <x:c r="G769" s="20" t="str">
        <x:v>dimness, obscurity (literally or figuratively)</x:v>
      </x:c>
      <x:c r="H769" s="20" t="str"/>
      <x:c r="I769" s="21"/>
      <x:c r="J769" s="21" t="str">
        <x:v>Mounce 頻率延伸</x:v>
      </x:c>
      <x:c r="K769" s="21" t="str">
        <x:v>G4653</x:v>
      </x:c>
      <x:c r="L769" s="21" t="str">
        <x:v>否</x:v>
      </x:c>
      <x:c r="M769" s="21" t="str"/>
      <x:c r="N769" s="21" t="str">
        <x:v>source_and_lexicon_matched</x:v>
      </x:c>
      <x:c r="O769" s="21" t="str">
        <x:v>rule_generated_from_official_table</x:v>
      </x:c>
      <x:c r="P769" s="21" t="n">
        <x:v>13</x:v>
      </x:c>
      <x:c r="Q769" s="21" t="str">
        <x:v>https://doxa.billmounce.com/Flashcards%20%28BBG%29.pdf</x:v>
      </x:c>
      <x:c r="R769" s="16" t="str"/>
    </x:row>
    <x:row r="770" ht="28" customHeight="1">
      <x:c r="A770" s="21" t="n">
        <x:v>766</x:v>
      </x:c>
      <x:c r="B770" s="21" t="n">
        <x:f>ROUNDUP(A770/50,0)</x:f>
        <x:v>16</x:v>
      </x:c>
      <x:c r="C770" s="21" t="n">
        <x:f>MOD(A770-1,50)+1</x:f>
        <x:v>16</x:v>
      </x:c>
      <x:c r="D770" s="29" t="str">
        <x:v>συκῆ, -ῆς, ἡ</x:v>
      </x:c>
      <x:c r="E770" s="29" t="str">
        <x:v>συκῆ</x:v>
      </x:c>
      <x:c r="F770" s="27" t="str">
        <x:v>sukē</x:v>
      </x:c>
      <x:c r="G770" s="20" t="str">
        <x:v>a fig-tree</x:v>
      </x:c>
      <x:c r="H770" s="20" t="str"/>
      <x:c r="I770" s="21"/>
      <x:c r="J770" s="21" t="str">
        <x:v>Mounce 頻率延伸</x:v>
      </x:c>
      <x:c r="K770" s="21" t="str">
        <x:v>G4808</x:v>
      </x:c>
      <x:c r="L770" s="21" t="str">
        <x:v>否</x:v>
      </x:c>
      <x:c r="M770" s="21" t="str"/>
      <x:c r="N770" s="21" t="str">
        <x:v>source_and_lexicon_matched</x:v>
      </x:c>
      <x:c r="O770" s="21" t="str">
        <x:v>rule_generated_from_official_table</x:v>
      </x:c>
      <x:c r="P770" s="21" t="n">
        <x:v>13</x:v>
      </x:c>
      <x:c r="Q770" s="21" t="str">
        <x:v>https://doxa.billmounce.com/Flashcards%20%28BBG%29.pdf</x:v>
      </x:c>
      <x:c r="R770" s="16" t="str"/>
    </x:row>
    <x:row r="771" ht="28" customHeight="1">
      <x:c r="A771" s="21" t="n">
        <x:v>767</x:v>
      </x:c>
      <x:c r="B771" s="21" t="n">
        <x:f>ROUNDUP(A771/50,0)</x:f>
        <x:v>16</x:v>
      </x:c>
      <x:c r="C771" s="21" t="n">
        <x:f>MOD(A771-1,50)+1</x:f>
        <x:v>17</x:v>
      </x:c>
      <x:c r="D771" s="29" t="str">
        <x:v>συλλαμβάνω</x:v>
      </x:c>
      <x:c r="E771" s="29" t="str">
        <x:v>συλλαμβάνω</x:v>
      </x:c>
      <x:c r="F771" s="27" t="str">
        <x:v>sullambanō</x:v>
      </x:c>
      <x:c r="G771" s="20" t="str">
        <x:v>to clasp, i.e. seize (arrest, capture); specially, to conceive (literally or figuratively); by implication, to aid</x:v>
      </x:c>
      <x:c r="H771" s="20" t="str"/>
      <x:c r="I771" s="21"/>
      <x:c r="J771" s="21" t="str">
        <x:v>Mounce 頻率延伸</x:v>
      </x:c>
      <x:c r="K771" s="21" t="str">
        <x:v>G4815</x:v>
      </x:c>
      <x:c r="L771" s="21" t="str">
        <x:v>否</x:v>
      </x:c>
      <x:c r="M771" s="21" t="str"/>
      <x:c r="N771" s="21" t="str">
        <x:v>source_and_lexicon_matched</x:v>
      </x:c>
      <x:c r="O771" s="21" t="str">
        <x:v>rule_generated_from_official_table</x:v>
      </x:c>
      <x:c r="P771" s="21" t="n">
        <x:v>13</x:v>
      </x:c>
      <x:c r="Q771" s="21" t="str">
        <x:v>https://doxa.billmounce.com/Flashcards%20%28BBG%29.pdf</x:v>
      </x:c>
      <x:c r="R771" s="16" t="str"/>
    </x:row>
    <x:row r="772" ht="28" customHeight="1">
      <x:c r="A772" s="21" t="n">
        <x:v>768</x:v>
      </x:c>
      <x:c r="B772" s="21" t="n">
        <x:f>ROUNDUP(A772/50,0)</x:f>
        <x:v>16</x:v>
      </x:c>
      <x:c r="C772" s="21" t="n">
        <x:f>MOD(A772-1,50)+1</x:f>
        <x:v>18</x:v>
      </x:c>
      <x:c r="D772" s="29" t="str">
        <x:v>συνίστημι</x:v>
      </x:c>
      <x:c r="E772" s="29" t="str">
        <x:v>συνίστημι</x:v>
      </x:c>
      <x:c r="F772" s="27" t="str">
        <x:v>sunistēmi</x:v>
      </x:c>
      <x:c r="G772" s="20" t="str"/>
      <x:c r="H772" s="20" t="str"/>
      <x:c r="I772" s="21"/>
      <x:c r="J772" s="21" t="str">
        <x:v>Mounce 頻率延伸</x:v>
      </x:c>
      <x:c r="K772" s="21" t="str"/>
      <x:c r="L772" s="21" t="str">
        <x:v>否</x:v>
      </x:c>
      <x:c r="M772" s="21" t="str"/>
      <x:c r="N772" s="21" t="str">
        <x:v>source_verified_lexicon_pending</x:v>
      </x:c>
      <x:c r="O772" s="21" t="str">
        <x:v>rule_generated_from_official_table</x:v>
      </x:c>
      <x:c r="P772" s="21" t="n">
        <x:v>13</x:v>
      </x:c>
      <x:c r="Q772" s="21" t="str">
        <x:v>https://doxa.billmounce.com/Flashcards%20%28BBG%29.pdf</x:v>
      </x:c>
      <x:c r="R772" s="16" t="str"/>
    </x:row>
    <x:row r="773" ht="28" customHeight="1">
      <x:c r="A773" s="21" t="n">
        <x:v>769</x:v>
      </x:c>
      <x:c r="B773" s="21" t="n">
        <x:f>ROUNDUP(A773/50,0)</x:f>
        <x:v>16</x:v>
      </x:c>
      <x:c r="C773" s="21" t="n">
        <x:f>MOD(A773-1,50)+1</x:f>
        <x:v>19</x:v>
      </x:c>
      <x:c r="D773" s="29" t="str">
        <x:v>σφραγίς, -ῖδος, ἡ</x:v>
      </x:c>
      <x:c r="E773" s="29" t="str">
        <x:v>σφραγίς</x:v>
      </x:c>
      <x:c r="F773" s="27" t="str">
        <x:v>sphragis</x:v>
      </x:c>
      <x:c r="G773" s="20" t="str">
        <x:v>a signet (as fencing in or protecting from misappropriation); by implication, the stamp impressed (as a mark of privacy, or genuineness), literally or figuratively</x:v>
      </x:c>
      <x:c r="H773" s="20" t="str"/>
      <x:c r="I773" s="21"/>
      <x:c r="J773" s="21" t="str">
        <x:v>Mounce 頻率延伸</x:v>
      </x:c>
      <x:c r="K773" s="21" t="str">
        <x:v>G4973</x:v>
      </x:c>
      <x:c r="L773" s="21" t="str">
        <x:v>否</x:v>
      </x:c>
      <x:c r="M773" s="21" t="str"/>
      <x:c r="N773" s="21" t="str">
        <x:v>source_and_lexicon_matched</x:v>
      </x:c>
      <x:c r="O773" s="21" t="str">
        <x:v>rule_generated_from_official_table</x:v>
      </x:c>
      <x:c r="P773" s="21" t="n">
        <x:v>13</x:v>
      </x:c>
      <x:c r="Q773" s="21" t="str">
        <x:v>https://doxa.billmounce.com/Flashcards%20%28BBG%29.pdf</x:v>
      </x:c>
      <x:c r="R773" s="16" t="str"/>
    </x:row>
    <x:row r="774" ht="28" customHeight="1">
      <x:c r="A774" s="21" t="n">
        <x:v>770</x:v>
      </x:c>
      <x:c r="B774" s="21" t="n">
        <x:f>ROUNDUP(A774/50,0)</x:f>
        <x:v>16</x:v>
      </x:c>
      <x:c r="C774" s="21" t="n">
        <x:f>MOD(A774-1,50)+1</x:f>
        <x:v>20</x:v>
      </x:c>
      <x:c r="D774" s="29" t="str">
        <x:v>τέρας, -ατος, τό</x:v>
      </x:c>
      <x:c r="E774" s="29" t="str">
        <x:v>τέρας</x:v>
      </x:c>
      <x:c r="F774" s="27" t="str">
        <x:v>teras</x:v>
      </x:c>
      <x:c r="G774" s="20" t="str">
        <x:v>a prodigy or omen</x:v>
      </x:c>
      <x:c r="H774" s="20" t="str"/>
      <x:c r="I774" s="21"/>
      <x:c r="J774" s="21" t="str">
        <x:v>Mounce 頻率延伸</x:v>
      </x:c>
      <x:c r="K774" s="21" t="str">
        <x:v>G5059</x:v>
      </x:c>
      <x:c r="L774" s="21" t="str">
        <x:v>否</x:v>
      </x:c>
      <x:c r="M774" s="21" t="str"/>
      <x:c r="N774" s="21" t="str">
        <x:v>source_and_lexicon_matched</x:v>
      </x:c>
      <x:c r="O774" s="21" t="str">
        <x:v>rule_generated_from_official_table</x:v>
      </x:c>
      <x:c r="P774" s="21" t="n">
        <x:v>13</x:v>
      </x:c>
      <x:c r="Q774" s="21" t="str">
        <x:v>https://doxa.billmounce.com/Flashcards%20%28BBG%29.pdf</x:v>
      </x:c>
      <x:c r="R774" s="16" t="str"/>
    </x:row>
    <x:row r="775" ht="28" customHeight="1">
      <x:c r="A775" s="21" t="n">
        <x:v>771</x:v>
      </x:c>
      <x:c r="B775" s="21" t="n">
        <x:f>ROUNDUP(A775/50,0)</x:f>
        <x:v>16</x:v>
      </x:c>
      <x:c r="C775" s="21" t="n">
        <x:f>MOD(A775-1,50)+1</x:f>
        <x:v>21</x:v>
      </x:c>
      <x:c r="D775" s="29" t="str">
        <x:v>τολμάω</x:v>
      </x:c>
      <x:c r="E775" s="29" t="str">
        <x:v>τολμάω</x:v>
      </x:c>
      <x:c r="F775" s="27" t="str">
        <x:v>tolmaō</x:v>
      </x:c>
      <x:c r="G775" s="20" t="str">
        <x:v>probably itself from the base of G5056 (τέλος) through the idea of extreme conduct); to venture (objectively or in act; while G2292 (θαῤῥέω) is rather subjective or in feeling); by implication, to be courageous</x:v>
      </x:c>
      <x:c r="H775" s="20" t="str"/>
      <x:c r="I775" s="21"/>
      <x:c r="J775" s="21" t="str">
        <x:v>Mounce 頻率延伸</x:v>
      </x:c>
      <x:c r="K775" s="21" t="str">
        <x:v>G5111</x:v>
      </x:c>
      <x:c r="L775" s="21" t="str">
        <x:v>否</x:v>
      </x:c>
      <x:c r="M775" s="21" t="str"/>
      <x:c r="N775" s="21" t="str">
        <x:v>source_and_lexicon_matched</x:v>
      </x:c>
      <x:c r="O775" s="21" t="str">
        <x:v>rule_generated_from_official_table</x:v>
      </x:c>
      <x:c r="P775" s="21" t="n">
        <x:v>13</x:v>
      </x:c>
      <x:c r="Q775" s="21" t="str">
        <x:v>https://doxa.billmounce.com/Flashcards%20%28BBG%29.pdf</x:v>
      </x:c>
      <x:c r="R775" s="16" t="str"/>
    </x:row>
    <x:row r="776" ht="28" customHeight="1">
      <x:c r="A776" s="21" t="n">
        <x:v>772</x:v>
      </x:c>
      <x:c r="B776" s="21" t="n">
        <x:f>ROUNDUP(A776/50,0)</x:f>
        <x:v>16</x:v>
      </x:c>
      <x:c r="C776" s="21" t="n">
        <x:f>MOD(A776-1,50)+1</x:f>
        <x:v>22</x:v>
      </x:c>
      <x:c r="D776" s="29" t="str">
        <x:v>τροφή, -ῆς, ἡ</x:v>
      </x:c>
      <x:c r="E776" s="29" t="str">
        <x:v>τροφή</x:v>
      </x:c>
      <x:c r="F776" s="27" t="str">
        <x:v>trophē</x:v>
      </x:c>
      <x:c r="G776" s="20" t="str">
        <x:v>nourishment (literally or figuratively); by implication, rations (wages)</x:v>
      </x:c>
      <x:c r="H776" s="20" t="str"/>
      <x:c r="I776" s="21"/>
      <x:c r="J776" s="21" t="str">
        <x:v>Mounce 頻率延伸</x:v>
      </x:c>
      <x:c r="K776" s="21" t="str">
        <x:v>G5160</x:v>
      </x:c>
      <x:c r="L776" s="21" t="str">
        <x:v>否</x:v>
      </x:c>
      <x:c r="M776" s="21" t="str"/>
      <x:c r="N776" s="21" t="str">
        <x:v>source_and_lexicon_matched</x:v>
      </x:c>
      <x:c r="O776" s="21" t="str">
        <x:v>rule_generated_from_official_table</x:v>
      </x:c>
      <x:c r="P776" s="21" t="n">
        <x:v>13</x:v>
      </x:c>
      <x:c r="Q776" s="21" t="str">
        <x:v>https://doxa.billmounce.com/Flashcards%20%28BBG%29.pdf</x:v>
      </x:c>
      <x:c r="R776" s="16" t="str"/>
    </x:row>
    <x:row r="777" ht="28" customHeight="1">
      <x:c r="A777" s="21" t="n">
        <x:v>773</x:v>
      </x:c>
      <x:c r="B777" s="21" t="n">
        <x:f>ROUNDUP(A777/50,0)</x:f>
        <x:v>16</x:v>
      </x:c>
      <x:c r="C777" s="21" t="n">
        <x:f>MOD(A777-1,50)+1</x:f>
        <x:v>23</x:v>
      </x:c>
      <x:c r="D777" s="29" t="str">
        <x:v>ὑστερέω</x:v>
      </x:c>
      <x:c r="E777" s="29" t="str">
        <x:v>ὑστερέω</x:v>
      </x:c>
      <x:c r="F777" s="27" t="str">
        <x:v>hustereō</x:v>
      </x:c>
      <x:c r="G777" s="20" t="str">
        <x:v>to be later, i.e. (by implication) to be inferior; generally, to fall short (be deficient)</x:v>
      </x:c>
      <x:c r="H777" s="20" t="str"/>
      <x:c r="I777" s="21"/>
      <x:c r="J777" s="21" t="str">
        <x:v>Mounce 頻率延伸</x:v>
      </x:c>
      <x:c r="K777" s="21" t="str">
        <x:v>G5302</x:v>
      </x:c>
      <x:c r="L777" s="21" t="str">
        <x:v>否</x:v>
      </x:c>
      <x:c r="M777" s="21" t="str"/>
      <x:c r="N777" s="21" t="str">
        <x:v>source_and_lexicon_matched</x:v>
      </x:c>
      <x:c r="O777" s="21" t="str">
        <x:v>rule_generated_from_official_table</x:v>
      </x:c>
      <x:c r="P777" s="21" t="n">
        <x:v>13</x:v>
      </x:c>
      <x:c r="Q777" s="21" t="str">
        <x:v>https://doxa.billmounce.com/Flashcards%20%28BBG%29.pdf</x:v>
      </x:c>
      <x:c r="R777" s="16" t="str"/>
    </x:row>
    <x:row r="778" ht="28" customHeight="1">
      <x:c r="A778" s="21" t="n">
        <x:v>774</x:v>
      </x:c>
      <x:c r="B778" s="21" t="n">
        <x:f>ROUNDUP(A778/50,0)</x:f>
        <x:v>16</x:v>
      </x:c>
      <x:c r="C778" s="21" t="n">
        <x:f>MOD(A778-1,50)+1</x:f>
        <x:v>24</x:v>
      </x:c>
      <x:c r="D778" s="29" t="str">
        <x:v>χορτάζω</x:v>
      </x:c>
      <x:c r="E778" s="29" t="str">
        <x:v>χορτάζω</x:v>
      </x:c>
      <x:c r="F778" s="27" t="str">
        <x:v>chortazō</x:v>
      </x:c>
      <x:c r="G778" s="20" t="str">
        <x:v>to fodder, i.e. (generally) to gorge (supply food in abundance)</x:v>
      </x:c>
      <x:c r="H778" s="20" t="str"/>
      <x:c r="I778" s="21"/>
      <x:c r="J778" s="21" t="str">
        <x:v>Mounce 頻率延伸</x:v>
      </x:c>
      <x:c r="K778" s="21" t="str">
        <x:v>G5526</x:v>
      </x:c>
      <x:c r="L778" s="21" t="str">
        <x:v>否</x:v>
      </x:c>
      <x:c r="M778" s="21" t="str"/>
      <x:c r="N778" s="21" t="str">
        <x:v>source_and_lexicon_matched</x:v>
      </x:c>
      <x:c r="O778" s="21" t="str">
        <x:v>rule_generated_from_official_table</x:v>
      </x:c>
      <x:c r="P778" s="21" t="n">
        <x:v>13</x:v>
      </x:c>
      <x:c r="Q778" s="21" t="str">
        <x:v>https://doxa.billmounce.com/Flashcards%20%28BBG%29.pdf</x:v>
      </x:c>
      <x:c r="R778" s="16" t="str"/>
    </x:row>
    <x:row r="779" ht="28" customHeight="1">
      <x:c r="A779" s="21" t="n">
        <x:v>775</x:v>
      </x:c>
      <x:c r="B779" s="21" t="n">
        <x:f>ROUNDUP(A779/50,0)</x:f>
        <x:v>16</x:v>
      </x:c>
      <x:c r="C779" s="21" t="n">
        <x:f>MOD(A779-1,50)+1</x:f>
        <x:v>25</x:v>
      </x:c>
      <x:c r="D779" s="29" t="str">
        <x:v>ἀνέχομαι</x:v>
      </x:c>
      <x:c r="E779" s="29" t="str">
        <x:v>ἀνέχομαι</x:v>
      </x:c>
      <x:c r="F779" s="27" t="str">
        <x:v>anechomai</x:v>
      </x:c>
      <x:c r="G779" s="20" t="str">
        <x:v>to hold oneself up against, i.e. (figuratively) put up with</x:v>
      </x:c>
      <x:c r="H779" s="20" t="str"/>
      <x:c r="I779" s="21"/>
      <x:c r="J779" s="21" t="str">
        <x:v>Mounce 頻率延伸</x:v>
      </x:c>
      <x:c r="K779" s="21" t="str">
        <x:v>G430</x:v>
      </x:c>
      <x:c r="L779" s="21" t="str">
        <x:v>否</x:v>
      </x:c>
      <x:c r="M779" s="21" t="str"/>
      <x:c r="N779" s="21" t="str">
        <x:v>source_and_lexicon_matched</x:v>
      </x:c>
      <x:c r="O779" s="21" t="str">
        <x:v>rule_generated_from_official_table</x:v>
      </x:c>
      <x:c r="P779" s="21" t="n">
        <x:v>13</x:v>
      </x:c>
      <x:c r="Q779" s="21" t="str">
        <x:v>https://doxa.billmounce.com/Flashcards%20%28BBG%29.pdf</x:v>
      </x:c>
      <x:c r="R779" s="16" t="str"/>
    </x:row>
    <x:row r="780" ht="28" customHeight="1">
      <x:c r="A780" s="21" t="n">
        <x:v>776</x:v>
      </x:c>
      <x:c r="B780" s="21" t="n">
        <x:f>ROUNDUP(A780/50,0)</x:f>
        <x:v>16</x:v>
      </x:c>
      <x:c r="C780" s="21" t="n">
        <x:f>MOD(A780-1,50)+1</x:f>
        <x:v>26</x:v>
      </x:c>
      <x:c r="D780" s="29" t="str">
        <x:v>ἀνομία, -ας, ἡ</x:v>
      </x:c>
      <x:c r="E780" s="29" t="str">
        <x:v>ἀνομία</x:v>
      </x:c>
      <x:c r="F780" s="27" t="str">
        <x:v>anomia</x:v>
      </x:c>
      <x:c r="G780" s="20" t="str">
        <x:v>illegality, i.e. violation of law or (genitive case) wickedness</x:v>
      </x:c>
      <x:c r="H780" s="20" t="str"/>
      <x:c r="I780" s="21"/>
      <x:c r="J780" s="21" t="str">
        <x:v>Mounce 頻率延伸</x:v>
      </x:c>
      <x:c r="K780" s="21" t="str">
        <x:v>G458</x:v>
      </x:c>
      <x:c r="L780" s="21" t="str">
        <x:v>否</x:v>
      </x:c>
      <x:c r="M780" s="21" t="str"/>
      <x:c r="N780" s="21" t="str">
        <x:v>source_and_lexicon_matched</x:v>
      </x:c>
      <x:c r="O780" s="21" t="str">
        <x:v>rule_generated_from_official_table</x:v>
      </x:c>
      <x:c r="P780" s="21" t="n">
        <x:v>13</x:v>
      </x:c>
      <x:c r="Q780" s="21" t="str">
        <x:v>https://doxa.billmounce.com/Flashcards%20%28BBG%29.pdf</x:v>
      </x:c>
      <x:c r="R780" s="16" t="str"/>
    </x:row>
    <x:row r="781" ht="28" customHeight="1">
      <x:c r="A781" s="21" t="n">
        <x:v>777</x:v>
      </x:c>
      <x:c r="B781" s="21" t="n">
        <x:f>ROUNDUP(A781/50,0)</x:f>
        <x:v>16</x:v>
      </x:c>
      <x:c r="C781" s="21" t="n">
        <x:f>MOD(A781-1,50)+1</x:f>
        <x:v>27</x:v>
      </x:c>
      <x:c r="D781" s="29" t="str">
        <x:v>ἀπάγω</x:v>
      </x:c>
      <x:c r="E781" s="29" t="str">
        <x:v>ἀπάγω</x:v>
      </x:c>
      <x:c r="F781" s="27" t="str">
        <x:v>apagō</x:v>
      </x:c>
      <x:c r="G781" s="20" t="str">
        <x:v>to take off (in various senses)</x:v>
      </x:c>
      <x:c r="H781" s="20" t="str"/>
      <x:c r="I781" s="21"/>
      <x:c r="J781" s="21" t="str">
        <x:v>Mounce 頻率延伸</x:v>
      </x:c>
      <x:c r="K781" s="21" t="str">
        <x:v>G520</x:v>
      </x:c>
      <x:c r="L781" s="21" t="str">
        <x:v>否</x:v>
      </x:c>
      <x:c r="M781" s="21" t="str"/>
      <x:c r="N781" s="21" t="str">
        <x:v>source_and_lexicon_matched</x:v>
      </x:c>
      <x:c r="O781" s="21" t="str">
        <x:v>rule_generated_from_official_table</x:v>
      </x:c>
      <x:c r="P781" s="21" t="n">
        <x:v>13</x:v>
      </x:c>
      <x:c r="Q781" s="21" t="str">
        <x:v>https://doxa.billmounce.com/Flashcards%20%28BBG%29.pdf</x:v>
      </x:c>
      <x:c r="R781" s="16" t="str"/>
    </x:row>
    <x:row r="782" ht="28" customHeight="1">
      <x:c r="A782" s="21" t="n">
        <x:v>778</x:v>
      </x:c>
      <x:c r="B782" s="21" t="n">
        <x:f>ROUNDUP(A782/50,0)</x:f>
        <x:v>16</x:v>
      </x:c>
      <x:c r="C782" s="21" t="n">
        <x:f>MOD(A782-1,50)+1</x:f>
        <x:v>28</x:v>
      </x:c>
      <x:c r="D782" s="29" t="str">
        <x:v>γεύομαι</x:v>
      </x:c>
      <x:c r="E782" s="29" t="str">
        <x:v>γεύομαι</x:v>
      </x:c>
      <x:c r="F782" s="27" t="str">
        <x:v>geuomai</x:v>
      </x:c>
      <x:c r="G782" s="20" t="str">
        <x:v>to taste; by implication, to eat; figuratively, to experience (good or ill)</x:v>
      </x:c>
      <x:c r="H782" s="20" t="str"/>
      <x:c r="I782" s="21"/>
      <x:c r="J782" s="21" t="str">
        <x:v>Mounce 頻率延伸</x:v>
      </x:c>
      <x:c r="K782" s="21" t="str">
        <x:v>G1089</x:v>
      </x:c>
      <x:c r="L782" s="21" t="str">
        <x:v>否</x:v>
      </x:c>
      <x:c r="M782" s="21" t="str"/>
      <x:c r="N782" s="21" t="str">
        <x:v>source_and_lexicon_matched</x:v>
      </x:c>
      <x:c r="O782" s="21" t="str">
        <x:v>rule_generated_from_official_table</x:v>
      </x:c>
      <x:c r="P782" s="21" t="n">
        <x:v>13</x:v>
      </x:c>
      <x:c r="Q782" s="21" t="str">
        <x:v>https://doxa.billmounce.com/Flashcards%20%28BBG%29.pdf</x:v>
      </x:c>
      <x:c r="R782" s="16" t="str"/>
    </x:row>
    <x:row r="783" ht="28" customHeight="1">
      <x:c r="A783" s="21" t="n">
        <x:v>779</x:v>
      </x:c>
      <x:c r="B783" s="21" t="n">
        <x:f>ROUNDUP(A783/50,0)</x:f>
        <x:v>16</x:v>
      </x:c>
      <x:c r="C783" s="21" t="n">
        <x:f>MOD(A783-1,50)+1</x:f>
        <x:v>29</x:v>
      </x:c>
      <x:c r="D783" s="29" t="str">
        <x:v>γνωστός, -ή, -όν</x:v>
      </x:c>
      <x:c r="E783" s="29" t="str">
        <x:v>γνωστός</x:v>
      </x:c>
      <x:c r="F783" s="27" t="str">
        <x:v>gnōstos</x:v>
      </x:c>
      <x:c r="G783" s="20" t="str">
        <x:v>well-known</x:v>
      </x:c>
      <x:c r="H783" s="20" t="str"/>
      <x:c r="I783" s="21"/>
      <x:c r="J783" s="21" t="str">
        <x:v>Mounce 頻率延伸</x:v>
      </x:c>
      <x:c r="K783" s="21" t="str">
        <x:v>G1110</x:v>
      </x:c>
      <x:c r="L783" s="21" t="str">
        <x:v>否</x:v>
      </x:c>
      <x:c r="M783" s="21" t="str"/>
      <x:c r="N783" s="21" t="str">
        <x:v>source_and_lexicon_matched</x:v>
      </x:c>
      <x:c r="O783" s="21" t="str">
        <x:v>rule_generated_from_official_table</x:v>
      </x:c>
      <x:c r="P783" s="21" t="n">
        <x:v>13</x:v>
      </x:c>
      <x:c r="Q783" s="21" t="str">
        <x:v>https://doxa.billmounce.com/Flashcards%20%28BBG%29.pdf</x:v>
      </x:c>
      <x:c r="R783" s="16" t="str"/>
    </x:row>
    <x:row r="784" ht="28" customHeight="1">
      <x:c r="A784" s="21" t="n">
        <x:v>780</x:v>
      </x:c>
      <x:c r="B784" s="21" t="n">
        <x:f>ROUNDUP(A784/50,0)</x:f>
        <x:v>16</x:v>
      </x:c>
      <x:c r="C784" s="21" t="n">
        <x:f>MOD(A784-1,50)+1</x:f>
        <x:v>30</x:v>
      </x:c>
      <x:c r="D784" s="29" t="str">
        <x:v>γυμνός, -ή, -όν</x:v>
      </x:c>
      <x:c r="E784" s="29" t="str">
        <x:v>γυμνός</x:v>
      </x:c>
      <x:c r="F784" s="27" t="str">
        <x:v>gumnos</x:v>
      </x:c>
      <x:c r="G784" s="20" t="str">
        <x:v>nude (absolute or relative, literal or figurative)</x:v>
      </x:c>
      <x:c r="H784" s="20" t="str"/>
      <x:c r="I784" s="21"/>
      <x:c r="J784" s="21" t="str">
        <x:v>Mounce 頻率延伸</x:v>
      </x:c>
      <x:c r="K784" s="21" t="str">
        <x:v>G1131</x:v>
      </x:c>
      <x:c r="L784" s="21" t="str">
        <x:v>否</x:v>
      </x:c>
      <x:c r="M784" s="21" t="str"/>
      <x:c r="N784" s="21" t="str">
        <x:v>source_and_lexicon_matched</x:v>
      </x:c>
      <x:c r="O784" s="21" t="str">
        <x:v>rule_generated_from_official_table</x:v>
      </x:c>
      <x:c r="P784" s="21" t="n">
        <x:v>14</x:v>
      </x:c>
      <x:c r="Q784" s="21" t="str">
        <x:v>https://doxa.billmounce.com/Flashcards%20%28BBG%29.pdf</x:v>
      </x:c>
      <x:c r="R784" s="16" t="str"/>
    </x:row>
    <x:row r="785" ht="28" customHeight="1">
      <x:c r="A785" s="21" t="n">
        <x:v>781</x:v>
      </x:c>
      <x:c r="B785" s="21" t="n">
        <x:f>ROUNDUP(A785/50,0)</x:f>
        <x:v>16</x:v>
      </x:c>
      <x:c r="C785" s="21" t="n">
        <x:f>MOD(A785-1,50)+1</x:f>
        <x:v>31</x:v>
      </x:c>
      <x:c r="D785" s="29" t="str">
        <x:v>Δαμασκός, -οῦ, ὁ</x:v>
      </x:c>
      <x:c r="E785" s="29" t="str">
        <x:v>Δαμασκός</x:v>
      </x:c>
      <x:c r="F785" s="27" t="str">
        <x:v>Damaskos</x:v>
      </x:c>
      <x:c r="G785" s="20" t="str">
        <x:v>Damascus, a city of Syria</x:v>
      </x:c>
      <x:c r="H785" s="20" t="str"/>
      <x:c r="I785" s="21"/>
      <x:c r="J785" s="21" t="str">
        <x:v>Mounce 頻率延伸</x:v>
      </x:c>
      <x:c r="K785" s="21" t="str">
        <x:v>G1154</x:v>
      </x:c>
      <x:c r="L785" s="21" t="str">
        <x:v>是</x:v>
      </x:c>
      <x:c r="M785" s="21" t="str">
        <x:v>地名</x:v>
      </x:c>
      <x:c r="N785" s="21" t="str">
        <x:v>source_and_lexicon_matched</x:v>
      </x:c>
      <x:c r="O785" s="21" t="str">
        <x:v>rule_generated_from_official_table</x:v>
      </x:c>
      <x:c r="P785" s="21" t="n">
        <x:v>14</x:v>
      </x:c>
      <x:c r="Q785" s="21" t="str">
        <x:v>https://doxa.billmounce.com/Flashcards%20%28BBG%29.pdf</x:v>
      </x:c>
      <x:c r="R785" s="16" t="str"/>
    </x:row>
    <x:row r="786" ht="28" customHeight="1">
      <x:c r="A786" s="21" t="n">
        <x:v>782</x:v>
      </x:c>
      <x:c r="B786" s="21" t="n">
        <x:f>ROUNDUP(A786/50,0)</x:f>
        <x:v>16</x:v>
      </x:c>
      <x:c r="C786" s="21" t="n">
        <x:f>MOD(A786-1,50)+1</x:f>
        <x:v>32</x:v>
      </x:c>
      <x:c r="D786" s="29" t="str">
        <x:v>δέρω</x:v>
      </x:c>
      <x:c r="E786" s="29" t="str">
        <x:v>δέρω</x:v>
      </x:c>
      <x:c r="F786" s="27" t="str">
        <x:v>derō</x:v>
      </x:c>
      <x:c r="G786" s="20" t="str">
        <x:v>properly, to flay, i.e. (by implication) to scourge, or (by analogy) to thrash</x:v>
      </x:c>
      <x:c r="H786" s="20" t="str"/>
      <x:c r="I786" s="21"/>
      <x:c r="J786" s="21" t="str">
        <x:v>Mounce 頻率延伸</x:v>
      </x:c>
      <x:c r="K786" s="21" t="str">
        <x:v>G1194</x:v>
      </x:c>
      <x:c r="L786" s="21" t="str">
        <x:v>否</x:v>
      </x:c>
      <x:c r="M786" s="21" t="str"/>
      <x:c r="N786" s="21" t="str">
        <x:v>source_and_lexicon_matched</x:v>
      </x:c>
      <x:c r="O786" s="21" t="str">
        <x:v>rule_generated_from_official_table</x:v>
      </x:c>
      <x:c r="P786" s="21" t="n">
        <x:v>14</x:v>
      </x:c>
      <x:c r="Q786" s="21" t="str">
        <x:v>https://doxa.billmounce.com/Flashcards%20%28BBG%29.pdf</x:v>
      </x:c>
      <x:c r="R786" s="16" t="str"/>
    </x:row>
    <x:row r="787" ht="28" customHeight="1">
      <x:c r="A787" s="21" t="n">
        <x:v>783</x:v>
      </x:c>
      <x:c r="B787" s="21" t="n">
        <x:f>ROUNDUP(A787/50,0)</x:f>
        <x:v>16</x:v>
      </x:c>
      <x:c r="C787" s="21" t="n">
        <x:f>MOD(A787-1,50)+1</x:f>
        <x:v>33</x:v>
      </x:c>
      <x:c r="D787" s="29" t="str">
        <x:v>διαμαρτύρομαι</x:v>
      </x:c>
      <x:c r="E787" s="29" t="str">
        <x:v>διαμαρτύρομαι</x:v>
      </x:c>
      <x:c r="F787" s="27" t="str">
        <x:v>diamarturomai</x:v>
      </x:c>
      <x:c r="G787" s="20" t="str">
        <x:v>to attest or protest earnestly, or (by implication) hortatively</x:v>
      </x:c>
      <x:c r="H787" s="20" t="str"/>
      <x:c r="I787" s="21"/>
      <x:c r="J787" s="21" t="str">
        <x:v>Mounce 頻率延伸</x:v>
      </x:c>
      <x:c r="K787" s="21" t="str">
        <x:v>G1263</x:v>
      </x:c>
      <x:c r="L787" s="21" t="str">
        <x:v>否</x:v>
      </x:c>
      <x:c r="M787" s="21" t="str"/>
      <x:c r="N787" s="21" t="str">
        <x:v>source_and_lexicon_matched</x:v>
      </x:c>
      <x:c r="O787" s="21" t="str">
        <x:v>rule_generated_from_official_table</x:v>
      </x:c>
      <x:c r="P787" s="21" t="n">
        <x:v>14</x:v>
      </x:c>
      <x:c r="Q787" s="21" t="str">
        <x:v>https://doxa.billmounce.com/Flashcards%20%28BBG%29.pdf</x:v>
      </x:c>
      <x:c r="R787" s="16" t="str"/>
    </x:row>
    <x:row r="788" ht="28" customHeight="1">
      <x:c r="A788" s="21" t="n">
        <x:v>784</x:v>
      </x:c>
      <x:c r="B788" s="21" t="n">
        <x:f>ROUNDUP(A788/50,0)</x:f>
        <x:v>16</x:v>
      </x:c>
      <x:c r="C788" s="21" t="n">
        <x:f>MOD(A788-1,50)+1</x:f>
        <x:v>34</x:v>
      </x:c>
      <x:c r="D788" s="29" t="str">
        <x:v>εἶτα</x:v>
      </x:c>
      <x:c r="E788" s="29" t="str">
        <x:v>εἶτα</x:v>
      </x:c>
      <x:c r="F788" s="27" t="str">
        <x:v>eita</x:v>
      </x:c>
      <x:c r="G788" s="20" t="str">
        <x:v>a particle of succession (in time or logical enumeration), then, moreover</x:v>
      </x:c>
      <x:c r="H788" s="20" t="str"/>
      <x:c r="I788" s="21"/>
      <x:c r="J788" s="21" t="str">
        <x:v>Mounce 頻率延伸</x:v>
      </x:c>
      <x:c r="K788" s="21" t="str">
        <x:v>G1534</x:v>
      </x:c>
      <x:c r="L788" s="21" t="str">
        <x:v>否</x:v>
      </x:c>
      <x:c r="M788" s="21" t="str"/>
      <x:c r="N788" s="21" t="str">
        <x:v>source_and_lexicon_matched</x:v>
      </x:c>
      <x:c r="O788" s="21" t="str">
        <x:v>rule_generated_from_official_table</x:v>
      </x:c>
      <x:c r="P788" s="21" t="n">
        <x:v>14</x:v>
      </x:c>
      <x:c r="Q788" s="21" t="str">
        <x:v>https://doxa.billmounce.com/Flashcards%20%28BBG%29.pdf</x:v>
      </x:c>
      <x:c r="R788" s="16" t="str"/>
    </x:row>
    <x:row r="789" ht="28" customHeight="1">
      <x:c r="A789" s="21" t="n">
        <x:v>785</x:v>
      </x:c>
      <x:c r="B789" s="21" t="n">
        <x:f>ROUNDUP(A789/50,0)</x:f>
        <x:v>16</x:v>
      </x:c>
      <x:c r="C789" s="21" t="n">
        <x:f>MOD(A789-1,50)+1</x:f>
        <x:v>35</x:v>
      </x:c>
      <x:c r="D789" s="29" t="str">
        <x:v>ἐλαία, -ας, ἡ</x:v>
      </x:c>
      <x:c r="E789" s="29" t="str">
        <x:v>ἐλαία</x:v>
      </x:c>
      <x:c r="F789" s="27" t="str">
        <x:v>elaia</x:v>
      </x:c>
      <x:c r="G789" s="20" t="str">
        <x:v>an olive (the tree or the fruit)</x:v>
      </x:c>
      <x:c r="H789" s="20" t="str"/>
      <x:c r="I789" s="21"/>
      <x:c r="J789" s="21" t="str">
        <x:v>Mounce 頻率延伸</x:v>
      </x:c>
      <x:c r="K789" s="21" t="str">
        <x:v>G1636</x:v>
      </x:c>
      <x:c r="L789" s="21" t="str">
        <x:v>否</x:v>
      </x:c>
      <x:c r="M789" s="21" t="str"/>
      <x:c r="N789" s="21" t="str">
        <x:v>source_and_lexicon_matched</x:v>
      </x:c>
      <x:c r="O789" s="21" t="str">
        <x:v>rule_generated_from_official_table</x:v>
      </x:c>
      <x:c r="P789" s="21" t="n">
        <x:v>14</x:v>
      </x:c>
      <x:c r="Q789" s="21" t="str">
        <x:v>https://doxa.billmounce.com/Flashcards%20%28BBG%29.pdf</x:v>
      </x:c>
      <x:c r="R789" s="16" t="str"/>
    </x:row>
    <x:row r="790" ht="28" customHeight="1">
      <x:c r="A790" s="21" t="n">
        <x:v>786</x:v>
      </x:c>
      <x:c r="B790" s="21" t="n">
        <x:f>ROUNDUP(A790/50,0)</x:f>
        <x:v>16</x:v>
      </x:c>
      <x:c r="C790" s="21" t="n">
        <x:f>MOD(A790-1,50)+1</x:f>
        <x:v>36</x:v>
      </x:c>
      <x:c r="D790" s="29" t="str">
        <x:v>ἐντέλλω</x:v>
      </x:c>
      <x:c r="E790" s="29" t="str">
        <x:v>ἐντέλλω</x:v>
      </x:c>
      <x:c r="F790" s="27" t="str">
        <x:v>entellō</x:v>
      </x:c>
      <x:c r="G790" s="20" t="str"/>
      <x:c r="H790" s="20" t="str"/>
      <x:c r="I790" s="21"/>
      <x:c r="J790" s="21" t="str">
        <x:v>Mounce 頻率延伸</x:v>
      </x:c>
      <x:c r="K790" s="21" t="str"/>
      <x:c r="L790" s="21" t="str">
        <x:v>否</x:v>
      </x:c>
      <x:c r="M790" s="21" t="str"/>
      <x:c r="N790" s="21" t="str">
        <x:v>source_verified_lexicon_pending</x:v>
      </x:c>
      <x:c r="O790" s="21" t="str">
        <x:v>rule_generated_from_official_table</x:v>
      </x:c>
      <x:c r="P790" s="21" t="n">
        <x:v>14</x:v>
      </x:c>
      <x:c r="Q790" s="21" t="str">
        <x:v>https://doxa.billmounce.com/Flashcards%20%28BBG%29.pdf</x:v>
      </x:c>
      <x:c r="R790" s="16" t="str"/>
    </x:row>
    <x:row r="791" ht="28" customHeight="1">
      <x:c r="A791" s="21" t="n">
        <x:v>787</x:v>
      </x:c>
      <x:c r="B791" s="21" t="n">
        <x:f>ROUNDUP(A791/50,0)</x:f>
        <x:v>16</x:v>
      </x:c>
      <x:c r="C791" s="21" t="n">
        <x:f>MOD(A791-1,50)+1</x:f>
        <x:v>37</x:v>
      </x:c>
      <x:c r="D791" s="29" t="str">
        <x:v>ἐπαγγέλλομαι</x:v>
      </x:c>
      <x:c r="E791" s="29" t="str">
        <x:v>ἐπαγγέλλομαι</x:v>
      </x:c>
      <x:c r="F791" s="27" t="str">
        <x:v>epangellomai</x:v>
      </x:c>
      <x:c r="G791" s="20" t="str"/>
      <x:c r="H791" s="20" t="str"/>
      <x:c r="I791" s="21"/>
      <x:c r="J791" s="21" t="str">
        <x:v>Mounce 頻率延伸</x:v>
      </x:c>
      <x:c r="K791" s="21" t="str"/>
      <x:c r="L791" s="21" t="str">
        <x:v>否</x:v>
      </x:c>
      <x:c r="M791" s="21" t="str"/>
      <x:c r="N791" s="21" t="str">
        <x:v>source_verified_lexicon_pending</x:v>
      </x:c>
      <x:c r="O791" s="21" t="str">
        <x:v>rule_generated_from_official_table</x:v>
      </x:c>
      <x:c r="P791" s="21" t="n">
        <x:v>14</x:v>
      </x:c>
      <x:c r="Q791" s="21" t="str">
        <x:v>https://doxa.billmounce.com/Flashcards%20%28BBG%29.pdf</x:v>
      </x:c>
      <x:c r="R791" s="16" t="str"/>
    </x:row>
    <x:row r="792" ht="28" customHeight="1">
      <x:c r="A792" s="21" t="n">
        <x:v>788</x:v>
      </x:c>
      <x:c r="B792" s="21" t="n">
        <x:f>ROUNDUP(A792/50,0)</x:f>
        <x:v>16</x:v>
      </x:c>
      <x:c r="C792" s="21" t="n">
        <x:f>MOD(A792-1,50)+1</x:f>
        <x:v>38</x:v>
      </x:c>
      <x:c r="D792" s="29" t="str">
        <x:v>εὐσέβεια, -ας, ἡ</x:v>
      </x:c>
      <x:c r="E792" s="29" t="str">
        <x:v>εὐσέβεια</x:v>
      </x:c>
      <x:c r="F792" s="27" t="str">
        <x:v>eusebeia</x:v>
      </x:c>
      <x:c r="G792" s="20" t="str">
        <x:v>piety; specially, the gospel scheme</x:v>
      </x:c>
      <x:c r="H792" s="20" t="str"/>
      <x:c r="I792" s="21"/>
      <x:c r="J792" s="21" t="str">
        <x:v>Mounce 頻率延伸</x:v>
      </x:c>
      <x:c r="K792" s="21" t="str">
        <x:v>G2150</x:v>
      </x:c>
      <x:c r="L792" s="21" t="str">
        <x:v>否</x:v>
      </x:c>
      <x:c r="M792" s="21" t="str"/>
      <x:c r="N792" s="21" t="str">
        <x:v>source_and_lexicon_matched</x:v>
      </x:c>
      <x:c r="O792" s="21" t="str">
        <x:v>rule_generated_from_official_table</x:v>
      </x:c>
      <x:c r="P792" s="21" t="n">
        <x:v>14</x:v>
      </x:c>
      <x:c r="Q792" s="21" t="str">
        <x:v>https://doxa.billmounce.com/Flashcards%20%28BBG%29.pdf</x:v>
      </x:c>
      <x:c r="R792" s="16" t="str"/>
    </x:row>
    <x:row r="793" ht="28" customHeight="1">
      <x:c r="A793" s="21" t="n">
        <x:v>789</x:v>
      </x:c>
      <x:c r="B793" s="21" t="n">
        <x:f>ROUNDUP(A793/50,0)</x:f>
        <x:v>16</x:v>
      </x:c>
      <x:c r="C793" s="21" t="n">
        <x:f>MOD(A793-1,50)+1</x:f>
        <x:v>39</x:v>
      </x:c>
      <x:c r="D793" s="29" t="str">
        <x:v>εὐχαριστία, -ας, ἡ</x:v>
      </x:c>
      <x:c r="E793" s="29" t="str">
        <x:v>εὐχαριστία</x:v>
      </x:c>
      <x:c r="F793" s="27" t="str">
        <x:v>eucharistia</x:v>
      </x:c>
      <x:c r="G793" s="20" t="str">
        <x:v>gratitude; actively, grateful language (to God, as an act of worship)</x:v>
      </x:c>
      <x:c r="H793" s="20" t="str"/>
      <x:c r="I793" s="21"/>
      <x:c r="J793" s="21" t="str">
        <x:v>Mounce 頻率延伸</x:v>
      </x:c>
      <x:c r="K793" s="21" t="str">
        <x:v>G2169</x:v>
      </x:c>
      <x:c r="L793" s="21" t="str">
        <x:v>否</x:v>
      </x:c>
      <x:c r="M793" s="21" t="str"/>
      <x:c r="N793" s="21" t="str">
        <x:v>source_and_lexicon_matched</x:v>
      </x:c>
      <x:c r="O793" s="21" t="str">
        <x:v>rule_generated_from_official_table</x:v>
      </x:c>
      <x:c r="P793" s="21" t="n">
        <x:v>14</x:v>
      </x:c>
      <x:c r="Q793" s="21" t="str">
        <x:v>https://doxa.billmounce.com/Flashcards%20%28BBG%29.pdf</x:v>
      </x:c>
      <x:c r="R793" s="16" t="str"/>
    </x:row>
    <x:row r="794" ht="28" customHeight="1">
      <x:c r="A794" s="21" t="n">
        <x:v>790</x:v>
      </x:c>
      <x:c r="B794" s="21" t="n">
        <x:f>ROUNDUP(A794/50,0)</x:f>
        <x:v>16</x:v>
      </x:c>
      <x:c r="C794" s="21" t="n">
        <x:f>MOD(A794-1,50)+1</x:f>
        <x:v>40</x:v>
      </x:c>
      <x:c r="D794" s="29" t="str">
        <x:v>θεμέλιος, -ου, ὁ</x:v>
      </x:c>
      <x:c r="E794" s="29" t="str">
        <x:v>θεμέλιος</x:v>
      </x:c>
      <x:c r="F794" s="27" t="str">
        <x:v>themelios</x:v>
      </x:c>
      <x:c r="G794" s="20" t="str">
        <x:v>something put down, i.e. a substruction (of a building, etc.), (literally or figuratively)</x:v>
      </x:c>
      <x:c r="H794" s="20" t="str"/>
      <x:c r="I794" s="21"/>
      <x:c r="J794" s="21" t="str">
        <x:v>Mounce 頻率延伸</x:v>
      </x:c>
      <x:c r="K794" s="21" t="str">
        <x:v>G2310</x:v>
      </x:c>
      <x:c r="L794" s="21" t="str">
        <x:v>否</x:v>
      </x:c>
      <x:c r="M794" s="21" t="str"/>
      <x:c r="N794" s="21" t="str">
        <x:v>source_and_lexicon_matched</x:v>
      </x:c>
      <x:c r="O794" s="21" t="str">
        <x:v>rule_generated_from_official_table</x:v>
      </x:c>
      <x:c r="P794" s="21" t="n">
        <x:v>14</x:v>
      </x:c>
      <x:c r="Q794" s="21" t="str">
        <x:v>https://doxa.billmounce.com/Flashcards%20%28BBG%29.pdf</x:v>
      </x:c>
      <x:c r="R794" s="16" t="str"/>
    </x:row>
    <x:row r="795" ht="28" customHeight="1">
      <x:c r="A795" s="21" t="n">
        <x:v>791</x:v>
      </x:c>
      <x:c r="B795" s="21" t="n">
        <x:f>ROUNDUP(A795/50,0)</x:f>
        <x:v>16</x:v>
      </x:c>
      <x:c r="C795" s="21" t="n">
        <x:f>MOD(A795-1,50)+1</x:f>
        <x:v>41</x:v>
      </x:c>
      <x:c r="D795" s="29" t="str">
        <x:v>θρίξ, τριχός, ἡ</x:v>
      </x:c>
      <x:c r="E795" s="29" t="str">
        <x:v>θρίξ</x:v>
      </x:c>
      <x:c r="F795" s="27" t="str">
        <x:v>thrix</x:v>
      </x:c>
      <x:c r="G795" s="20" t="str">
        <x:v>of uncertain derivation; hair</x:v>
      </x:c>
      <x:c r="H795" s="20" t="str"/>
      <x:c r="I795" s="21"/>
      <x:c r="J795" s="21" t="str">
        <x:v>Mounce 頻率延伸</x:v>
      </x:c>
      <x:c r="K795" s="21" t="str">
        <x:v>G2359</x:v>
      </x:c>
      <x:c r="L795" s="21" t="str">
        <x:v>否</x:v>
      </x:c>
      <x:c r="M795" s="21" t="str"/>
      <x:c r="N795" s="21" t="str">
        <x:v>source_and_lexicon_matched</x:v>
      </x:c>
      <x:c r="O795" s="21" t="str">
        <x:v>rule_generated_from_official_table</x:v>
      </x:c>
      <x:c r="P795" s="21" t="n">
        <x:v>14</x:v>
      </x:c>
      <x:c r="Q795" s="21" t="str">
        <x:v>https://doxa.billmounce.com/Flashcards%20%28BBG%29.pdf</x:v>
      </x:c>
      <x:c r="R795" s="16" t="str"/>
    </x:row>
    <x:row r="796" ht="28" customHeight="1">
      <x:c r="A796" s="21" t="n">
        <x:v>792</x:v>
      </x:c>
      <x:c r="B796" s="21" t="n">
        <x:f>ROUNDUP(A796/50,0)</x:f>
        <x:v>16</x:v>
      </x:c>
      <x:c r="C796" s="21" t="n">
        <x:f>MOD(A796-1,50)+1</x:f>
        <x:v>42</x:v>
      </x:c>
      <x:c r="D796" s="29" t="str">
        <x:v>Ἰορδάνης, -ου, ὁ</x:v>
      </x:c>
      <x:c r="E796" s="29" t="str">
        <x:v>Ἰορδάνης</x:v>
      </x:c>
      <x:c r="F796" s="27" t="str">
        <x:v>Iordanēs</x:v>
      </x:c>
      <x:c r="G796" s="20" t="str">
        <x:v>the Jordanes (i.e. Jarden), a river of Palestine</x:v>
      </x:c>
      <x:c r="H796" s="20" t="str"/>
      <x:c r="I796" s="21"/>
      <x:c r="J796" s="21" t="str">
        <x:v>Mounce 頻率延伸</x:v>
      </x:c>
      <x:c r="K796" s="21" t="str">
        <x:v>G2446</x:v>
      </x:c>
      <x:c r="L796" s="21" t="str">
        <x:v>是</x:v>
      </x:c>
      <x:c r="M796" s="21" t="str">
        <x:v>地名</x:v>
      </x:c>
      <x:c r="N796" s="21" t="str">
        <x:v>source_and_lexicon_matched</x:v>
      </x:c>
      <x:c r="O796" s="21" t="str">
        <x:v>rule_generated_from_official_table</x:v>
      </x:c>
      <x:c r="P796" s="21" t="n">
        <x:v>14</x:v>
      </x:c>
      <x:c r="Q796" s="21" t="str">
        <x:v>https://doxa.billmounce.com/Flashcards%20%28BBG%29.pdf</x:v>
      </x:c>
      <x:c r="R796" s="16" t="str"/>
    </x:row>
    <x:row r="797" ht="28" customHeight="1">
      <x:c r="A797" s="21" t="n">
        <x:v>793</x:v>
      </x:c>
      <x:c r="B797" s="21" t="n">
        <x:f>ROUNDUP(A797/50,0)</x:f>
        <x:v>16</x:v>
      </x:c>
      <x:c r="C797" s="21" t="n">
        <x:f>MOD(A797-1,50)+1</x:f>
        <x:v>43</x:v>
      </x:c>
      <x:c r="D797" s="29" t="str">
        <x:v>καταλαμβάνω</x:v>
      </x:c>
      <x:c r="E797" s="29" t="str">
        <x:v>καταλαμβάνω</x:v>
      </x:c>
      <x:c r="F797" s="27" t="str">
        <x:v>katalambanō</x:v>
      </x:c>
      <x:c r="G797" s="20" t="str">
        <x:v>to take eagerly, i.e. seize, possess, etc. (literally or figuratively)</x:v>
      </x:c>
      <x:c r="H797" s="20" t="str"/>
      <x:c r="I797" s="21"/>
      <x:c r="J797" s="21" t="str">
        <x:v>Mounce 頻率延伸</x:v>
      </x:c>
      <x:c r="K797" s="21" t="str">
        <x:v>G2638</x:v>
      </x:c>
      <x:c r="L797" s="21" t="str">
        <x:v>否</x:v>
      </x:c>
      <x:c r="M797" s="21" t="str"/>
      <x:c r="N797" s="21" t="str">
        <x:v>source_and_lexicon_matched</x:v>
      </x:c>
      <x:c r="O797" s="21" t="str">
        <x:v>rule_generated_from_official_table</x:v>
      </x:c>
      <x:c r="P797" s="21" t="n">
        <x:v>14</x:v>
      </x:c>
      <x:c r="Q797" s="21" t="str">
        <x:v>https://doxa.billmounce.com/Flashcards%20%28BBG%29.pdf</x:v>
      </x:c>
      <x:c r="R797" s="16" t="str"/>
    </x:row>
    <x:row r="798" ht="28" customHeight="1">
      <x:c r="A798" s="21" t="n">
        <x:v>794</x:v>
      </x:c>
      <x:c r="B798" s="21" t="n">
        <x:f>ROUNDUP(A798/50,0)</x:f>
        <x:v>16</x:v>
      </x:c>
      <x:c r="C798" s="21" t="n">
        <x:f>MOD(A798-1,50)+1</x:f>
        <x:v>44</x:v>
      </x:c>
      <x:c r="D798" s="29" t="str">
        <x:v>κληρονόμος, -ου, ὁ</x:v>
      </x:c>
      <x:c r="E798" s="29" t="str">
        <x:v>κληρονόμος</x:v>
      </x:c>
      <x:c r="F798" s="27" t="str">
        <x:v>klēronomos</x:v>
      </x:c>
      <x:c r="G798" s="20" t="str">
        <x:v>a sharer by lot, i.e. inheritor (literally or figuratively); by implication, a possessor</x:v>
      </x:c>
      <x:c r="H798" s="20" t="str"/>
      <x:c r="I798" s="21"/>
      <x:c r="J798" s="21" t="str">
        <x:v>Mounce 頻率延伸</x:v>
      </x:c>
      <x:c r="K798" s="21" t="str">
        <x:v>G2818</x:v>
      </x:c>
      <x:c r="L798" s="21" t="str">
        <x:v>否</x:v>
      </x:c>
      <x:c r="M798" s="21" t="str"/>
      <x:c r="N798" s="21" t="str">
        <x:v>source_and_lexicon_matched</x:v>
      </x:c>
      <x:c r="O798" s="21" t="str">
        <x:v>rule_generated_from_official_table</x:v>
      </x:c>
      <x:c r="P798" s="21" t="n">
        <x:v>14</x:v>
      </x:c>
      <x:c r="Q798" s="21" t="str">
        <x:v>https://doxa.billmounce.com/Flashcards%20%28BBG%29.pdf</x:v>
      </x:c>
      <x:c r="R798" s="16" t="str"/>
    </x:row>
    <x:row r="799" ht="28" customHeight="1">
      <x:c r="A799" s="21" t="n">
        <x:v>795</x:v>
      </x:c>
      <x:c r="B799" s="21" t="n">
        <x:f>ROUNDUP(A799/50,0)</x:f>
        <x:v>16</x:v>
      </x:c>
      <x:c r="C799" s="21" t="n">
        <x:f>MOD(A799-1,50)+1</x:f>
        <x:v>45</x:v>
      </x:c>
      <x:c r="D799" s="29" t="str">
        <x:v>κτίζω</x:v>
      </x:c>
      <x:c r="E799" s="29" t="str">
        <x:v>κτίζω</x:v>
      </x:c>
      <x:c r="F799" s="27" t="str">
        <x:v>ktizō</x:v>
      </x:c>
      <x:c r="G799" s="20" t="str">
        <x:v>to fabricate, i.e. found (form originally)</x:v>
      </x:c>
      <x:c r="H799" s="20" t="str"/>
      <x:c r="I799" s="21"/>
      <x:c r="J799" s="21" t="str">
        <x:v>Mounce 頻率延伸</x:v>
      </x:c>
      <x:c r="K799" s="21" t="str">
        <x:v>G2936</x:v>
      </x:c>
      <x:c r="L799" s="21" t="str">
        <x:v>否</x:v>
      </x:c>
      <x:c r="M799" s="21" t="str"/>
      <x:c r="N799" s="21" t="str">
        <x:v>source_and_lexicon_matched</x:v>
      </x:c>
      <x:c r="O799" s="21" t="str">
        <x:v>rule_generated_from_official_table</x:v>
      </x:c>
      <x:c r="P799" s="21" t="n">
        <x:v>14</x:v>
      </x:c>
      <x:c r="Q799" s="21" t="str">
        <x:v>https://doxa.billmounce.com/Flashcards%20%28BBG%29.pdf</x:v>
      </x:c>
      <x:c r="R799" s="16" t="str"/>
    </x:row>
    <x:row r="800" ht="28" customHeight="1">
      <x:c r="A800" s="21" t="n">
        <x:v>796</x:v>
      </x:c>
      <x:c r="B800" s="21" t="n">
        <x:f>ROUNDUP(A800/50,0)</x:f>
        <x:v>16</x:v>
      </x:c>
      <x:c r="C800" s="21" t="n">
        <x:f>MOD(A800-1,50)+1</x:f>
        <x:v>46</x:v>
      </x:c>
      <x:c r="D800" s="29" t="str">
        <x:v>Λάζαρος, -ου, ὁ</x:v>
      </x:c>
      <x:c r="E800" s="29" t="str">
        <x:v>Λάζαρος</x:v>
      </x:c>
      <x:c r="F800" s="27" t="str">
        <x:v>Lazaros</x:v>
      </x:c>
      <x:c r="G800" s="20" t="str">
        <x:v>Lazarus (i.e. Elazar), the name of two Israelites (one imaginary)</x:v>
      </x:c>
      <x:c r="H800" s="20" t="str"/>
      <x:c r="I800" s="21"/>
      <x:c r="J800" s="21" t="str">
        <x:v>Mounce 頻率延伸</x:v>
      </x:c>
      <x:c r="K800" s="21" t="str">
        <x:v>G2976</x:v>
      </x:c>
      <x:c r="L800" s="21" t="str">
        <x:v>是</x:v>
      </x:c>
      <x:c r="M800" s="21" t="str">
        <x:v>人名</x:v>
      </x:c>
      <x:c r="N800" s="21" t="str">
        <x:v>source_and_lexicon_matched</x:v>
      </x:c>
      <x:c r="O800" s="21" t="str">
        <x:v>rule_generated_from_official_table</x:v>
      </x:c>
      <x:c r="P800" s="21" t="n">
        <x:v>14</x:v>
      </x:c>
      <x:c r="Q800" s="21" t="str">
        <x:v>https://doxa.billmounce.com/Flashcards%20%28BBG%29.pdf</x:v>
      </x:c>
      <x:c r="R800" s="16" t="str"/>
    </x:row>
    <x:row r="801" ht="28" customHeight="1">
      <x:c r="A801" s="21" t="n">
        <x:v>797</x:v>
      </x:c>
      <x:c r="B801" s="21" t="n">
        <x:f>ROUNDUP(A801/50,0)</x:f>
        <x:v>16</x:v>
      </x:c>
      <x:c r="C801" s="21" t="n">
        <x:f>MOD(A801-1,50)+1</x:f>
        <x:v>47</x:v>
      </x:c>
      <x:c r="D801" s="29" t="str">
        <x:v>λῃστής, -οῦ, ὁ</x:v>
      </x:c>
      <x:c r="E801" s="29" t="str">
        <x:v>λῃστής</x:v>
      </x:c>
      <x:c r="F801" s="27" t="str">
        <x:v>lēistēs</x:v>
      </x:c>
      <x:c r="G801" s="20" t="str">
        <x:v>a brigand</x:v>
      </x:c>
      <x:c r="H801" s="20" t="str"/>
      <x:c r="I801" s="21"/>
      <x:c r="J801" s="21" t="str">
        <x:v>Mounce 頻率延伸</x:v>
      </x:c>
      <x:c r="K801" s="21" t="str">
        <x:v>G3027</x:v>
      </x:c>
      <x:c r="L801" s="21" t="str">
        <x:v>否</x:v>
      </x:c>
      <x:c r="M801" s="21" t="str"/>
      <x:c r="N801" s="21" t="str">
        <x:v>source_and_lexicon_matched</x:v>
      </x:c>
      <x:c r="O801" s="21" t="str">
        <x:v>rule_generated_from_official_table</x:v>
      </x:c>
      <x:c r="P801" s="21" t="n">
        <x:v>14</x:v>
      </x:c>
      <x:c r="Q801" s="21" t="str">
        <x:v>https://doxa.billmounce.com/Flashcards%20%28BBG%29.pdf</x:v>
      </x:c>
      <x:c r="R801" s="16" t="str"/>
    </x:row>
    <x:row r="802" ht="28" customHeight="1">
      <x:c r="A802" s="21" t="n">
        <x:v>798</x:v>
      </x:c>
      <x:c r="B802" s="21" t="n">
        <x:f>ROUNDUP(A802/50,0)</x:f>
        <x:v>16</x:v>
      </x:c>
      <x:c r="C802" s="21" t="n">
        <x:f>MOD(A802-1,50)+1</x:f>
        <x:v>48</x:v>
      </x:c>
      <x:c r="D802" s="29" t="str">
        <x:v>μοιχεύω</x:v>
      </x:c>
      <x:c r="E802" s="29" t="str">
        <x:v>μοιχεύω</x:v>
      </x:c>
      <x:c r="F802" s="27" t="str">
        <x:v>moicheuō</x:v>
      </x:c>
      <x:c r="G802" s="20" t="str">
        <x:v>to commit adultery</x:v>
      </x:c>
      <x:c r="H802" s="20" t="str"/>
      <x:c r="I802" s="21"/>
      <x:c r="J802" s="21" t="str">
        <x:v>Mounce 頻率延伸</x:v>
      </x:c>
      <x:c r="K802" s="21" t="str">
        <x:v>G3431</x:v>
      </x:c>
      <x:c r="L802" s="21" t="str">
        <x:v>否</x:v>
      </x:c>
      <x:c r="M802" s="21" t="str"/>
      <x:c r="N802" s="21" t="str">
        <x:v>source_and_lexicon_matched</x:v>
      </x:c>
      <x:c r="O802" s="21" t="str">
        <x:v>rule_generated_from_official_table</x:v>
      </x:c>
      <x:c r="P802" s="21" t="n">
        <x:v>14</x:v>
      </x:c>
      <x:c r="Q802" s="21" t="str">
        <x:v>https://doxa.billmounce.com/Flashcards%20%28BBG%29.pdf</x:v>
      </x:c>
      <x:c r="R802" s="16" t="str"/>
    </x:row>
    <x:row r="803" ht="28" customHeight="1">
      <x:c r="A803" s="21" t="n">
        <x:v>799</x:v>
      </x:c>
      <x:c r="B803" s="21" t="n">
        <x:f>ROUNDUP(A803/50,0)</x:f>
        <x:v>16</x:v>
      </x:c>
      <x:c r="C803" s="21" t="n">
        <x:f>MOD(A803-1,50)+1</x:f>
        <x:v>49</x:v>
      </x:c>
      <x:c r="D803" s="29" t="str">
        <x:v>νήπιος, -ίου, ὁ</x:v>
      </x:c>
      <x:c r="E803" s="29" t="str">
        <x:v>νήπιος</x:v>
      </x:c>
      <x:c r="F803" s="27" t="str">
        <x:v>nēpios</x:v>
      </x:c>
      <x:c r="G803" s="20" t="str">
        <x:v>not speaking, i.e. an infant (minor); figuratively, a simple-minded person, an immature Christian</x:v>
      </x:c>
      <x:c r="H803" s="20" t="str"/>
      <x:c r="I803" s="21"/>
      <x:c r="J803" s="21" t="str">
        <x:v>Mounce 頻率延伸</x:v>
      </x:c>
      <x:c r="K803" s="21" t="str">
        <x:v>G3516</x:v>
      </x:c>
      <x:c r="L803" s="21" t="str">
        <x:v>否</x:v>
      </x:c>
      <x:c r="M803" s="21" t="str"/>
      <x:c r="N803" s="21" t="str">
        <x:v>source_and_lexicon_matched</x:v>
      </x:c>
      <x:c r="O803" s="21" t="str">
        <x:v>rule_generated_from_official_table</x:v>
      </x:c>
      <x:c r="P803" s="21" t="n">
        <x:v>14</x:v>
      </x:c>
      <x:c r="Q803" s="21" t="str">
        <x:v>https://doxa.billmounce.com/Flashcards%20%28BBG%29.pdf</x:v>
      </x:c>
      <x:c r="R803" s="16" t="str"/>
    </x:row>
    <x:row r="804" ht="28" customHeight="1">
      <x:c r="A804" s="21" t="n">
        <x:v>800</x:v>
      </x:c>
      <x:c r="B804" s="21" t="n">
        <x:f>ROUNDUP(A804/50,0)</x:f>
        <x:v>16</x:v>
      </x:c>
      <x:c r="C804" s="21" t="n">
        <x:f>MOD(A804-1,50)+1</x:f>
        <x:v>50</x:v>
      </x:c>
      <x:c r="D804" s="29" t="str">
        <x:v>νομίζω</x:v>
      </x:c>
      <x:c r="E804" s="29" t="str">
        <x:v>νομίζω</x:v>
      </x:c>
      <x:c r="F804" s="27" t="str">
        <x:v>nomizō</x:v>
      </x:c>
      <x:c r="G804" s="20" t="str">
        <x:v>properly, to do by law (usage), i.e. to accustom (passively, be usual); by extension, to deem or regard</x:v>
      </x:c>
      <x:c r="H804" s="20" t="str"/>
      <x:c r="I804" s="21"/>
      <x:c r="J804" s="21" t="str">
        <x:v>Mounce 頻率延伸</x:v>
      </x:c>
      <x:c r="K804" s="21" t="str">
        <x:v>G3543</x:v>
      </x:c>
      <x:c r="L804" s="21" t="str">
        <x:v>否</x:v>
      </x:c>
      <x:c r="M804" s="21" t="str"/>
      <x:c r="N804" s="21" t="str">
        <x:v>source_and_lexicon_matched</x:v>
      </x:c>
      <x:c r="O804" s="21" t="str">
        <x:v>rule_generated_from_official_table</x:v>
      </x:c>
      <x:c r="P804" s="21" t="n">
        <x:v>14</x:v>
      </x:c>
      <x:c r="Q804" s="21" t="str">
        <x:v>https://doxa.billmounce.com/Flashcards%20%28BBG%29.pdf</x:v>
      </x:c>
      <x:c r="R804" s="16" t="str"/>
    </x:row>
    <x:row r="805" ht="28" customHeight="1">
      <x:c r="A805" s="21" t="n">
        <x:v>801</x:v>
      </x:c>
      <x:c r="B805" s="21" t="n">
        <x:f>ROUNDUP(A805/50,0)</x:f>
        <x:v>17</x:v>
      </x:c>
      <x:c r="C805" s="21" t="n">
        <x:f>MOD(A805-1,50)+1</x:f>
        <x:v>1</x:v>
      </x:c>
      <x:c r="D805" s="29" t="str">
        <x:v>ξηραίνω</x:v>
      </x:c>
      <x:c r="E805" s="29" t="str">
        <x:v>ξηραίνω</x:v>
      </x:c>
      <x:c r="F805" s="27" t="str">
        <x:v>xērainō</x:v>
      </x:c>
      <x:c r="G805" s="20" t="str">
        <x:v>to desiccate; by implication, to shrivel, to mature</x:v>
      </x:c>
      <x:c r="H805" s="20" t="str"/>
      <x:c r="I805" s="21"/>
      <x:c r="J805" s="21" t="str">
        <x:v>Mounce 頻率延伸</x:v>
      </x:c>
      <x:c r="K805" s="21" t="str">
        <x:v>G3583</x:v>
      </x:c>
      <x:c r="L805" s="21" t="str">
        <x:v>否</x:v>
      </x:c>
      <x:c r="M805" s="21" t="str"/>
      <x:c r="N805" s="21" t="str">
        <x:v>source_and_lexicon_matched</x:v>
      </x:c>
      <x:c r="O805" s="21" t="str">
        <x:v>rule_generated_from_official_table</x:v>
      </x:c>
      <x:c r="P805" s="21" t="n">
        <x:v>14</x:v>
      </x:c>
      <x:c r="Q805" s="21" t="str">
        <x:v>https://doxa.billmounce.com/Flashcards%20%28BBG%29.pdf</x:v>
      </x:c>
      <x:c r="R805" s="16" t="str"/>
    </x:row>
    <x:row r="806" ht="28" customHeight="1">
      <x:c r="A806" s="21" t="n">
        <x:v>802</x:v>
      </x:c>
      <x:c r="B806" s="21" t="n">
        <x:f>ROUNDUP(A806/50,0)</x:f>
        <x:v>17</x:v>
      </x:c>
      <x:c r="C806" s="21" t="n">
        <x:f>MOD(A806-1,50)+1</x:f>
        <x:v>2</x:v>
      </x:c>
      <x:c r="D806" s="29" t="str">
        <x:v>ὅθεν</x:v>
      </x:c>
      <x:c r="E806" s="29" t="str">
        <x:v>ὅθεν</x:v>
      </x:c>
      <x:c r="F806" s="27" t="str">
        <x:v>hothen</x:v>
      </x:c>
      <x:c r="G806" s="20" t="str">
        <x:v>from which place or source or cause (adverb or conjunction)</x:v>
      </x:c>
      <x:c r="H806" s="20" t="str"/>
      <x:c r="I806" s="21"/>
      <x:c r="J806" s="21" t="str">
        <x:v>Mounce 頻率延伸</x:v>
      </x:c>
      <x:c r="K806" s="21" t="str">
        <x:v>G3606</x:v>
      </x:c>
      <x:c r="L806" s="21" t="str">
        <x:v>否</x:v>
      </x:c>
      <x:c r="M806" s="21" t="str"/>
      <x:c r="N806" s="21" t="str">
        <x:v>source_and_lexicon_matched</x:v>
      </x:c>
      <x:c r="O806" s="21" t="str">
        <x:v>rule_generated_from_official_table</x:v>
      </x:c>
      <x:c r="P806" s="21" t="n">
        <x:v>14</x:v>
      </x:c>
      <x:c r="Q806" s="21" t="str">
        <x:v>https://doxa.billmounce.com/Flashcards%20%28BBG%29.pdf</x:v>
      </x:c>
      <x:c r="R806" s="16" t="str"/>
    </x:row>
    <x:row r="807" ht="28" customHeight="1">
      <x:c r="A807" s="21" t="n">
        <x:v>803</x:v>
      </x:c>
      <x:c r="B807" s="21" t="n">
        <x:f>ROUNDUP(A807/50,0)</x:f>
        <x:v>17</x:v>
      </x:c>
      <x:c r="C807" s="21" t="n">
        <x:f>MOD(A807-1,50)+1</x:f>
        <x:v>3</x:v>
      </x:c>
      <x:c r="D807" s="29" t="str">
        <x:v>οἰκουμένη, -ης, ἡ</x:v>
      </x:c>
      <x:c r="E807" s="29" t="str">
        <x:v>οἰκουμένη</x:v>
      </x:c>
      <x:c r="F807" s="27" t="str">
        <x:v>oikoumenē</x:v>
      </x:c>
      <x:c r="G807" s="20" t="str">
        <x:v>land, i.e. the (terrene part of the) globe; specially, the Roman empire</x:v>
      </x:c>
      <x:c r="H807" s="20" t="str"/>
      <x:c r="I807" s="21"/>
      <x:c r="J807" s="21" t="str">
        <x:v>Mounce 頻率延伸</x:v>
      </x:c>
      <x:c r="K807" s="21" t="str">
        <x:v>G3625</x:v>
      </x:c>
      <x:c r="L807" s="21" t="str">
        <x:v>否</x:v>
      </x:c>
      <x:c r="M807" s="21" t="str"/>
      <x:c r="N807" s="21" t="str">
        <x:v>source_and_lexicon_matched</x:v>
      </x:c>
      <x:c r="O807" s="21" t="str">
        <x:v>rule_generated_from_official_table</x:v>
      </x:c>
      <x:c r="P807" s="21" t="n">
        <x:v>14</x:v>
      </x:c>
      <x:c r="Q807" s="21" t="str">
        <x:v>https://doxa.billmounce.com/Flashcards%20%28BBG%29.pdf</x:v>
      </x:c>
      <x:c r="R807" s="16" t="str"/>
    </x:row>
    <x:row r="808" ht="28" customHeight="1">
      <x:c r="A808" s="21" t="n">
        <x:v>804</x:v>
      </x:c>
      <x:c r="B808" s="21" t="n">
        <x:f>ROUNDUP(A808/50,0)</x:f>
        <x:v>17</x:v>
      </x:c>
      <x:c r="C808" s="21" t="n">
        <x:f>MOD(A808-1,50)+1</x:f>
        <x:v>4</x:v>
      </x:c>
      <x:c r="D808" s="29" t="str">
        <x:v>ὁμοιόω</x:v>
      </x:c>
      <x:c r="E808" s="29" t="str">
        <x:v>ὁμοιόω</x:v>
      </x:c>
      <x:c r="F808" s="27" t="str">
        <x:v>homoioō</x:v>
      </x:c>
      <x:c r="G808" s="20" t="str">
        <x:v>to assimilate, i.e. compare; passively, to become similar</x:v>
      </x:c>
      <x:c r="H808" s="20" t="str"/>
      <x:c r="I808" s="21"/>
      <x:c r="J808" s="21" t="str">
        <x:v>Mounce 頻率延伸</x:v>
      </x:c>
      <x:c r="K808" s="21" t="str">
        <x:v>G3666</x:v>
      </x:c>
      <x:c r="L808" s="21" t="str">
        <x:v>否</x:v>
      </x:c>
      <x:c r="M808" s="21" t="str"/>
      <x:c r="N808" s="21" t="str">
        <x:v>source_and_lexicon_matched</x:v>
      </x:c>
      <x:c r="O808" s="21" t="str">
        <x:v>rule_generated_from_official_table</x:v>
      </x:c>
      <x:c r="P808" s="21" t="n">
        <x:v>14</x:v>
      </x:c>
      <x:c r="Q808" s="21" t="str">
        <x:v>https://doxa.billmounce.com/Flashcards%20%28BBG%29.pdf</x:v>
      </x:c>
      <x:c r="R808" s="16" t="str"/>
    </x:row>
    <x:row r="809" ht="28" customHeight="1">
      <x:c r="A809" s="21" t="n">
        <x:v>805</x:v>
      </x:c>
      <x:c r="B809" s="21" t="n">
        <x:f>ROUNDUP(A809/50,0)</x:f>
        <x:v>17</x:v>
      </x:c>
      <x:c r="C809" s="21" t="n">
        <x:f>MOD(A809-1,50)+1</x:f>
        <x:v>5</x:v>
      </x:c>
      <x:c r="D809" s="29" t="str">
        <x:v>ὄψιος, -α, -ον</x:v>
      </x:c>
      <x:c r="E809" s="29" t="str">
        <x:v>ὄψιος</x:v>
      </x:c>
      <x:c r="F809" s="27" t="str">
        <x:v>opsios</x:v>
      </x:c>
      <x:c r="G809" s="20" t="str">
        <x:v>late; feminine (as noun) afternoon (early eve) or nightfall (later eve)</x:v>
      </x:c>
      <x:c r="H809" s="20" t="str"/>
      <x:c r="I809" s="21"/>
      <x:c r="J809" s="21" t="str">
        <x:v>Mounce 頻率延伸</x:v>
      </x:c>
      <x:c r="K809" s="21" t="str">
        <x:v>G3798</x:v>
      </x:c>
      <x:c r="L809" s="21" t="str">
        <x:v>否</x:v>
      </x:c>
      <x:c r="M809" s="21" t="str"/>
      <x:c r="N809" s="21" t="str">
        <x:v>source_and_lexicon_matched</x:v>
      </x:c>
      <x:c r="O809" s="21" t="str">
        <x:v>rule_generated_from_official_table</x:v>
      </x:c>
      <x:c r="P809" s="21" t="n">
        <x:v>14</x:v>
      </x:c>
      <x:c r="Q809" s="21" t="str">
        <x:v>https://doxa.billmounce.com/Flashcards%20%28BBG%29.pdf</x:v>
      </x:c>
      <x:c r="R809" s="16" t="str"/>
    </x:row>
    <x:row r="810" ht="28" customHeight="1">
      <x:c r="A810" s="21" t="n">
        <x:v>806</x:v>
      </x:c>
      <x:c r="B810" s="21" t="n">
        <x:f>ROUNDUP(A810/50,0)</x:f>
        <x:v>17</x:v>
      </x:c>
      <x:c r="C810" s="21" t="n">
        <x:f>MOD(A810-1,50)+1</x:f>
        <x:v>6</x:v>
      </x:c>
      <x:c r="D810" s="29" t="str">
        <x:v>παρθένος, -ου, ἡ</x:v>
      </x:c>
      <x:c r="E810" s="29" t="str">
        <x:v>παρθένος</x:v>
      </x:c>
      <x:c r="F810" s="27" t="str">
        <x:v>parthenos</x:v>
      </x:c>
      <x:c r="G810" s="20" t="str">
        <x:v>a maiden; by implication, an unmarried daughter</x:v>
      </x:c>
      <x:c r="H810" s="20" t="str"/>
      <x:c r="I810" s="21"/>
      <x:c r="J810" s="21" t="str">
        <x:v>Mounce 頻率延伸</x:v>
      </x:c>
      <x:c r="K810" s="21" t="str">
        <x:v>G3933</x:v>
      </x:c>
      <x:c r="L810" s="21" t="str">
        <x:v>否</x:v>
      </x:c>
      <x:c r="M810" s="21" t="str"/>
      <x:c r="N810" s="21" t="str">
        <x:v>source_and_lexicon_matched</x:v>
      </x:c>
      <x:c r="O810" s="21" t="str">
        <x:v>rule_generated_from_official_table</x:v>
      </x:c>
      <x:c r="P810" s="21" t="n">
        <x:v>14</x:v>
      </x:c>
      <x:c r="Q810" s="21" t="str">
        <x:v>https://doxa.billmounce.com/Flashcards%20%28BBG%29.pdf</x:v>
      </x:c>
      <x:c r="R810" s="16" t="str"/>
    </x:row>
    <x:row r="811" ht="28" customHeight="1">
      <x:c r="A811" s="21" t="n">
        <x:v>807</x:v>
      </x:c>
      <x:c r="B811" s="21" t="n">
        <x:f>ROUNDUP(A811/50,0)</x:f>
        <x:v>17</x:v>
      </x:c>
      <x:c r="C811" s="21" t="n">
        <x:f>MOD(A811-1,50)+1</x:f>
        <x:v>7</x:v>
      </x:c>
      <x:c r="D811" s="29" t="str">
        <x:v>παύω</x:v>
      </x:c>
      <x:c r="E811" s="29" t="str">
        <x:v>παύω</x:v>
      </x:c>
      <x:c r="F811" s="27" t="str">
        <x:v>pauō</x:v>
      </x:c>
      <x:c r="G811" s="20" t="str">
        <x:v>to stop (transitively or intransitively), i.e. restrain, quit, desist, come to an end</x:v>
      </x:c>
      <x:c r="H811" s="20" t="str"/>
      <x:c r="I811" s="21"/>
      <x:c r="J811" s="21" t="str">
        <x:v>Mounce 頻率延伸</x:v>
      </x:c>
      <x:c r="K811" s="21" t="str">
        <x:v>G3973</x:v>
      </x:c>
      <x:c r="L811" s="21" t="str">
        <x:v>否</x:v>
      </x:c>
      <x:c r="M811" s="21" t="str"/>
      <x:c r="N811" s="21" t="str">
        <x:v>source_and_lexicon_matched</x:v>
      </x:c>
      <x:c r="O811" s="21" t="str">
        <x:v>rule_generated_from_official_table</x:v>
      </x:c>
      <x:c r="P811" s="21" t="n">
        <x:v>14</x:v>
      </x:c>
      <x:c r="Q811" s="21" t="str">
        <x:v>https://doxa.billmounce.com/Flashcards%20%28BBG%29.pdf</x:v>
      </x:c>
      <x:c r="R811" s="16" t="str"/>
    </x:row>
    <x:row r="812" ht="28" customHeight="1">
      <x:c r="A812" s="21" t="n">
        <x:v>808</x:v>
      </x:c>
      <x:c r="B812" s="21" t="n">
        <x:f>ROUNDUP(A812/50,0)</x:f>
        <x:v>17</x:v>
      </x:c>
      <x:c r="C812" s="21" t="n">
        <x:f>MOD(A812-1,50)+1</x:f>
        <x:v>8</x:v>
      </x:c>
      <x:c r="D812" s="29" t="str">
        <x:v>πέτρα, -ας, ἡ</x:v>
      </x:c>
      <x:c r="E812" s="29" t="str">
        <x:v>πέτρα</x:v>
      </x:c>
      <x:c r="F812" s="27" t="str">
        <x:v>petra</x:v>
      </x:c>
      <x:c r="G812" s="20" t="str">
        <x:v>a (mass of) rock (literally or figuratively)</x:v>
      </x:c>
      <x:c r="H812" s="20" t="str"/>
      <x:c r="I812" s="21"/>
      <x:c r="J812" s="21" t="str">
        <x:v>Mounce 頻率延伸</x:v>
      </x:c>
      <x:c r="K812" s="21" t="str">
        <x:v>G4073</x:v>
      </x:c>
      <x:c r="L812" s="21" t="str">
        <x:v>否</x:v>
      </x:c>
      <x:c r="M812" s="21" t="str"/>
      <x:c r="N812" s="21" t="str">
        <x:v>source_and_lexicon_matched</x:v>
      </x:c>
      <x:c r="O812" s="21" t="str">
        <x:v>rule_generated_from_official_table</x:v>
      </x:c>
      <x:c r="P812" s="21" t="n">
        <x:v>14</x:v>
      </x:c>
      <x:c r="Q812" s="21" t="str">
        <x:v>https://doxa.billmounce.com/Flashcards%20%28BBG%29.pdf</x:v>
      </x:c>
      <x:c r="R812" s="16" t="str"/>
    </x:row>
    <x:row r="813" ht="28" customHeight="1">
      <x:c r="A813" s="21" t="n">
        <x:v>809</x:v>
      </x:c>
      <x:c r="B813" s="21" t="n">
        <x:f>ROUNDUP(A813/50,0)</x:f>
        <x:v>17</x:v>
      </x:c>
      <x:c r="C813" s="21" t="n">
        <x:f>MOD(A813-1,50)+1</x:f>
        <x:v>9</x:v>
      </x:c>
      <x:c r="D813" s="29" t="str">
        <x:v>ποτίζω</x:v>
      </x:c>
      <x:c r="E813" s="29" t="str">
        <x:v>ποτίζω</x:v>
      </x:c>
      <x:c r="F813" s="27" t="str">
        <x:v>potizō</x:v>
      </x:c>
      <x:c r="G813" s="20" t="str">
        <x:v>to furnish drink, irrigate</x:v>
      </x:c>
      <x:c r="H813" s="20" t="str"/>
      <x:c r="I813" s="21"/>
      <x:c r="J813" s="21" t="str">
        <x:v>Mounce 頻率延伸</x:v>
      </x:c>
      <x:c r="K813" s="21" t="str">
        <x:v>G4222</x:v>
      </x:c>
      <x:c r="L813" s="21" t="str">
        <x:v>否</x:v>
      </x:c>
      <x:c r="M813" s="21" t="str"/>
      <x:c r="N813" s="21" t="str">
        <x:v>source_and_lexicon_matched</x:v>
      </x:c>
      <x:c r="O813" s="21" t="str">
        <x:v>rule_generated_from_official_table</x:v>
      </x:c>
      <x:c r="P813" s="21" t="n">
        <x:v>14</x:v>
      </x:c>
      <x:c r="Q813" s="21" t="str">
        <x:v>https://doxa.billmounce.com/Flashcards%20%28BBG%29.pdf</x:v>
      </x:c>
      <x:c r="R813" s="16" t="str"/>
    </x:row>
    <x:row r="814" ht="28" customHeight="1">
      <x:c r="A814" s="21" t="n">
        <x:v>810</x:v>
      </x:c>
      <x:c r="B814" s="21" t="n">
        <x:f>ROUNDUP(A814/50,0)</x:f>
        <x:v>17</x:v>
      </x:c>
      <x:c r="C814" s="21" t="n">
        <x:f>MOD(A814-1,50)+1</x:f>
        <x:v>10</x:v>
      </x:c>
      <x:c r="D814" s="29" t="str">
        <x:v>προλέγω</x:v>
      </x:c>
      <x:c r="E814" s="29" t="str">
        <x:v>προλέγω</x:v>
      </x:c>
      <x:c r="F814" s="27" t="str">
        <x:v>prolegō</x:v>
      </x:c>
      <x:c r="G814" s="20" t="str">
        <x:v>to say beforehand, i.e. predict, forewarn</x:v>
      </x:c>
      <x:c r="H814" s="20" t="str"/>
      <x:c r="I814" s="21"/>
      <x:c r="J814" s="21" t="str">
        <x:v>Mounce 頻率延伸</x:v>
      </x:c>
      <x:c r="K814" s="21" t="str">
        <x:v>G4302</x:v>
      </x:c>
      <x:c r="L814" s="21" t="str">
        <x:v>否</x:v>
      </x:c>
      <x:c r="M814" s="21" t="str"/>
      <x:c r="N814" s="21" t="str">
        <x:v>source_and_lexicon_matched</x:v>
      </x:c>
      <x:c r="O814" s="21" t="str">
        <x:v>rule_generated_from_official_table</x:v>
      </x:c>
      <x:c r="P814" s="21" t="n">
        <x:v>14</x:v>
      </x:c>
      <x:c r="Q814" s="21" t="str">
        <x:v>https://doxa.billmounce.com/Flashcards%20%28BBG%29.pdf</x:v>
      </x:c>
      <x:c r="R814" s="16" t="str"/>
    </x:row>
    <x:row r="815" ht="28" customHeight="1">
      <x:c r="A815" s="21" t="n">
        <x:v>811</x:v>
      </x:c>
      <x:c r="B815" s="21" t="n">
        <x:f>ROUNDUP(A815/50,0)</x:f>
        <x:v>17</x:v>
      </x:c>
      <x:c r="C815" s="21" t="n">
        <x:f>MOD(A815-1,50)+1</x:f>
        <x:v>11</x:v>
      </x:c>
      <x:c r="D815" s="29" t="str">
        <x:v>πώς</x:v>
      </x:c>
      <x:c r="E815" s="29" t="str">
        <x:v>πώς</x:v>
      </x:c>
      <x:c r="F815" s="27" t="str">
        <x:v>pōs</x:v>
      </x:c>
      <x:c r="G815" s="20" t="str">
        <x:v>an enclitic particle of indefiniteness of manner; somehow or anyhow; used only in composition</x:v>
      </x:c>
      <x:c r="H815" s="20" t="str"/>
      <x:c r="I815" s="21"/>
      <x:c r="J815" s="21" t="str">
        <x:v>Mounce 頻率延伸</x:v>
      </x:c>
      <x:c r="K815" s="21" t="str">
        <x:v>G4458</x:v>
      </x:c>
      <x:c r="L815" s="21" t="str">
        <x:v>否</x:v>
      </x:c>
      <x:c r="M815" s="21" t="str"/>
      <x:c r="N815" s="21" t="str">
        <x:v>source_and_lexicon_matched</x:v>
      </x:c>
      <x:c r="O815" s="21" t="str">
        <x:v>rule_generated_from_official_table</x:v>
      </x:c>
      <x:c r="P815" s="21" t="n">
        <x:v>14</x:v>
      </x:c>
      <x:c r="Q815" s="21" t="str">
        <x:v>https://doxa.billmounce.com/Flashcards%20%28BBG%29.pdf</x:v>
      </x:c>
      <x:c r="R815" s="16" t="str"/>
    </x:row>
    <x:row r="816" ht="28" customHeight="1">
      <x:c r="A816" s="21" t="n">
        <x:v>812</x:v>
      </x:c>
      <x:c r="B816" s="21" t="n">
        <x:f>ROUNDUP(A816/50,0)</x:f>
        <x:v>17</x:v>
      </x:c>
      <x:c r="C816" s="21" t="n">
        <x:f>MOD(A816-1,50)+1</x:f>
        <x:v>12</x:v>
      </x:c>
      <x:c r="D816" s="29" t="str">
        <x:v>ῥαββί, ὁ</x:v>
      </x:c>
      <x:c r="E816" s="29" t="str">
        <x:v>ῥαββί</x:v>
      </x:c>
      <x:c r="F816" s="27" t="str">
        <x:v>rhabbi</x:v>
      </x:c>
      <x:c r="G816" s="20" t="str">
        <x:v>my master, i.e Rabbi, as an official title of honor</x:v>
      </x:c>
      <x:c r="H816" s="20" t="str"/>
      <x:c r="I816" s="21"/>
      <x:c r="J816" s="21" t="str">
        <x:v>Mounce 頻率延伸</x:v>
      </x:c>
      <x:c r="K816" s="21" t="str">
        <x:v>G4461</x:v>
      </x:c>
      <x:c r="L816" s="21" t="str">
        <x:v>否</x:v>
      </x:c>
      <x:c r="M816" s="21" t="str"/>
      <x:c r="N816" s="21" t="str">
        <x:v>source_and_lexicon_matched</x:v>
      </x:c>
      <x:c r="O816" s="21" t="str">
        <x:v>rule_generated_from_official_table</x:v>
      </x:c>
      <x:c r="P816" s="21" t="n">
        <x:v>14</x:v>
      </x:c>
      <x:c r="Q816" s="21" t="str">
        <x:v>https://doxa.billmounce.com/Flashcards%20%28BBG%29.pdf</x:v>
      </x:c>
      <x:c r="R816" s="16" t="str"/>
    </x:row>
    <x:row r="817" ht="28" customHeight="1">
      <x:c r="A817" s="21" t="n">
        <x:v>813</x:v>
      </x:c>
      <x:c r="B817" s="21" t="n">
        <x:f>ROUNDUP(A817/50,0)</x:f>
        <x:v>17</x:v>
      </x:c>
      <x:c r="C817" s="21" t="n">
        <x:f>MOD(A817-1,50)+1</x:f>
        <x:v>13</x:v>
      </x:c>
      <x:c r="D817" s="29" t="str">
        <x:v>σαλεύω</x:v>
      </x:c>
      <x:c r="E817" s="29" t="str">
        <x:v>σαλεύω</x:v>
      </x:c>
      <x:c r="F817" s="27" t="str">
        <x:v>saleuō</x:v>
      </x:c>
      <x:c r="G817" s="20" t="str">
        <x:v>to waver, i.e. agitate, rock, topple or (by implication) destroy; figuratively, to disturb, incite</x:v>
      </x:c>
      <x:c r="H817" s="20" t="str"/>
      <x:c r="I817" s="21"/>
      <x:c r="J817" s="21" t="str">
        <x:v>Mounce 頻率延伸</x:v>
      </x:c>
      <x:c r="K817" s="21" t="str">
        <x:v>G4531</x:v>
      </x:c>
      <x:c r="L817" s="21" t="str">
        <x:v>否</x:v>
      </x:c>
      <x:c r="M817" s="21" t="str"/>
      <x:c r="N817" s="21" t="str">
        <x:v>source_and_lexicon_matched</x:v>
      </x:c>
      <x:c r="O817" s="21" t="str">
        <x:v>rule_generated_from_official_table</x:v>
      </x:c>
      <x:c r="P817" s="21" t="n">
        <x:v>14</x:v>
      </x:c>
      <x:c r="Q817" s="21" t="str">
        <x:v>https://doxa.billmounce.com/Flashcards%20%28BBG%29.pdf</x:v>
      </x:c>
      <x:c r="R817" s="16" t="str"/>
    </x:row>
    <x:row r="818" ht="28" customHeight="1">
      <x:c r="A818" s="21" t="n">
        <x:v>814</x:v>
      </x:c>
      <x:c r="B818" s="21" t="n">
        <x:f>ROUNDUP(A818/50,0)</x:f>
        <x:v>17</x:v>
      </x:c>
      <x:c r="C818" s="21" t="n">
        <x:f>MOD(A818-1,50)+1</x:f>
        <x:v>14</x:v>
      </x:c>
      <x:c r="D818" s="29" t="str">
        <x:v>Σαῦλος, -ου, ὁ</x:v>
      </x:c>
      <x:c r="E818" s="29" t="str">
        <x:v>Σαῦλος</x:v>
      </x:c>
      <x:c r="F818" s="27" t="str">
        <x:v>Saulos</x:v>
      </x:c>
      <x:c r="G818" s="20" t="str">
        <x:v>Saulus (i.e. Shaul), the Jewish name of Paul</x:v>
      </x:c>
      <x:c r="H818" s="20" t="str"/>
      <x:c r="I818" s="21"/>
      <x:c r="J818" s="21" t="str">
        <x:v>Mounce 頻率延伸</x:v>
      </x:c>
      <x:c r="K818" s="21" t="str">
        <x:v>G4569</x:v>
      </x:c>
      <x:c r="L818" s="21" t="str">
        <x:v>是</x:v>
      </x:c>
      <x:c r="M818" s="21" t="str">
        <x:v>人名</x:v>
      </x:c>
      <x:c r="N818" s="21" t="str">
        <x:v>source_and_lexicon_matched</x:v>
      </x:c>
      <x:c r="O818" s="21" t="str">
        <x:v>rule_generated_from_official_table</x:v>
      </x:c>
      <x:c r="P818" s="21" t="n">
        <x:v>14</x:v>
      </x:c>
      <x:c r="Q818" s="21" t="str">
        <x:v>https://doxa.billmounce.com/Flashcards%20%28BBG%29.pdf</x:v>
      </x:c>
      <x:c r="R818" s="16" t="str"/>
    </x:row>
    <x:row r="819" ht="28" customHeight="1">
      <x:c r="A819" s="21" t="n">
        <x:v>815</x:v>
      </x:c>
      <x:c r="B819" s="21" t="n">
        <x:f>ROUNDUP(A819/50,0)</x:f>
        <x:v>17</x:v>
      </x:c>
      <x:c r="C819" s="21" t="n">
        <x:f>MOD(A819-1,50)+1</x:f>
        <x:v>15</x:v>
      </x:c>
      <x:c r="D819" s="29" t="str">
        <x:v>σκάνδαλον, -ου, τό</x:v>
      </x:c>
      <x:c r="E819" s="29" t="str">
        <x:v>σκάνδαλον</x:v>
      </x:c>
      <x:c r="F819" s="27" t="str">
        <x:v>skandalon</x:v>
      </x:c>
      <x:c r="G819" s="20" t="str">
        <x:v>a trap-stick (bent sapling), i.e. snare (figuratively, cause of displeasure or sin)</x:v>
      </x:c>
      <x:c r="H819" s="20" t="str"/>
      <x:c r="I819" s="21"/>
      <x:c r="J819" s="21" t="str">
        <x:v>Mounce 頻率延伸</x:v>
      </x:c>
      <x:c r="K819" s="21" t="str">
        <x:v>G4625</x:v>
      </x:c>
      <x:c r="L819" s="21" t="str">
        <x:v>否</x:v>
      </x:c>
      <x:c r="M819" s="21" t="str"/>
      <x:c r="N819" s="21" t="str">
        <x:v>source_and_lexicon_matched</x:v>
      </x:c>
      <x:c r="O819" s="21" t="str">
        <x:v>rule_generated_from_official_table</x:v>
      </x:c>
      <x:c r="P819" s="21" t="n">
        <x:v>14</x:v>
      </x:c>
      <x:c r="Q819" s="21" t="str">
        <x:v>https://doxa.billmounce.com/Flashcards%20%28BBG%29.pdf</x:v>
      </x:c>
      <x:c r="R819" s="16" t="str"/>
    </x:row>
    <x:row r="820" ht="28" customHeight="1">
      <x:c r="A820" s="21" t="n">
        <x:v>816</x:v>
      </x:c>
      <x:c r="B820" s="21" t="n">
        <x:f>ROUNDUP(A820/50,0)</x:f>
        <x:v>17</x:v>
      </x:c>
      <x:c r="C820" s="21" t="n">
        <x:f>MOD(A820-1,50)+1</x:f>
        <x:v>16</x:v>
      </x:c>
      <x:c r="D820" s="29" t="str">
        <x:v>συμφέρω</x:v>
      </x:c>
      <x:c r="E820" s="29" t="str">
        <x:v>συμφέρω</x:v>
      </x:c>
      <x:c r="F820" s="27" t="str">
        <x:v>sumpherō</x:v>
      </x:c>
      <x:c r="G820" s="20" t="str">
        <x:v>to bear together (contribute), i.e. (literally) to collect, or (figuratively) to conduce; especially (neuter participle as a noun) advantage</x:v>
      </x:c>
      <x:c r="H820" s="20" t="str"/>
      <x:c r="I820" s="21"/>
      <x:c r="J820" s="21" t="str">
        <x:v>Mounce 頻率延伸</x:v>
      </x:c>
      <x:c r="K820" s="21" t="str">
        <x:v>G4851</x:v>
      </x:c>
      <x:c r="L820" s="21" t="str">
        <x:v>否</x:v>
      </x:c>
      <x:c r="M820" s="21" t="str"/>
      <x:c r="N820" s="21" t="str">
        <x:v>source_and_lexicon_matched</x:v>
      </x:c>
      <x:c r="O820" s="21" t="str">
        <x:v>rule_generated_from_official_table</x:v>
      </x:c>
      <x:c r="P820" s="21" t="n">
        <x:v>14</x:v>
      </x:c>
      <x:c r="Q820" s="21" t="str">
        <x:v>https://doxa.billmounce.com/Flashcards%20%28BBG%29.pdf</x:v>
      </x:c>
      <x:c r="R820" s="16" t="str"/>
    </x:row>
    <x:row r="821" ht="28" customHeight="1">
      <x:c r="A821" s="21" t="n">
        <x:v>817</x:v>
      </x:c>
      <x:c r="B821" s="21" t="n">
        <x:f>ROUNDUP(A821/50,0)</x:f>
        <x:v>17</x:v>
      </x:c>
      <x:c r="C821" s="21" t="n">
        <x:f>MOD(A821-1,50)+1</x:f>
        <x:v>17</x:v>
      </x:c>
      <x:c r="D821" s="29" t="str">
        <x:v>σφραγίζω</x:v>
      </x:c>
      <x:c r="E821" s="29" t="str">
        <x:v>σφραγίζω</x:v>
      </x:c>
      <x:c r="F821" s="27" t="str">
        <x:v>sphragizō</x:v>
      </x:c>
      <x:c r="G821" s="20" t="str">
        <x:v>to stamp (with a signet or private mark) for security or preservation (literally or figuratively); by implication, to keep secret, to attest</x:v>
      </x:c>
      <x:c r="H821" s="20" t="str"/>
      <x:c r="I821" s="21"/>
      <x:c r="J821" s="21" t="str">
        <x:v>Mounce 頻率延伸</x:v>
      </x:c>
      <x:c r="K821" s="21" t="str">
        <x:v>G4972</x:v>
      </x:c>
      <x:c r="L821" s="21" t="str">
        <x:v>否</x:v>
      </x:c>
      <x:c r="M821" s="21" t="str"/>
      <x:c r="N821" s="21" t="str">
        <x:v>source_and_lexicon_matched</x:v>
      </x:c>
      <x:c r="O821" s="21" t="str">
        <x:v>rule_generated_from_official_table</x:v>
      </x:c>
      <x:c r="P821" s="21" t="n">
        <x:v>14</x:v>
      </x:c>
      <x:c r="Q821" s="21" t="str">
        <x:v>https://doxa.billmounce.com/Flashcards%20%28BBG%29.pdf</x:v>
      </x:c>
      <x:c r="R821" s="16" t="str"/>
    </x:row>
    <x:row r="822" ht="28" customHeight="1">
      <x:c r="A822" s="21" t="n">
        <x:v>818</x:v>
      </x:c>
      <x:c r="B822" s="21" t="n">
        <x:f>ROUNDUP(A822/50,0)</x:f>
        <x:v>17</x:v>
      </x:c>
      <x:c r="C822" s="21" t="n">
        <x:f>MOD(A822-1,50)+1</x:f>
        <x:v>18</x:v>
      </x:c>
      <x:c r="D822" s="29" t="str">
        <x:v>ταχέως</x:v>
      </x:c>
      <x:c r="E822" s="29" t="str">
        <x:v>ταχέως</x:v>
      </x:c>
      <x:c r="F822" s="27" t="str">
        <x:v>tacheōs</x:v>
      </x:c>
      <x:c r="G822" s="20" t="str">
        <x:v>briefly, i.e. (in time) speedily, or (in manner) rapidly</x:v>
      </x:c>
      <x:c r="H822" s="20" t="str"/>
      <x:c r="I822" s="21"/>
      <x:c r="J822" s="21" t="str">
        <x:v>Mounce 頻率延伸</x:v>
      </x:c>
      <x:c r="K822" s="21" t="str">
        <x:v>G5030</x:v>
      </x:c>
      <x:c r="L822" s="21" t="str">
        <x:v>否</x:v>
      </x:c>
      <x:c r="M822" s="21" t="str"/>
      <x:c r="N822" s="21" t="str">
        <x:v>source_and_lexicon_matched</x:v>
      </x:c>
      <x:c r="O822" s="21" t="str">
        <x:v>rule_generated_from_official_table</x:v>
      </x:c>
      <x:c r="P822" s="21" t="n">
        <x:v>14</x:v>
      </x:c>
      <x:c r="Q822" s="21" t="str">
        <x:v>https://doxa.billmounce.com/Flashcards%20%28BBG%29.pdf</x:v>
      </x:c>
      <x:c r="R822" s="16" t="str"/>
    </x:row>
    <x:row r="823" ht="28" customHeight="1">
      <x:c r="A823" s="21" t="n">
        <x:v>819</x:v>
      </x:c>
      <x:c r="B823" s="21" t="n">
        <x:f>ROUNDUP(A823/50,0)</x:f>
        <x:v>17</x:v>
      </x:c>
      <x:c r="C823" s="21" t="n">
        <x:f>MOD(A823-1,50)+1</x:f>
        <x:v>19</x:v>
      </x:c>
      <x:c r="D823" s="29" t="str">
        <x:v>τράπεζα, -ης, ἡ</x:v>
      </x:c>
      <x:c r="E823" s="29" t="str">
        <x:v>τράπεζα</x:v>
      </x:c>
      <x:c r="F823" s="27" t="str">
        <x:v>trapeza</x:v>
      </x:c>
      <x:c r="G823" s="20" t="str">
        <x:v>a table or stool (as being four-legged), usually for food (figuratively, a meal); also a counter for money (figuratively, a broker's office for loans at interest)</x:v>
      </x:c>
      <x:c r="H823" s="20" t="str"/>
      <x:c r="I823" s="21"/>
      <x:c r="J823" s="21" t="str">
        <x:v>Mounce 頻率延伸</x:v>
      </x:c>
      <x:c r="K823" s="21" t="str">
        <x:v>G5132</x:v>
      </x:c>
      <x:c r="L823" s="21" t="str">
        <x:v>否</x:v>
      </x:c>
      <x:c r="M823" s="21" t="str"/>
      <x:c r="N823" s="21" t="str">
        <x:v>source_and_lexicon_matched</x:v>
      </x:c>
      <x:c r="O823" s="21" t="str">
        <x:v>rule_generated_from_official_table</x:v>
      </x:c>
      <x:c r="P823" s="21" t="n">
        <x:v>14</x:v>
      </x:c>
      <x:c r="Q823" s="21" t="str">
        <x:v>https://doxa.billmounce.com/Flashcards%20%28BBG%29.pdf</x:v>
      </x:c>
      <x:c r="R823" s="16" t="str"/>
    </x:row>
    <x:row r="824" ht="28" customHeight="1">
      <x:c r="A824" s="21" t="n">
        <x:v>820</x:v>
      </x:c>
      <x:c r="B824" s="21" t="n">
        <x:f>ROUNDUP(A824/50,0)</x:f>
        <x:v>17</x:v>
      </x:c>
      <x:c r="C824" s="21" t="n">
        <x:f>MOD(A824-1,50)+1</x:f>
        <x:v>20</x:v>
      </x:c>
      <x:c r="D824" s="29" t="str">
        <x:v>τύπος, -ου, ὁ</x:v>
      </x:c>
      <x:c r="E824" s="29" t="str">
        <x:v>τύπος</x:v>
      </x:c>
      <x:c r="F824" s="27" t="str">
        <x:v>tupos</x:v>
      </x:c>
      <x:c r="G824" s="20" t="str">
        <x:v>a die (as struck), i.e. (by implication) a stamp or scar; by analogy, a shape, i.e. a statue, (figuratively) style or resemblance; specially, a sampler ("type"), i.e. a model (for imitation) or instance (for warning)</x:v>
      </x:c>
      <x:c r="H824" s="20" t="str"/>
      <x:c r="I824" s="21"/>
      <x:c r="J824" s="21" t="str">
        <x:v>Mounce 頻率延伸</x:v>
      </x:c>
      <x:c r="K824" s="21" t="str">
        <x:v>G5179</x:v>
      </x:c>
      <x:c r="L824" s="21" t="str">
        <x:v>否</x:v>
      </x:c>
      <x:c r="M824" s="21" t="str"/>
      <x:c r="N824" s="21" t="str">
        <x:v>source_and_lexicon_matched</x:v>
      </x:c>
      <x:c r="O824" s="21" t="str">
        <x:v>rule_generated_from_official_table</x:v>
      </x:c>
      <x:c r="P824" s="21" t="n">
        <x:v>14</x:v>
      </x:c>
      <x:c r="Q824" s="21" t="str">
        <x:v>https://doxa.billmounce.com/Flashcards%20%28BBG%29.pdf</x:v>
      </x:c>
      <x:c r="R824" s="16" t="str"/>
    </x:row>
    <x:row r="825" ht="28" customHeight="1">
      <x:c r="A825" s="21" t="n">
        <x:v>821</x:v>
      </x:c>
      <x:c r="B825" s="21" t="n">
        <x:f>ROUNDUP(A825/50,0)</x:f>
        <x:v>17</x:v>
      </x:c>
      <x:c r="C825" s="21" t="n">
        <x:f>MOD(A825-1,50)+1</x:f>
        <x:v>21</x:v>
      </x:c>
      <x:c r="D825" s="29" t="str">
        <x:v>ὑπακοή, -ῆς, ἡ</x:v>
      </x:c>
      <x:c r="E825" s="29" t="str">
        <x:v>ὑπακοή</x:v>
      </x:c>
      <x:c r="F825" s="27" t="str">
        <x:v>hupakoē</x:v>
      </x:c>
      <x:c r="G825" s="20" t="str">
        <x:v>attentive hearkening, i.e. (by implication) compliance or submission</x:v>
      </x:c>
      <x:c r="H825" s="20" t="str"/>
      <x:c r="I825" s="21"/>
      <x:c r="J825" s="21" t="str">
        <x:v>Mounce 頻率延伸</x:v>
      </x:c>
      <x:c r="K825" s="21" t="str">
        <x:v>G5218</x:v>
      </x:c>
      <x:c r="L825" s="21" t="str">
        <x:v>否</x:v>
      </x:c>
      <x:c r="M825" s="21" t="str"/>
      <x:c r="N825" s="21" t="str">
        <x:v>source_and_lexicon_matched</x:v>
      </x:c>
      <x:c r="O825" s="21" t="str">
        <x:v>rule_generated_from_official_table</x:v>
      </x:c>
      <x:c r="P825" s="21" t="n">
        <x:v>14</x:v>
      </x:c>
      <x:c r="Q825" s="21" t="str">
        <x:v>https://doxa.billmounce.com/Flashcards%20%28BBG%29.pdf</x:v>
      </x:c>
      <x:c r="R825" s="16" t="str"/>
    </x:row>
    <x:row r="826" ht="28" customHeight="1">
      <x:c r="A826" s="21" t="n">
        <x:v>822</x:v>
      </x:c>
      <x:c r="B826" s="21" t="n">
        <x:f>ROUNDUP(A826/50,0)</x:f>
        <x:v>17</x:v>
      </x:c>
      <x:c r="C826" s="21" t="n">
        <x:f>MOD(A826-1,50)+1</x:f>
        <x:v>22</x:v>
      </x:c>
      <x:c r="D826" s="29" t="str">
        <x:v>χόρτος, -ου, ὁ</x:v>
      </x:c>
      <x:c r="E826" s="29" t="str">
        <x:v>χόρτος</x:v>
      </x:c>
      <x:c r="F826" s="27" t="str">
        <x:v>chortos</x:v>
      </x:c>
      <x:c r="G826" s="20" t="str">
        <x:v>a "court" or "garden", i.e. (by implication, of pasture) herbage or vegetation</x:v>
      </x:c>
      <x:c r="H826" s="20" t="str"/>
      <x:c r="I826" s="21"/>
      <x:c r="J826" s="21" t="str">
        <x:v>Mounce 頻率延伸</x:v>
      </x:c>
      <x:c r="K826" s="21" t="str">
        <x:v>G5528</x:v>
      </x:c>
      <x:c r="L826" s="21" t="str">
        <x:v>否</x:v>
      </x:c>
      <x:c r="M826" s="21" t="str"/>
      <x:c r="N826" s="21" t="str">
        <x:v>source_and_lexicon_matched</x:v>
      </x:c>
      <x:c r="O826" s="21" t="str">
        <x:v>rule_generated_from_official_table</x:v>
      </x:c>
      <x:c r="P826" s="21" t="n">
        <x:v>14</x:v>
      </x:c>
      <x:c r="Q826" s="21" t="str">
        <x:v>https://doxa.billmounce.com/Flashcards%20%28BBG%29.pdf</x:v>
      </x:c>
      <x:c r="R826" s="16" t="str"/>
    </x:row>
    <x:row r="827" ht="28" customHeight="1">
      <x:c r="A827" s="21" t="n">
        <x:v>823</x:v>
      </x:c>
      <x:c r="B827" s="21" t="n">
        <x:f>ROUNDUP(A827/50,0)</x:f>
        <x:v>17</x:v>
      </x:c>
      <x:c r="C827" s="21" t="n">
        <x:f>MOD(A827-1,50)+1</x:f>
        <x:v>23</x:v>
      </x:c>
      <x:c r="D827" s="29" t="str">
        <x:v>ὠφελέω</x:v>
      </x:c>
      <x:c r="E827" s="29" t="str">
        <x:v>ὠφελέω</x:v>
      </x:c>
      <x:c r="F827" s="27" t="str">
        <x:v>ōpheleō</x:v>
      </x:c>
      <x:c r="G827" s="20" t="str">
        <x:v>to be useful, i.e. to benefit</x:v>
      </x:c>
      <x:c r="H827" s="20" t="str"/>
      <x:c r="I827" s="21"/>
      <x:c r="J827" s="21" t="str">
        <x:v>Mounce 頻率延伸</x:v>
      </x:c>
      <x:c r="K827" s="21" t="str">
        <x:v>G5623</x:v>
      </x:c>
      <x:c r="L827" s="21" t="str">
        <x:v>否</x:v>
      </x:c>
      <x:c r="M827" s="21" t="str"/>
      <x:c r="N827" s="21" t="str">
        <x:v>source_and_lexicon_matched</x:v>
      </x:c>
      <x:c r="O827" s="21" t="str">
        <x:v>rule_generated_from_official_table</x:v>
      </x:c>
      <x:c r="P827" s="21" t="n">
        <x:v>14</x:v>
      </x:c>
      <x:c r="Q827" s="21" t="str">
        <x:v>https://doxa.billmounce.com/Flashcards%20%28BBG%29.pdf</x:v>
      </x:c>
      <x:c r="R827" s="16" t="str"/>
    </x:row>
    <x:row r="828" ht="28" customHeight="1">
      <x:c r="A828" s="21" t="n">
        <x:v>824</x:v>
      </x:c>
      <x:c r="B828" s="21" t="n">
        <x:f>ROUNDUP(A828/50,0)</x:f>
        <x:v>17</x:v>
      </x:c>
      <x:c r="C828" s="21" t="n">
        <x:f>MOD(A828-1,50)+1</x:f>
        <x:v>24</x:v>
      </x:c>
      <x:c r="D828" s="29" t="str">
        <x:v>ἄκανθα, ης, ἡ</x:v>
      </x:c>
      <x:c r="E828" s="29" t="str">
        <x:v>ἄκανθα</x:v>
      </x:c>
      <x:c r="F828" s="27" t="str">
        <x:v>akantha</x:v>
      </x:c>
      <x:c r="G828" s="20" t="str">
        <x:v>a thorn</x:v>
      </x:c>
      <x:c r="H828" s="20" t="str"/>
      <x:c r="I828" s="21"/>
      <x:c r="J828" s="21" t="str">
        <x:v>Mounce 頻率延伸</x:v>
      </x:c>
      <x:c r="K828" s="21" t="str">
        <x:v>G173</x:v>
      </x:c>
      <x:c r="L828" s="21" t="str">
        <x:v>否</x:v>
      </x:c>
      <x:c r="M828" s="21" t="str"/>
      <x:c r="N828" s="21" t="str">
        <x:v>source_and_lexicon_matched</x:v>
      </x:c>
      <x:c r="O828" s="21" t="str">
        <x:v>rule_generated_from_official_table</x:v>
      </x:c>
      <x:c r="P828" s="21" t="n">
        <x:v>14</x:v>
      </x:c>
      <x:c r="Q828" s="21" t="str">
        <x:v>https://doxa.billmounce.com/Flashcards%20%28BBG%29.pdf</x:v>
      </x:c>
      <x:c r="R828" s="16" t="str"/>
    </x:row>
    <x:row r="829" ht="28" customHeight="1">
      <x:c r="A829" s="21" t="n">
        <x:v>825</x:v>
      </x:c>
      <x:c r="B829" s="21" t="n">
        <x:f>ROUNDUP(A829/50,0)</x:f>
        <x:v>17</x:v>
      </x:c>
      <x:c r="C829" s="21" t="n">
        <x:f>MOD(A829-1,50)+1</x:f>
        <x:v>25</x:v>
      </x:c>
      <x:c r="D829" s="29" t="str">
        <x:v>ἀλλότριος, -α, -ον</x:v>
      </x:c>
      <x:c r="E829" s="29" t="str">
        <x:v>ἀλλότριος</x:v>
      </x:c>
      <x:c r="F829" s="27" t="str">
        <x:v>allotrios</x:v>
      </x:c>
      <x:c r="G829" s="20" t="str">
        <x:v>another's, i.e. not one's own; by extension foreign, not akin, hostile</x:v>
      </x:c>
      <x:c r="H829" s="20" t="str"/>
      <x:c r="I829" s="21"/>
      <x:c r="J829" s="21" t="str">
        <x:v>Mounce 頻率延伸</x:v>
      </x:c>
      <x:c r="K829" s="21" t="str">
        <x:v>G245</x:v>
      </x:c>
      <x:c r="L829" s="21" t="str">
        <x:v>否</x:v>
      </x:c>
      <x:c r="M829" s="21" t="str"/>
      <x:c r="N829" s="21" t="str">
        <x:v>source_and_lexicon_matched</x:v>
      </x:c>
      <x:c r="O829" s="21" t="str">
        <x:v>rule_generated_from_official_table</x:v>
      </x:c>
      <x:c r="P829" s="21" t="n">
        <x:v>14</x:v>
      </x:c>
      <x:c r="Q829" s="21" t="str">
        <x:v>https://doxa.billmounce.com/Flashcards%20%28BBG%29.pdf</x:v>
      </x:c>
      <x:c r="R829" s="16" t="str"/>
    </x:row>
    <x:row r="830" ht="28" customHeight="1">
      <x:c r="A830" s="21" t="n">
        <x:v>826</x:v>
      </x:c>
      <x:c r="B830" s="21" t="n">
        <x:f>ROUNDUP(A830/50,0)</x:f>
        <x:v>17</x:v>
      </x:c>
      <x:c r="C830" s="21" t="n">
        <x:f>MOD(A830-1,50)+1</x:f>
        <x:v>26</x:v>
      </x:c>
      <x:c r="D830" s="29" t="str">
        <x:v>ἀμφότεροι, -αι, -α</x:v>
      </x:c>
      <x:c r="E830" s="29" t="str">
        <x:v>ἀμφότεροι</x:v>
      </x:c>
      <x:c r="F830" s="27" t="str">
        <x:v>amphoteroi</x:v>
      </x:c>
      <x:c r="G830" s="20" t="str"/>
      <x:c r="H830" s="20" t="str"/>
      <x:c r="I830" s="21"/>
      <x:c r="J830" s="21" t="str">
        <x:v>Mounce 頻率延伸</x:v>
      </x:c>
      <x:c r="K830" s="21" t="str"/>
      <x:c r="L830" s="21" t="str">
        <x:v>否</x:v>
      </x:c>
      <x:c r="M830" s="21" t="str"/>
      <x:c r="N830" s="21" t="str">
        <x:v>source_verified_lexicon_pending</x:v>
      </x:c>
      <x:c r="O830" s="21" t="str">
        <x:v>rule_generated_from_official_table</x:v>
      </x:c>
      <x:c r="P830" s="21" t="n">
        <x:v>14</x:v>
      </x:c>
      <x:c r="Q830" s="21" t="str">
        <x:v>https://doxa.billmounce.com/Flashcards%20%28BBG%29.pdf</x:v>
      </x:c>
      <x:c r="R830" s="16" t="str"/>
    </x:row>
    <x:row r="831" ht="28" customHeight="1">
      <x:c r="A831" s="21" t="n">
        <x:v>827</x:v>
      </x:c>
      <x:c r="B831" s="21" t="n">
        <x:f>ROUNDUP(A831/50,0)</x:f>
        <x:v>17</x:v>
      </x:c>
      <x:c r="C831" s="21" t="n">
        <x:f>MOD(A831-1,50)+1</x:f>
        <x:v>27</x:v>
      </x:c>
      <x:c r="D831" s="29" t="str">
        <x:v>ἀναγγέλλω</x:v>
      </x:c>
      <x:c r="E831" s="29" t="str">
        <x:v>ἀναγγέλλω</x:v>
      </x:c>
      <x:c r="F831" s="27" t="str">
        <x:v>anangellō</x:v>
      </x:c>
      <x:c r="G831" s="20" t="str">
        <x:v>to announce (in detail)</x:v>
      </x:c>
      <x:c r="H831" s="20" t="str"/>
      <x:c r="I831" s="21"/>
      <x:c r="J831" s="21" t="str">
        <x:v>Mounce 頻率延伸</x:v>
      </x:c>
      <x:c r="K831" s="21" t="str">
        <x:v>G312</x:v>
      </x:c>
      <x:c r="L831" s="21" t="str">
        <x:v>否</x:v>
      </x:c>
      <x:c r="M831" s="21" t="str"/>
      <x:c r="N831" s="21" t="str">
        <x:v>source_and_lexicon_matched</x:v>
      </x:c>
      <x:c r="O831" s="21" t="str">
        <x:v>rule_generated_from_official_table</x:v>
      </x:c>
      <x:c r="P831" s="21" t="n">
        <x:v>14</x:v>
      </x:c>
      <x:c r="Q831" s="21" t="str">
        <x:v>https://doxa.billmounce.com/Flashcards%20%28BBG%29.pdf</x:v>
      </x:c>
      <x:c r="R831" s="16" t="str"/>
    </x:row>
    <x:row r="832" ht="28" customHeight="1">
      <x:c r="A832" s="21" t="n">
        <x:v>828</x:v>
      </x:c>
      <x:c r="B832" s="21" t="n">
        <x:f>ROUNDUP(A832/50,0)</x:f>
        <x:v>17</x:v>
      </x:c>
      <x:c r="C832" s="21" t="n">
        <x:f>MOD(A832-1,50)+1</x:f>
        <x:v>28</x:v>
      </x:c>
      <x:c r="D832" s="29" t="str">
        <x:v>ἀνάκειμαι</x:v>
      </x:c>
      <x:c r="E832" s="29" t="str">
        <x:v>ἀνάκειμαι</x:v>
      </x:c>
      <x:c r="F832" s="27" t="str">
        <x:v>anakeimai</x:v>
      </x:c>
      <x:c r="G832" s="20" t="str">
        <x:v>to recline (as a corpse or at a meal)</x:v>
      </x:c>
      <x:c r="H832" s="20" t="str"/>
      <x:c r="I832" s="21"/>
      <x:c r="J832" s="21" t="str">
        <x:v>Mounce 頻率延伸</x:v>
      </x:c>
      <x:c r="K832" s="21" t="str">
        <x:v>G345</x:v>
      </x:c>
      <x:c r="L832" s="21" t="str">
        <x:v>否</x:v>
      </x:c>
      <x:c r="M832" s="21" t="str"/>
      <x:c r="N832" s="21" t="str">
        <x:v>source_and_lexicon_matched</x:v>
      </x:c>
      <x:c r="O832" s="21" t="str">
        <x:v>rule_generated_from_official_table</x:v>
      </x:c>
      <x:c r="P832" s="21" t="n">
        <x:v>14</x:v>
      </x:c>
      <x:c r="Q832" s="21" t="str">
        <x:v>https://doxa.billmounce.com/Flashcards%20%28BBG%29.pdf</x:v>
      </x:c>
      <x:c r="R832" s="16" t="str"/>
    </x:row>
    <x:row r="833" ht="28" customHeight="1">
      <x:c r="A833" s="21" t="n">
        <x:v>829</x:v>
      </x:c>
      <x:c r="B833" s="21" t="n">
        <x:f>ROUNDUP(A833/50,0)</x:f>
        <x:v>17</x:v>
      </x:c>
      <x:c r="C833" s="21" t="n">
        <x:f>MOD(A833-1,50)+1</x:f>
        <x:v>29</x:v>
      </x:c>
      <x:c r="D833" s="29" t="str">
        <x:v>ἀναχωρέω</x:v>
      </x:c>
      <x:c r="E833" s="29" t="str">
        <x:v>ἀναχωρέω</x:v>
      </x:c>
      <x:c r="F833" s="27" t="str">
        <x:v>anachōreō</x:v>
      </x:c>
      <x:c r="G833" s="20" t="str">
        <x:v>to retire</x:v>
      </x:c>
      <x:c r="H833" s="20" t="str"/>
      <x:c r="I833" s="21"/>
      <x:c r="J833" s="21" t="str">
        <x:v>Mounce 頻率延伸</x:v>
      </x:c>
      <x:c r="K833" s="21" t="str">
        <x:v>G402</x:v>
      </x:c>
      <x:c r="L833" s="21" t="str">
        <x:v>否</x:v>
      </x:c>
      <x:c r="M833" s="21" t="str"/>
      <x:c r="N833" s="21" t="str">
        <x:v>source_and_lexicon_matched</x:v>
      </x:c>
      <x:c r="O833" s="21" t="str">
        <x:v>rule_generated_from_official_table</x:v>
      </x:c>
      <x:c r="P833" s="21" t="n">
        <x:v>14</x:v>
      </x:c>
      <x:c r="Q833" s="21" t="str">
        <x:v>https://doxa.billmounce.com/Flashcards%20%28BBG%29.pdf</x:v>
      </x:c>
      <x:c r="R833" s="16" t="str"/>
    </x:row>
    <x:row r="834" ht="28" customHeight="1">
      <x:c r="A834" s="21" t="n">
        <x:v>830</x:v>
      </x:c>
      <x:c r="B834" s="21" t="n">
        <x:f>ROUNDUP(A834/50,0)</x:f>
        <x:v>17</x:v>
      </x:c>
      <x:c r="C834" s="21" t="n">
        <x:f>MOD(A834-1,50)+1</x:f>
        <x:v>30</x:v>
      </x:c>
      <x:c r="D834" s="29" t="str">
        <x:v>ἀνθίστημι</x:v>
      </x:c>
      <x:c r="E834" s="29" t="str">
        <x:v>ἀνθίστημι</x:v>
      </x:c>
      <x:c r="F834" s="27" t="str">
        <x:v>anthistēmi</x:v>
      </x:c>
      <x:c r="G834" s="20" t="str">
        <x:v>to stand against, i.e. oppose</x:v>
      </x:c>
      <x:c r="H834" s="20" t="str"/>
      <x:c r="I834" s="21"/>
      <x:c r="J834" s="21" t="str">
        <x:v>Mounce 頻率延伸</x:v>
      </x:c>
      <x:c r="K834" s="21" t="str">
        <x:v>G436</x:v>
      </x:c>
      <x:c r="L834" s="21" t="str">
        <x:v>否</x:v>
      </x:c>
      <x:c r="M834" s="21" t="str"/>
      <x:c r="N834" s="21" t="str">
        <x:v>source_and_lexicon_matched</x:v>
      </x:c>
      <x:c r="O834" s="21" t="str">
        <x:v>rule_generated_from_official_table</x:v>
      </x:c>
      <x:c r="P834" s="21" t="n">
        <x:v>14</x:v>
      </x:c>
      <x:c r="Q834" s="21" t="str">
        <x:v>https://doxa.billmounce.com/Flashcards%20%28BBG%29.pdf</x:v>
      </x:c>
      <x:c r="R834" s="16" t="str"/>
    </x:row>
    <x:row r="835" ht="28" customHeight="1">
      <x:c r="A835" s="21" t="n">
        <x:v>831</x:v>
      </x:c>
      <x:c r="B835" s="21" t="n">
        <x:f>ROUNDUP(A835/50,0)</x:f>
        <x:v>17</x:v>
      </x:c>
      <x:c r="C835" s="21" t="n">
        <x:f>MOD(A835-1,50)+1</x:f>
        <x:v>31</x:v>
      </x:c>
      <x:c r="D835" s="29" t="str">
        <x:v>ἅπαξ</x:v>
      </x:c>
      <x:c r="E835" s="29" t="str">
        <x:v>ἅπαξ</x:v>
      </x:c>
      <x:c r="F835" s="27" t="str">
        <x:v>hapax</x:v>
      </x:c>
      <x:c r="G835" s="20" t="str">
        <x:v>one (or a single) time (numerically or conclusively)</x:v>
      </x:c>
      <x:c r="H835" s="20" t="str"/>
      <x:c r="I835" s="21"/>
      <x:c r="J835" s="21" t="str">
        <x:v>Mounce 頻率延伸</x:v>
      </x:c>
      <x:c r="K835" s="21" t="str">
        <x:v>G530</x:v>
      </x:c>
      <x:c r="L835" s="21" t="str">
        <x:v>否</x:v>
      </x:c>
      <x:c r="M835" s="21" t="str"/>
      <x:c r="N835" s="21" t="str">
        <x:v>source_and_lexicon_matched</x:v>
      </x:c>
      <x:c r="O835" s="21" t="str">
        <x:v>rule_generated_from_official_table</x:v>
      </x:c>
      <x:c r="P835" s="21" t="n">
        <x:v>14</x:v>
      </x:c>
      <x:c r="Q835" s="21" t="str">
        <x:v>https://doxa.billmounce.com/Flashcards%20%28BBG%29.pdf</x:v>
      </x:c>
      <x:c r="R835" s="16" t="str"/>
    </x:row>
    <x:row r="836" ht="28" customHeight="1">
      <x:c r="A836" s="21" t="n">
        <x:v>832</x:v>
      </x:c>
      <x:c r="B836" s="21" t="n">
        <x:f>ROUNDUP(A836/50,0)</x:f>
        <x:v>17</x:v>
      </x:c>
      <x:c r="C836" s="21" t="n">
        <x:f>MOD(A836-1,50)+1</x:f>
        <x:v>32</x:v>
      </x:c>
      <x:c r="D836" s="29" t="str">
        <x:v>ἀπειθέω</x:v>
      </x:c>
      <x:c r="E836" s="29" t="str">
        <x:v>ἀπειθέω</x:v>
      </x:c>
      <x:c r="F836" s="27" t="str">
        <x:v>apeitheō</x:v>
      </x:c>
      <x:c r="G836" s="20" t="str">
        <x:v>to disbelieve (wilfully and perversely)</x:v>
      </x:c>
      <x:c r="H836" s="20" t="str"/>
      <x:c r="I836" s="21"/>
      <x:c r="J836" s="21" t="str">
        <x:v>Mounce 頻率延伸</x:v>
      </x:c>
      <x:c r="K836" s="21" t="str">
        <x:v>G544</x:v>
      </x:c>
      <x:c r="L836" s="21" t="str">
        <x:v>否</x:v>
      </x:c>
      <x:c r="M836" s="21" t="str"/>
      <x:c r="N836" s="21" t="str">
        <x:v>source_and_lexicon_matched</x:v>
      </x:c>
      <x:c r="O836" s="21" t="str">
        <x:v>rule_generated_from_official_table</x:v>
      </x:c>
      <x:c r="P836" s="21" t="n">
        <x:v>14</x:v>
      </x:c>
      <x:c r="Q836" s="21" t="str">
        <x:v>https://doxa.billmounce.com/Flashcards%20%28BBG%29.pdf</x:v>
      </x:c>
      <x:c r="R836" s="16" t="str"/>
    </x:row>
    <x:row r="837" ht="28" customHeight="1">
      <x:c r="A837" s="21" t="n">
        <x:v>833</x:v>
      </x:c>
      <x:c r="B837" s="21" t="n">
        <x:f>ROUNDUP(A837/50,0)</x:f>
        <x:v>17</x:v>
      </x:c>
      <x:c r="C837" s="21" t="n">
        <x:f>MOD(A837-1,50)+1</x:f>
        <x:v>33</x:v>
      </x:c>
      <x:c r="D837" s="29" t="str">
        <x:v>ἁρπάζω</x:v>
      </x:c>
      <x:c r="E837" s="29" t="str">
        <x:v>ἁρπάζω</x:v>
      </x:c>
      <x:c r="F837" s="27" t="str">
        <x:v>harpazō</x:v>
      </x:c>
      <x:c r="G837" s="20" t="str">
        <x:v>to seize (in various applications)</x:v>
      </x:c>
      <x:c r="H837" s="20" t="str"/>
      <x:c r="I837" s="21"/>
      <x:c r="J837" s="21" t="str">
        <x:v>Mounce 頻率延伸</x:v>
      </x:c>
      <x:c r="K837" s="21" t="str">
        <x:v>G726</x:v>
      </x:c>
      <x:c r="L837" s="21" t="str">
        <x:v>否</x:v>
      </x:c>
      <x:c r="M837" s="21" t="str"/>
      <x:c r="N837" s="21" t="str">
        <x:v>source_and_lexicon_matched</x:v>
      </x:c>
      <x:c r="O837" s="21" t="str">
        <x:v>rule_generated_from_official_table</x:v>
      </x:c>
      <x:c r="P837" s="21" t="n">
        <x:v>14</x:v>
      </x:c>
      <x:c r="Q837" s="21" t="str">
        <x:v>https://doxa.billmounce.com/Flashcards%20%28BBG%29.pdf</x:v>
      </x:c>
      <x:c r="R837" s="16" t="str"/>
    </x:row>
    <x:row r="838" ht="28" customHeight="1">
      <x:c r="A838" s="21" t="n">
        <x:v>834</x:v>
      </x:c>
      <x:c r="B838" s="21" t="n">
        <x:f>ROUNDUP(A838/50,0)</x:f>
        <x:v>17</x:v>
      </x:c>
      <x:c r="C838" s="21" t="n">
        <x:f>MOD(A838-1,50)+1</x:f>
        <x:v>34</x:v>
      </x:c>
      <x:c r="D838" s="29" t="str">
        <x:v>ἀτενίζω</x:v>
      </x:c>
      <x:c r="E838" s="29" t="str">
        <x:v>ἀτενίζω</x:v>
      </x:c>
      <x:c r="F838" s="27" t="str">
        <x:v>atenizō</x:v>
      </x:c>
      <x:c r="G838" s="20" t="str">
        <x:v>to gaze intently</x:v>
      </x:c>
      <x:c r="H838" s="20" t="str"/>
      <x:c r="I838" s="21"/>
      <x:c r="J838" s="21" t="str">
        <x:v>Mounce 頻率延伸</x:v>
      </x:c>
      <x:c r="K838" s="21" t="str">
        <x:v>G816</x:v>
      </x:c>
      <x:c r="L838" s="21" t="str">
        <x:v>否</x:v>
      </x:c>
      <x:c r="M838" s="21" t="str"/>
      <x:c r="N838" s="21" t="str">
        <x:v>source_and_lexicon_matched</x:v>
      </x:c>
      <x:c r="O838" s="21" t="str">
        <x:v>rule_generated_from_official_table</x:v>
      </x:c>
      <x:c r="P838" s="21" t="n">
        <x:v>14</x:v>
      </x:c>
      <x:c r="Q838" s="21" t="str">
        <x:v>https://doxa.billmounce.com/Flashcards%20%28BBG%29.pdf</x:v>
      </x:c>
      <x:c r="R838" s="16" t="str"/>
    </x:row>
    <x:row r="839" ht="28" customHeight="1">
      <x:c r="A839" s="21" t="n">
        <x:v>835</x:v>
      </x:c>
      <x:c r="B839" s="21" t="n">
        <x:f>ROUNDUP(A839/50,0)</x:f>
        <x:v>17</x:v>
      </x:c>
      <x:c r="C839" s="21" t="n">
        <x:f>MOD(A839-1,50)+1</x:f>
        <x:v>35</x:v>
      </x:c>
      <x:c r="D839" s="29" t="str">
        <x:v>αὔριον</x:v>
      </x:c>
      <x:c r="E839" s="29" t="str">
        <x:v>αὔριον</x:v>
      </x:c>
      <x:c r="F839" s="27" t="str">
        <x:v>aurion</x:v>
      </x:c>
      <x:c r="G839" s="20" t="str">
        <x:v>properly, fresh, i.e. (adverb with ellipsis of G2250 (ἡμέρα)) to-morrow</x:v>
      </x:c>
      <x:c r="H839" s="20" t="str"/>
      <x:c r="I839" s="21"/>
      <x:c r="J839" s="21" t="str">
        <x:v>Mounce 頻率延伸</x:v>
      </x:c>
      <x:c r="K839" s="21" t="str">
        <x:v>G839</x:v>
      </x:c>
      <x:c r="L839" s="21" t="str">
        <x:v>否</x:v>
      </x:c>
      <x:c r="M839" s="21" t="str"/>
      <x:c r="N839" s="21" t="str">
        <x:v>source_and_lexicon_matched</x:v>
      </x:c>
      <x:c r="O839" s="21" t="str">
        <x:v>rule_generated_from_official_table</x:v>
      </x:c>
      <x:c r="P839" s="21" t="n">
        <x:v>14</x:v>
      </x:c>
      <x:c r="Q839" s="21" t="str">
        <x:v>https://doxa.billmounce.com/Flashcards%20%28BBG%29.pdf</x:v>
      </x:c>
      <x:c r="R839" s="16" t="str"/>
    </x:row>
    <x:row r="840" ht="28" customHeight="1">
      <x:c r="A840" s="21" t="n">
        <x:v>836</x:v>
      </x:c>
      <x:c r="B840" s="21" t="n">
        <x:f>ROUNDUP(A840/50,0)</x:f>
        <x:v>17</x:v>
      </x:c>
      <x:c r="C840" s="21" t="n">
        <x:f>MOD(A840-1,50)+1</x:f>
        <x:v>36</x:v>
      </x:c>
      <x:c r="D840" s="29" t="str">
        <x:v>ἀφίστημι</x:v>
      </x:c>
      <x:c r="E840" s="29" t="str">
        <x:v>ἀφίστημι</x:v>
      </x:c>
      <x:c r="F840" s="27" t="str">
        <x:v>aphistēmi</x:v>
      </x:c>
      <x:c r="G840" s="20" t="str">
        <x:v>to remove, i.e. (actively) instigate to revolt; usually (reflexively) to desist, desert, etc.</x:v>
      </x:c>
      <x:c r="H840" s="20" t="str"/>
      <x:c r="I840" s="21"/>
      <x:c r="J840" s="21" t="str">
        <x:v>Mounce 頻率延伸</x:v>
      </x:c>
      <x:c r="K840" s="21" t="str">
        <x:v>G868</x:v>
      </x:c>
      <x:c r="L840" s="21" t="str">
        <x:v>否</x:v>
      </x:c>
      <x:c r="M840" s="21" t="str"/>
      <x:c r="N840" s="21" t="str">
        <x:v>source_and_lexicon_matched</x:v>
      </x:c>
      <x:c r="O840" s="21" t="str">
        <x:v>rule_generated_from_official_table</x:v>
      </x:c>
      <x:c r="P840" s="21" t="n">
        <x:v>14</x:v>
      </x:c>
      <x:c r="Q840" s="21" t="str">
        <x:v>https://doxa.billmounce.com/Flashcards%20%28BBG%29.pdf</x:v>
      </x:c>
      <x:c r="R840" s="16" t="str"/>
    </x:row>
    <x:row r="841" ht="28" customHeight="1">
      <x:c r="A841" s="21" t="n">
        <x:v>837</x:v>
      </x:c>
      <x:c r="B841" s="21" t="n">
        <x:f>ROUNDUP(A841/50,0)</x:f>
        <x:v>17</x:v>
      </x:c>
      <x:c r="C841" s="21" t="n">
        <x:f>MOD(A841-1,50)+1</x:f>
        <x:v>37</x:v>
      </x:c>
      <x:c r="D841" s="29" t="str">
        <x:v>γράμμα, -ατος, τό</x:v>
      </x:c>
      <x:c r="E841" s="29" t="str">
        <x:v>γράμμα</x:v>
      </x:c>
      <x:c r="F841" s="27" t="str">
        <x:v>gramma</x:v>
      </x:c>
      <x:c r="G841" s="20" t="str">
        <x:v>a writing, i.e. a letter, note, epistle, book, etc.; plural learning</x:v>
      </x:c>
      <x:c r="H841" s="20" t="str"/>
      <x:c r="I841" s="21"/>
      <x:c r="J841" s="21" t="str">
        <x:v>Mounce 頻率延伸</x:v>
      </x:c>
      <x:c r="K841" s="21" t="str">
        <x:v>G1121</x:v>
      </x:c>
      <x:c r="L841" s="21" t="str">
        <x:v>否</x:v>
      </x:c>
      <x:c r="M841" s="21" t="str"/>
      <x:c r="N841" s="21" t="str">
        <x:v>source_and_lexicon_matched</x:v>
      </x:c>
      <x:c r="O841" s="21" t="str">
        <x:v>rule_generated_from_official_table</x:v>
      </x:c>
      <x:c r="P841" s="21" t="n">
        <x:v>14</x:v>
      </x:c>
      <x:c r="Q841" s="21" t="str">
        <x:v>https://doxa.billmounce.com/Flashcards%20%28BBG%29.pdf</x:v>
      </x:c>
      <x:c r="R841" s="16" t="str"/>
    </x:row>
    <x:row r="842" ht="28" customHeight="1">
      <x:c r="A842" s="21" t="n">
        <x:v>838</x:v>
      </x:c>
      <x:c r="B842" s="21" t="n">
        <x:f>ROUNDUP(A842/50,0)</x:f>
        <x:v>17</x:v>
      </x:c>
      <x:c r="C842" s="21" t="n">
        <x:f>MOD(A842-1,50)+1</x:f>
        <x:v>38</x:v>
      </x:c>
      <x:c r="D842" s="29" t="str">
        <x:v>διαλογισμός, -οῦ, ὁ</x:v>
      </x:c>
      <x:c r="E842" s="29" t="str">
        <x:v>διαλογισμός</x:v>
      </x:c>
      <x:c r="F842" s="27" t="str">
        <x:v>dialogismos</x:v>
      </x:c>
      <x:c r="G842" s="20" t="str">
        <x:v>discussion, i.e. (internal) consideration (by implication, purpose), or (external) debate</x:v>
      </x:c>
      <x:c r="H842" s="20" t="str"/>
      <x:c r="I842" s="21"/>
      <x:c r="J842" s="21" t="str">
        <x:v>Mounce 頻率延伸</x:v>
      </x:c>
      <x:c r="K842" s="21" t="str">
        <x:v>G1261</x:v>
      </x:c>
      <x:c r="L842" s="21" t="str">
        <x:v>否</x:v>
      </x:c>
      <x:c r="M842" s="21" t="str"/>
      <x:c r="N842" s="21" t="str">
        <x:v>source_and_lexicon_matched</x:v>
      </x:c>
      <x:c r="O842" s="21" t="str">
        <x:v>rule_generated_from_official_table</x:v>
      </x:c>
      <x:c r="P842" s="21" t="n">
        <x:v>14</x:v>
      </x:c>
      <x:c r="Q842" s="21" t="str">
        <x:v>https://doxa.billmounce.com/Flashcards%20%28BBG%29.pdf</x:v>
      </x:c>
      <x:c r="R842" s="16" t="str"/>
    </x:row>
    <x:row r="843" ht="28" customHeight="1">
      <x:c r="A843" s="21" t="n">
        <x:v>839</x:v>
      </x:c>
      <x:c r="B843" s="21" t="n">
        <x:f>ROUNDUP(A843/50,0)</x:f>
        <x:v>17</x:v>
      </x:c>
      <x:c r="C843" s="21" t="n">
        <x:f>MOD(A843-1,50)+1</x:f>
        <x:v>39</x:v>
      </x:c>
      <x:c r="D843" s="29" t="str">
        <x:v>ἕκτος, -η, -ον</x:v>
      </x:c>
      <x:c r="E843" s="29" t="str">
        <x:v>ἕκτος</x:v>
      </x:c>
      <x:c r="F843" s="27" t="str">
        <x:v>hektos</x:v>
      </x:c>
      <x:c r="G843" s="20" t="str">
        <x:v>sixth</x:v>
      </x:c>
      <x:c r="H843" s="20" t="str"/>
      <x:c r="I843" s="21"/>
      <x:c r="J843" s="21" t="str">
        <x:v>Mounce 頻率延伸</x:v>
      </x:c>
      <x:c r="K843" s="21" t="str">
        <x:v>G1623</x:v>
      </x:c>
      <x:c r="L843" s="21" t="str">
        <x:v>否</x:v>
      </x:c>
      <x:c r="M843" s="21" t="str"/>
      <x:c r="N843" s="21" t="str">
        <x:v>source_and_lexicon_matched</x:v>
      </x:c>
      <x:c r="O843" s="21" t="str">
        <x:v>rule_generated_from_official_table</x:v>
      </x:c>
      <x:c r="P843" s="21" t="n">
        <x:v>14</x:v>
      </x:c>
      <x:c r="Q843" s="21" t="str">
        <x:v>https://doxa.billmounce.com/Flashcards%20%28BBG%29.pdf</x:v>
      </x:c>
      <x:c r="R843" s="16" t="str"/>
    </x:row>
    <x:row r="844" ht="28" customHeight="1">
      <x:c r="A844" s="21" t="n">
        <x:v>840</x:v>
      </x:c>
      <x:c r="B844" s="21" t="n">
        <x:f>ROUNDUP(A844/50,0)</x:f>
        <x:v>17</x:v>
      </x:c>
      <x:c r="C844" s="21" t="n">
        <x:f>MOD(A844-1,50)+1</x:f>
        <x:v>40</x:v>
      </x:c>
      <x:c r="D844" s="29" t="str">
        <x:v>ἐλάχιστος, -η, -ον</x:v>
      </x:c>
      <x:c r="E844" s="29" t="str">
        <x:v>ἐλάχιστος</x:v>
      </x:c>
      <x:c r="F844" s="27" t="str">
        <x:v>elachistos</x:v>
      </x:c>
      <x:c r="G844" s="20" t="str">
        <x:v>used as equivalent to G3398 (μικρός); least (in size, amount, dignity, etc.)</x:v>
      </x:c>
      <x:c r="H844" s="20" t="str"/>
      <x:c r="I844" s="21"/>
      <x:c r="J844" s="21" t="str">
        <x:v>Mounce 頻率延伸</x:v>
      </x:c>
      <x:c r="K844" s="21" t="str">
        <x:v>G1646</x:v>
      </x:c>
      <x:c r="L844" s="21" t="str">
        <x:v>否</x:v>
      </x:c>
      <x:c r="M844" s="21" t="str"/>
      <x:c r="N844" s="21" t="str">
        <x:v>source_and_lexicon_matched</x:v>
      </x:c>
      <x:c r="O844" s="21" t="str">
        <x:v>rule_generated_from_official_table</x:v>
      </x:c>
      <x:c r="P844" s="21" t="n">
        <x:v>15</x:v>
      </x:c>
      <x:c r="Q844" s="21" t="str">
        <x:v>https://doxa.billmounce.com/Flashcards%20%28BBG%29.pdf</x:v>
      </x:c>
      <x:c r="R844" s="16" t="str"/>
    </x:row>
    <x:row r="845" ht="28" customHeight="1">
      <x:c r="A845" s="21" t="n">
        <x:v>841</x:v>
      </x:c>
      <x:c r="B845" s="21" t="n">
        <x:f>ROUNDUP(A845/50,0)</x:f>
        <x:v>17</x:v>
      </x:c>
      <x:c r="C845" s="21" t="n">
        <x:f>MOD(A845-1,50)+1</x:f>
        <x:v>41</x:v>
      </x:c>
      <x:c r="D845" s="29" t="str">
        <x:v>ἐνιαυτός, -οῦ, ὁ</x:v>
      </x:c>
      <x:c r="E845" s="29" t="str">
        <x:v>ἐνιαυτός</x:v>
      </x:c>
      <x:c r="F845" s="27" t="str">
        <x:v>eniautos</x:v>
      </x:c>
      <x:c r="G845" s="20" t="str">
        <x:v>a year</x:v>
      </x:c>
      <x:c r="H845" s="20" t="str"/>
      <x:c r="I845" s="21"/>
      <x:c r="J845" s="21" t="str">
        <x:v>Mounce 頻率延伸</x:v>
      </x:c>
      <x:c r="K845" s="21" t="str">
        <x:v>G1763</x:v>
      </x:c>
      <x:c r="L845" s="21" t="str">
        <x:v>否</x:v>
      </x:c>
      <x:c r="M845" s="21" t="str"/>
      <x:c r="N845" s="21" t="str">
        <x:v>source_and_lexicon_matched</x:v>
      </x:c>
      <x:c r="O845" s="21" t="str">
        <x:v>rule_generated_from_official_table</x:v>
      </x:c>
      <x:c r="P845" s="21" t="n">
        <x:v>15</x:v>
      </x:c>
      <x:c r="Q845" s="21" t="str">
        <x:v>https://doxa.billmounce.com/Flashcards%20%28BBG%29.pdf</x:v>
      </x:c>
      <x:c r="R845" s="16" t="str"/>
    </x:row>
    <x:row r="846" ht="28" customHeight="1">
      <x:c r="A846" s="21" t="n">
        <x:v>842</x:v>
      </x:c>
      <x:c r="B846" s="21" t="n">
        <x:f>ROUNDUP(A846/50,0)</x:f>
        <x:v>17</x:v>
      </x:c>
      <x:c r="C846" s="21" t="n">
        <x:f>MOD(A846-1,50)+1</x:f>
        <x:v>42</x:v>
      </x:c>
      <x:c r="D846" s="29" t="str">
        <x:v>ἐπίσταμαι</x:v>
      </x:c>
      <x:c r="E846" s="29" t="str">
        <x:v>ἐπίσταμαι</x:v>
      </x:c>
      <x:c r="F846" s="27" t="str">
        <x:v>epistamai</x:v>
      </x:c>
      <x:c r="G846" s="20" t="str">
        <x:v>to put the mind upon, i.e. comprehend, or be acquainted with</x:v>
      </x:c>
      <x:c r="H846" s="20" t="str"/>
      <x:c r="I846" s="21"/>
      <x:c r="J846" s="21" t="str">
        <x:v>Mounce 頻率延伸</x:v>
      </x:c>
      <x:c r="K846" s="21" t="str">
        <x:v>G1987</x:v>
      </x:c>
      <x:c r="L846" s="21" t="str">
        <x:v>否</x:v>
      </x:c>
      <x:c r="M846" s="21" t="str"/>
      <x:c r="N846" s="21" t="str">
        <x:v>source_and_lexicon_matched</x:v>
      </x:c>
      <x:c r="O846" s="21" t="str">
        <x:v>rule_generated_from_official_table</x:v>
      </x:c>
      <x:c r="P846" s="21" t="n">
        <x:v>15</x:v>
      </x:c>
      <x:c r="Q846" s="21" t="str">
        <x:v>https://doxa.billmounce.com/Flashcards%20%28BBG%29.pdf</x:v>
      </x:c>
      <x:c r="R846" s="16" t="str"/>
    </x:row>
    <x:row r="847" ht="28" customHeight="1">
      <x:c r="A847" s="21" t="n">
        <x:v>843</x:v>
      </x:c>
      <x:c r="B847" s="21" t="n">
        <x:f>ROUNDUP(A847/50,0)</x:f>
        <x:v>17</x:v>
      </x:c>
      <x:c r="C847" s="21" t="n">
        <x:f>MOD(A847-1,50)+1</x:f>
        <x:v>43</x:v>
      </x:c>
      <x:c r="D847" s="29" t="str">
        <x:v>εὐφραίνω</x:v>
      </x:c>
      <x:c r="E847" s="29" t="str">
        <x:v>εὐφραίνω</x:v>
      </x:c>
      <x:c r="F847" s="27" t="str">
        <x:v>euphrainō</x:v>
      </x:c>
      <x:c r="G847" s="20" t="str">
        <x:v>to put (middle voice or passively, be) in a good frame of mind, i.e. rejoice</x:v>
      </x:c>
      <x:c r="H847" s="20" t="str"/>
      <x:c r="I847" s="21"/>
      <x:c r="J847" s="21" t="str">
        <x:v>Mounce 頻率延伸</x:v>
      </x:c>
      <x:c r="K847" s="21" t="str">
        <x:v>G2165</x:v>
      </x:c>
      <x:c r="L847" s="21" t="str">
        <x:v>否</x:v>
      </x:c>
      <x:c r="M847" s="21" t="str"/>
      <x:c r="N847" s="21" t="str">
        <x:v>source_and_lexicon_matched</x:v>
      </x:c>
      <x:c r="O847" s="21" t="str">
        <x:v>rule_generated_from_official_table</x:v>
      </x:c>
      <x:c r="P847" s="21" t="n">
        <x:v>15</x:v>
      </x:c>
      <x:c r="Q847" s="21" t="str">
        <x:v>https://doxa.billmounce.com/Flashcards%20%28BBG%29.pdf</x:v>
      </x:c>
      <x:c r="R847" s="16" t="str"/>
    </x:row>
    <x:row r="848" ht="28" customHeight="1">
      <x:c r="A848" s="21" t="n">
        <x:v>844</x:v>
      </x:c>
      <x:c r="B848" s="21" t="n">
        <x:f>ROUNDUP(A848/50,0)</x:f>
        <x:v>17</x:v>
      </x:c>
      <x:c r="C848" s="21" t="n">
        <x:f>MOD(A848-1,50)+1</x:f>
        <x:v>44</x:v>
      </x:c>
      <x:c r="D848" s="29" t="str">
        <x:v>θύω</x:v>
      </x:c>
      <x:c r="E848" s="29" t="str">
        <x:v>θύω</x:v>
      </x:c>
      <x:c r="F848" s="27" t="str">
        <x:v>thuō</x:v>
      </x:c>
      <x:c r="G848" s="20" t="str">
        <x:v>properly, to rush (breathe hard, blow, smoke), i.e. (by implication) to sacrifice (properly, by fire, but genitive case); by extension to immolate (slaughter for any purpose)</x:v>
      </x:c>
      <x:c r="H848" s="20" t="str"/>
      <x:c r="I848" s="21"/>
      <x:c r="J848" s="21" t="str">
        <x:v>Mounce 頻率延伸</x:v>
      </x:c>
      <x:c r="K848" s="21" t="str">
        <x:v>G2380</x:v>
      </x:c>
      <x:c r="L848" s="21" t="str">
        <x:v>否</x:v>
      </x:c>
      <x:c r="M848" s="21" t="str"/>
      <x:c r="N848" s="21" t="str">
        <x:v>source_and_lexicon_matched</x:v>
      </x:c>
      <x:c r="O848" s="21" t="str">
        <x:v>rule_generated_from_official_table</x:v>
      </x:c>
      <x:c r="P848" s="21" t="n">
        <x:v>15</x:v>
      </x:c>
      <x:c r="Q848" s="21" t="str">
        <x:v>https://doxa.billmounce.com/Flashcards%20%28BBG%29.pdf</x:v>
      </x:c>
      <x:c r="R848" s="16" t="str"/>
    </x:row>
    <x:row r="849" ht="28" customHeight="1">
      <x:c r="A849" s="21" t="n">
        <x:v>845</x:v>
      </x:c>
      <x:c r="B849" s="21" t="n">
        <x:f>ROUNDUP(A849/50,0)</x:f>
        <x:v>17</x:v>
      </x:c>
      <x:c r="C849" s="21" t="n">
        <x:f>MOD(A849-1,50)+1</x:f>
        <x:v>45</x:v>
      </x:c>
      <x:c r="D849" s="29" t="str">
        <x:v>κατανοέω</x:v>
      </x:c>
      <x:c r="E849" s="29" t="str">
        <x:v>κατανοέω</x:v>
      </x:c>
      <x:c r="F849" s="27" t="str">
        <x:v>katanoeō</x:v>
      </x:c>
      <x:c r="G849" s="20" t="str">
        <x:v>to observe fully</x:v>
      </x:c>
      <x:c r="H849" s="20" t="str"/>
      <x:c r="I849" s="21"/>
      <x:c r="J849" s="21" t="str">
        <x:v>Mounce 頻率延伸</x:v>
      </x:c>
      <x:c r="K849" s="21" t="str">
        <x:v>G2657</x:v>
      </x:c>
      <x:c r="L849" s="21" t="str">
        <x:v>否</x:v>
      </x:c>
      <x:c r="M849" s="21" t="str"/>
      <x:c r="N849" s="21" t="str">
        <x:v>source_and_lexicon_matched</x:v>
      </x:c>
      <x:c r="O849" s="21" t="str">
        <x:v>rule_generated_from_official_table</x:v>
      </x:c>
      <x:c r="P849" s="21" t="n">
        <x:v>15</x:v>
      </x:c>
      <x:c r="Q849" s="21" t="str">
        <x:v>https://doxa.billmounce.com/Flashcards%20%28BBG%29.pdf</x:v>
      </x:c>
      <x:c r="R849" s="16" t="str"/>
    </x:row>
    <x:row r="850" ht="28" customHeight="1">
      <x:c r="A850" s="21" t="n">
        <x:v>846</x:v>
      </x:c>
      <x:c r="B850" s="21" t="n">
        <x:f>ROUNDUP(A850/50,0)</x:f>
        <x:v>17</x:v>
      </x:c>
      <x:c r="C850" s="21" t="n">
        <x:f>MOD(A850-1,50)+1</x:f>
        <x:v>46</x:v>
      </x:c>
      <x:c r="D850" s="29" t="str">
        <x:v>κατεσθίω</x:v>
      </x:c>
      <x:c r="E850" s="29" t="str">
        <x:v>κατεσθίω</x:v>
      </x:c>
      <x:c r="F850" s="27" t="str">
        <x:v>katesthiō</x:v>
      </x:c>
      <x:c r="G850" s="20" t="str">
        <x:v>to eat down, i.e. devour (literally or figuratively)</x:v>
      </x:c>
      <x:c r="H850" s="20" t="str"/>
      <x:c r="I850" s="21"/>
      <x:c r="J850" s="21" t="str">
        <x:v>Mounce 頻率延伸</x:v>
      </x:c>
      <x:c r="K850" s="21" t="str">
        <x:v>G2719</x:v>
      </x:c>
      <x:c r="L850" s="21" t="str">
        <x:v>否</x:v>
      </x:c>
      <x:c r="M850" s="21" t="str"/>
      <x:c r="N850" s="21" t="str">
        <x:v>source_and_lexicon_matched</x:v>
      </x:c>
      <x:c r="O850" s="21" t="str">
        <x:v>rule_generated_from_official_table</x:v>
      </x:c>
      <x:c r="P850" s="21" t="n">
        <x:v>15</x:v>
      </x:c>
      <x:c r="Q850" s="21" t="str">
        <x:v>https://doxa.billmounce.com/Flashcards%20%28BBG%29.pdf</x:v>
      </x:c>
      <x:c r="R850" s="16" t="str"/>
    </x:row>
    <x:row r="851" ht="28" customHeight="1">
      <x:c r="A851" s="21" t="n">
        <x:v>847</x:v>
      </x:c>
      <x:c r="B851" s="21" t="n">
        <x:f>ROUNDUP(A851/50,0)</x:f>
        <x:v>17</x:v>
      </x:c>
      <x:c r="C851" s="21" t="n">
        <x:f>MOD(A851-1,50)+1</x:f>
        <x:v>47</x:v>
      </x:c>
      <x:c r="D851" s="29" t="str">
        <x:v>κλάω</x:v>
      </x:c>
      <x:c r="E851" s="29" t="str">
        <x:v>κλάω</x:v>
      </x:c>
      <x:c r="F851" s="27" t="str">
        <x:v>klaō</x:v>
      </x:c>
      <x:c r="G851" s="20" t="str">
        <x:v>to break (specially, of bread)</x:v>
      </x:c>
      <x:c r="H851" s="20" t="str"/>
      <x:c r="I851" s="21"/>
      <x:c r="J851" s="21" t="str">
        <x:v>Mounce 頻率延伸</x:v>
      </x:c>
      <x:c r="K851" s="21" t="str">
        <x:v>G2806</x:v>
      </x:c>
      <x:c r="L851" s="21" t="str">
        <x:v>否</x:v>
      </x:c>
      <x:c r="M851" s="21" t="str"/>
      <x:c r="N851" s="21" t="str">
        <x:v>source_and_lexicon_matched</x:v>
      </x:c>
      <x:c r="O851" s="21" t="str">
        <x:v>rule_generated_from_official_table</x:v>
      </x:c>
      <x:c r="P851" s="21" t="n">
        <x:v>15</x:v>
      </x:c>
      <x:c r="Q851" s="21" t="str">
        <x:v>https://doxa.billmounce.com/Flashcards%20%28BBG%29.pdf</x:v>
      </x:c>
      <x:c r="R851" s="16" t="str"/>
    </x:row>
    <x:row r="852" ht="28" customHeight="1">
      <x:c r="A852" s="21" t="n">
        <x:v>848</x:v>
      </x:c>
      <x:c r="B852" s="21" t="n">
        <x:f>ROUNDUP(A852/50,0)</x:f>
        <x:v>17</x:v>
      </x:c>
      <x:c r="C852" s="21" t="n">
        <x:f>MOD(A852-1,50)+1</x:f>
        <x:v>48</x:v>
      </x:c>
      <x:c r="D852" s="29" t="str">
        <x:v>κληρονομία, -ας, ἡ</x:v>
      </x:c>
      <x:c r="E852" s="29" t="str">
        <x:v>κληρονομία</x:v>
      </x:c>
      <x:c r="F852" s="27" t="str">
        <x:v>klēronomia</x:v>
      </x:c>
      <x:c r="G852" s="20" t="str">
        <x:v>heirship, i.e. (concretely) a patrimony or (genitive case) a possession</x:v>
      </x:c>
      <x:c r="H852" s="20" t="str"/>
      <x:c r="I852" s="21"/>
      <x:c r="J852" s="21" t="str">
        <x:v>Mounce 頻率延伸</x:v>
      </x:c>
      <x:c r="K852" s="21" t="str">
        <x:v>G2817</x:v>
      </x:c>
      <x:c r="L852" s="21" t="str">
        <x:v>否</x:v>
      </x:c>
      <x:c r="M852" s="21" t="str"/>
      <x:c r="N852" s="21" t="str">
        <x:v>source_and_lexicon_matched</x:v>
      </x:c>
      <x:c r="O852" s="21" t="str">
        <x:v>rule_generated_from_official_table</x:v>
      </x:c>
      <x:c r="P852" s="21" t="n">
        <x:v>15</x:v>
      </x:c>
      <x:c r="Q852" s="21" t="str">
        <x:v>https://doxa.billmounce.com/Flashcards%20%28BBG%29.pdf</x:v>
      </x:c>
      <x:c r="R852" s="16" t="str"/>
    </x:row>
    <x:row r="853" ht="28" customHeight="1">
      <x:c r="A853" s="21" t="n">
        <x:v>849</x:v>
      </x:c>
      <x:c r="B853" s="21" t="n">
        <x:f>ROUNDUP(A853/50,0)</x:f>
        <x:v>17</x:v>
      </x:c>
      <x:c r="C853" s="21" t="n">
        <x:f>MOD(A853-1,50)+1</x:f>
        <x:v>49</x:v>
      </x:c>
      <x:c r="D853" s="29" t="str">
        <x:v>κοινός, -ή, -όν</x:v>
      </x:c>
      <x:c r="E853" s="29" t="str">
        <x:v>κοινός</x:v>
      </x:c>
      <x:c r="F853" s="27" t="str">
        <x:v>koinos</x:v>
      </x:c>
      <x:c r="G853" s="20" t="str">
        <x:v>common, i.e. (literally) shared by all or several, or (ceremonially) profane</x:v>
      </x:c>
      <x:c r="H853" s="20" t="str"/>
      <x:c r="I853" s="21"/>
      <x:c r="J853" s="21" t="str">
        <x:v>Mounce 頻率延伸</x:v>
      </x:c>
      <x:c r="K853" s="21" t="str">
        <x:v>G2839</x:v>
      </x:c>
      <x:c r="L853" s="21" t="str">
        <x:v>否</x:v>
      </x:c>
      <x:c r="M853" s="21" t="str"/>
      <x:c r="N853" s="21" t="str">
        <x:v>source_and_lexicon_matched</x:v>
      </x:c>
      <x:c r="O853" s="21" t="str">
        <x:v>rule_generated_from_official_table</x:v>
      </x:c>
      <x:c r="P853" s="21" t="n">
        <x:v>15</x:v>
      </x:c>
      <x:c r="Q853" s="21" t="str">
        <x:v>https://doxa.billmounce.com/Flashcards%20%28BBG%29.pdf</x:v>
      </x:c>
      <x:c r="R853" s="16" t="str"/>
    </x:row>
    <x:row r="854" ht="28" customHeight="1">
      <x:c r="A854" s="21" t="n">
        <x:v>850</x:v>
      </x:c>
      <x:c r="B854" s="21" t="n">
        <x:f>ROUNDUP(A854/50,0)</x:f>
        <x:v>17</x:v>
      </x:c>
      <x:c r="C854" s="21" t="n">
        <x:f>MOD(A854-1,50)+1</x:f>
        <x:v>50</x:v>
      </x:c>
      <x:c r="D854" s="29" t="str">
        <x:v>κοινόω</x:v>
      </x:c>
      <x:c r="E854" s="29" t="str">
        <x:v>κοινόω</x:v>
      </x:c>
      <x:c r="F854" s="27" t="str">
        <x:v>koinoō</x:v>
      </x:c>
      <x:c r="G854" s="20" t="str">
        <x:v>to make (or consider) profane (ceremonially)</x:v>
      </x:c>
      <x:c r="H854" s="20" t="str"/>
      <x:c r="I854" s="21"/>
      <x:c r="J854" s="21" t="str">
        <x:v>Mounce 頻率延伸</x:v>
      </x:c>
      <x:c r="K854" s="21" t="str">
        <x:v>G2840</x:v>
      </x:c>
      <x:c r="L854" s="21" t="str">
        <x:v>否</x:v>
      </x:c>
      <x:c r="M854" s="21" t="str"/>
      <x:c r="N854" s="21" t="str">
        <x:v>source_and_lexicon_matched</x:v>
      </x:c>
      <x:c r="O854" s="21" t="str">
        <x:v>rule_generated_from_official_table</x:v>
      </x:c>
      <x:c r="P854" s="21" t="n">
        <x:v>15</x:v>
      </x:c>
      <x:c r="Q854" s="21" t="str">
        <x:v>https://doxa.billmounce.com/Flashcards%20%28BBG%29.pdf</x:v>
      </x:c>
      <x:c r="R854" s="16" t="str"/>
    </x:row>
    <x:row r="855" ht="28" customHeight="1">
      <x:c r="A855" s="21" t="n">
        <x:v>851</x:v>
      </x:c>
      <x:c r="B855" s="21" t="n">
        <x:f>ROUNDUP(A855/50,0)</x:f>
        <x:v>18</x:v>
      </x:c>
      <x:c r="C855" s="21" t="n">
        <x:f>MOD(A855-1,50)+1</x:f>
        <x:v>1</x:v>
      </x:c>
      <x:c r="D855" s="29" t="str">
        <x:v>κωφός, -ή, -όν</x:v>
      </x:c>
      <x:c r="E855" s="29" t="str">
        <x:v>κωφός</x:v>
      </x:c>
      <x:c r="F855" s="27" t="str">
        <x:v>kōphos</x:v>
      </x:c>
      <x:c r="G855" s="20" t="str">
        <x:v>blunted, i.e. (figuratively) of hearing (deaf) or speech (dumb)</x:v>
      </x:c>
      <x:c r="H855" s="20" t="str"/>
      <x:c r="I855" s="21"/>
      <x:c r="J855" s="21" t="str">
        <x:v>Mounce 頻率延伸</x:v>
      </x:c>
      <x:c r="K855" s="21" t="str">
        <x:v>G2974</x:v>
      </x:c>
      <x:c r="L855" s="21" t="str">
        <x:v>否</x:v>
      </x:c>
      <x:c r="M855" s="21" t="str"/>
      <x:c r="N855" s="21" t="str">
        <x:v>source_and_lexicon_matched</x:v>
      </x:c>
      <x:c r="O855" s="21" t="str">
        <x:v>rule_generated_from_official_table</x:v>
      </x:c>
      <x:c r="P855" s="21" t="n">
        <x:v>15</x:v>
      </x:c>
      <x:c r="Q855" s="21" t="str">
        <x:v>https://doxa.billmounce.com/Flashcards%20%28BBG%29.pdf</x:v>
      </x:c>
      <x:c r="R855" s="16" t="str"/>
    </x:row>
    <x:row r="856" ht="28" customHeight="1">
      <x:c r="A856" s="21" t="n">
        <x:v>852</x:v>
      </x:c>
      <x:c r="B856" s="21" t="n">
        <x:f>ROUNDUP(A856/50,0)</x:f>
        <x:v>18</x:v>
      </x:c>
      <x:c r="C856" s="21" t="n">
        <x:f>MOD(A856-1,50)+1</x:f>
        <x:v>2</x:v>
      </x:c>
      <x:c r="D856" s="29" t="str">
        <x:v>λύχνος, -ου, ὁ</x:v>
      </x:c>
      <x:c r="E856" s="29" t="str">
        <x:v>λύχνος</x:v>
      </x:c>
      <x:c r="F856" s="27" t="str">
        <x:v>luchnos</x:v>
      </x:c>
      <x:c r="G856" s="20" t="str">
        <x:v>a portable lamp or other illuminator (literally or figuratively)</x:v>
      </x:c>
      <x:c r="H856" s="20" t="str"/>
      <x:c r="I856" s="21"/>
      <x:c r="J856" s="21" t="str">
        <x:v>Mounce 頻率延伸</x:v>
      </x:c>
      <x:c r="K856" s="21" t="str">
        <x:v>G3088</x:v>
      </x:c>
      <x:c r="L856" s="21" t="str">
        <x:v>否</x:v>
      </x:c>
      <x:c r="M856" s="21" t="str"/>
      <x:c r="N856" s="21" t="str">
        <x:v>source_and_lexicon_matched</x:v>
      </x:c>
      <x:c r="O856" s="21" t="str">
        <x:v>rule_generated_from_official_table</x:v>
      </x:c>
      <x:c r="P856" s="21" t="n">
        <x:v>15</x:v>
      </x:c>
      <x:c r="Q856" s="21" t="str">
        <x:v>https://doxa.billmounce.com/Flashcards%20%28BBG%29.pdf</x:v>
      </x:c>
      <x:c r="R856" s="16" t="str"/>
    </x:row>
    <x:row r="857" ht="28" customHeight="1">
      <x:c r="A857" s="21" t="n">
        <x:v>853</x:v>
      </x:c>
      <x:c r="B857" s="21" t="n">
        <x:f>ROUNDUP(A857/50,0)</x:f>
        <x:v>18</x:v>
      </x:c>
      <x:c r="C857" s="21" t="n">
        <x:f>MOD(A857-1,50)+1</x:f>
        <x:v>3</x:v>
      </x:c>
      <x:c r="D857" s="29" t="str">
        <x:v>μακρόθεν</x:v>
      </x:c>
      <x:c r="E857" s="29" t="str">
        <x:v>μακρόθεν</x:v>
      </x:c>
      <x:c r="F857" s="27" t="str">
        <x:v>makrothen</x:v>
      </x:c>
      <x:c r="G857" s="20" t="str">
        <x:v>from a distance or afar</x:v>
      </x:c>
      <x:c r="H857" s="20" t="str"/>
      <x:c r="I857" s="21"/>
      <x:c r="J857" s="21" t="str">
        <x:v>Mounce 頻率延伸</x:v>
      </x:c>
      <x:c r="K857" s="21" t="str">
        <x:v>G3113</x:v>
      </x:c>
      <x:c r="L857" s="21" t="str">
        <x:v>否</x:v>
      </x:c>
      <x:c r="M857" s="21" t="str"/>
      <x:c r="N857" s="21" t="str">
        <x:v>source_and_lexicon_matched</x:v>
      </x:c>
      <x:c r="O857" s="21" t="str">
        <x:v>rule_generated_from_official_table</x:v>
      </x:c>
      <x:c r="P857" s="21" t="n">
        <x:v>15</x:v>
      </x:c>
      <x:c r="Q857" s="21" t="str">
        <x:v>https://doxa.billmounce.com/Flashcards%20%28BBG%29.pdf</x:v>
      </x:c>
      <x:c r="R857" s="16" t="str"/>
    </x:row>
    <x:row r="858" ht="28" customHeight="1">
      <x:c r="A858" s="21" t="n">
        <x:v>854</x:v>
      </x:c>
      <x:c r="B858" s="21" t="n">
        <x:f>ROUNDUP(A858/50,0)</x:f>
        <x:v>18</x:v>
      </x:c>
      <x:c r="C858" s="21" t="n">
        <x:f>MOD(A858-1,50)+1</x:f>
        <x:v>4</x:v>
      </x:c>
      <x:c r="D858" s="29" t="str">
        <x:v>μακροθυμία, -ας, ἡ</x:v>
      </x:c>
      <x:c r="E858" s="29" t="str">
        <x:v>μακροθυμία</x:v>
      </x:c>
      <x:c r="F858" s="27" t="str">
        <x:v>makrothumia</x:v>
      </x:c>
      <x:c r="G858" s="20" t="str">
        <x:v>longanimity, i.e. (objectively) forbearance or (subjectively) fortitude</x:v>
      </x:c>
      <x:c r="H858" s="20" t="str"/>
      <x:c r="I858" s="21"/>
      <x:c r="J858" s="21" t="str">
        <x:v>Mounce 頻率延伸</x:v>
      </x:c>
      <x:c r="K858" s="21" t="str">
        <x:v>G3115</x:v>
      </x:c>
      <x:c r="L858" s="21" t="str">
        <x:v>否</x:v>
      </x:c>
      <x:c r="M858" s="21" t="str"/>
      <x:c r="N858" s="21" t="str">
        <x:v>source_and_lexicon_matched</x:v>
      </x:c>
      <x:c r="O858" s="21" t="str">
        <x:v>rule_generated_from_official_table</x:v>
      </x:c>
      <x:c r="P858" s="21" t="n">
        <x:v>15</x:v>
      </x:c>
      <x:c r="Q858" s="21" t="str">
        <x:v>https://doxa.billmounce.com/Flashcards%20%28BBG%29.pdf</x:v>
      </x:c>
      <x:c r="R858" s="16" t="str"/>
    </x:row>
    <x:row r="859" ht="28" customHeight="1">
      <x:c r="A859" s="21" t="n">
        <x:v>855</x:v>
      </x:c>
      <x:c r="B859" s="21" t="n">
        <x:f>ROUNDUP(A859/50,0)</x:f>
        <x:v>18</x:v>
      </x:c>
      <x:c r="C859" s="21" t="n">
        <x:f>MOD(A859-1,50)+1</x:f>
        <x:v>5</x:v>
      </x:c>
      <x:c r="D859" s="29" t="str">
        <x:v>μερίζω</x:v>
      </x:c>
      <x:c r="E859" s="29" t="str">
        <x:v>μερίζω</x:v>
      </x:c>
      <x:c r="F859" s="27" t="str">
        <x:v>merizō</x:v>
      </x:c>
      <x:c r="G859" s="20" t="str">
        <x:v>to part, i.e. (literally) to apportion, bestow, share, or (figuratively) to disunite, differ</x:v>
      </x:c>
      <x:c r="H859" s="20" t="str"/>
      <x:c r="I859" s="21"/>
      <x:c r="J859" s="21" t="str">
        <x:v>Mounce 頻率延伸</x:v>
      </x:c>
      <x:c r="K859" s="21" t="str">
        <x:v>G3307</x:v>
      </x:c>
      <x:c r="L859" s="21" t="str">
        <x:v>否</x:v>
      </x:c>
      <x:c r="M859" s="21" t="str"/>
      <x:c r="N859" s="21" t="str">
        <x:v>source_and_lexicon_matched</x:v>
      </x:c>
      <x:c r="O859" s="21" t="str">
        <x:v>rule_generated_from_official_table</x:v>
      </x:c>
      <x:c r="P859" s="21" t="n">
        <x:v>15</x:v>
      </x:c>
      <x:c r="Q859" s="21" t="str">
        <x:v>https://doxa.billmounce.com/Flashcards%20%28BBG%29.pdf</x:v>
      </x:c>
      <x:c r="R859" s="16" t="str"/>
    </x:row>
    <x:row r="860" ht="28" customHeight="1">
      <x:c r="A860" s="21" t="n">
        <x:v>856</x:v>
      </x:c>
      <x:c r="B860" s="21" t="n">
        <x:f>ROUNDUP(A860/50,0)</x:f>
        <x:v>18</x:v>
      </x:c>
      <x:c r="C860" s="21" t="n">
        <x:f>MOD(A860-1,50)+1</x:f>
        <x:v>6</x:v>
      </x:c>
      <x:c r="D860" s="29" t="str">
        <x:v>μέτρον, -ου, τό</x:v>
      </x:c>
      <x:c r="E860" s="29" t="str">
        <x:v>μέτρον</x:v>
      </x:c>
      <x:c r="F860" s="27" t="str">
        <x:v>metron</x:v>
      </x:c>
      <x:c r="G860" s="20" t="str">
        <x:v>a measure ("metre"), literally or figuratively; by implication, a limited portion (degree)</x:v>
      </x:c>
      <x:c r="H860" s="20" t="str"/>
      <x:c r="I860" s="21"/>
      <x:c r="J860" s="21" t="str">
        <x:v>Mounce 頻率延伸</x:v>
      </x:c>
      <x:c r="K860" s="21" t="str">
        <x:v>G3358</x:v>
      </x:c>
      <x:c r="L860" s="21" t="str">
        <x:v>否</x:v>
      </x:c>
      <x:c r="M860" s="21" t="str"/>
      <x:c r="N860" s="21" t="str">
        <x:v>source_and_lexicon_matched</x:v>
      </x:c>
      <x:c r="O860" s="21" t="str">
        <x:v>rule_generated_from_official_table</x:v>
      </x:c>
      <x:c r="P860" s="21" t="n">
        <x:v>15</x:v>
      </x:c>
      <x:c r="Q860" s="21" t="str">
        <x:v>https://doxa.billmounce.com/Flashcards%20%28BBG%29.pdf</x:v>
      </x:c>
      <x:c r="R860" s="16" t="str"/>
    </x:row>
    <x:row r="861" ht="28" customHeight="1">
      <x:c r="A861" s="21" t="n">
        <x:v>857</x:v>
      </x:c>
      <x:c r="B861" s="21" t="n">
        <x:f>ROUNDUP(A861/50,0)</x:f>
        <x:v>18</x:v>
      </x:c>
      <x:c r="C861" s="21" t="n">
        <x:f>MOD(A861-1,50)+1</x:f>
        <x:v>7</x:v>
      </x:c>
      <x:c r="D861" s="29" t="str">
        <x:v>μύρον, -ου, τό</x:v>
      </x:c>
      <x:c r="E861" s="29" t="str">
        <x:v>μύρον</x:v>
      </x:c>
      <x:c r="F861" s="27" t="str">
        <x:v>muron</x:v>
      </x:c>
      <x:c r="G861" s="20" t="str">
        <x:v>"myrrh", i.e. (by implication) perfumed oil</x:v>
      </x:c>
      <x:c r="H861" s="20" t="str"/>
      <x:c r="I861" s="21"/>
      <x:c r="J861" s="21" t="str">
        <x:v>Mounce 頻率延伸</x:v>
      </x:c>
      <x:c r="K861" s="21" t="str">
        <x:v>G3464</x:v>
      </x:c>
      <x:c r="L861" s="21" t="str">
        <x:v>否</x:v>
      </x:c>
      <x:c r="M861" s="21" t="str"/>
      <x:c r="N861" s="21" t="str">
        <x:v>source_and_lexicon_matched</x:v>
      </x:c>
      <x:c r="O861" s="21" t="str">
        <x:v>rule_generated_from_official_table</x:v>
      </x:c>
      <x:c r="P861" s="21" t="n">
        <x:v>15</x:v>
      </x:c>
      <x:c r="Q861" s="21" t="str">
        <x:v>https://doxa.billmounce.com/Flashcards%20%28BBG%29.pdf</x:v>
      </x:c>
      <x:c r="R861" s="16" t="str"/>
    </x:row>
    <x:row r="862" ht="28" customHeight="1">
      <x:c r="A862" s="21" t="n">
        <x:v>858</x:v>
      </x:c>
      <x:c r="B862" s="21" t="n">
        <x:f>ROUNDUP(A862/50,0)</x:f>
        <x:v>18</x:v>
      </x:c>
      <x:c r="C862" s="21" t="n">
        <x:f>MOD(A862-1,50)+1</x:f>
        <x:v>8</x:v>
      </x:c>
      <x:c r="D862" s="29" t="str">
        <x:v>νοέω</x:v>
      </x:c>
      <x:c r="E862" s="29" t="str">
        <x:v>νοέω</x:v>
      </x:c>
      <x:c r="F862" s="27" t="str">
        <x:v>noeō</x:v>
      </x:c>
      <x:c r="G862" s="20" t="str"/>
      <x:c r="H862" s="20" t="str"/>
      <x:c r="I862" s="21"/>
      <x:c r="J862" s="21" t="str">
        <x:v>Mounce 頻率延伸</x:v>
      </x:c>
      <x:c r="K862" s="21" t="str"/>
      <x:c r="L862" s="21" t="str">
        <x:v>否</x:v>
      </x:c>
      <x:c r="M862" s="21" t="str"/>
      <x:c r="N862" s="21" t="str">
        <x:v>source_verified_lexicon_pending</x:v>
      </x:c>
      <x:c r="O862" s="21" t="str">
        <x:v>rule_generated_from_official_table</x:v>
      </x:c>
      <x:c r="P862" s="21" t="n">
        <x:v>15</x:v>
      </x:c>
      <x:c r="Q862" s="21" t="str">
        <x:v>https://doxa.billmounce.com/Flashcards%20%28BBG%29.pdf</x:v>
      </x:c>
      <x:c r="R862" s="16" t="str"/>
    </x:row>
    <x:row r="863" ht="28" customHeight="1">
      <x:c r="A863" s="21" t="n">
        <x:v>859</x:v>
      </x:c>
      <x:c r="B863" s="21" t="n">
        <x:f>ROUNDUP(A863/50,0)</x:f>
        <x:v>18</x:v>
      </x:c>
      <x:c r="C863" s="21" t="n">
        <x:f>MOD(A863-1,50)+1</x:f>
        <x:v>9</x:v>
      </x:c>
      <x:c r="D863" s="29" t="str">
        <x:v>ξένος, -η, -ον</x:v>
      </x:c>
      <x:c r="E863" s="29" t="str">
        <x:v>ξένος</x:v>
      </x:c>
      <x:c r="F863" s="27" t="str">
        <x:v>xenos</x:v>
      </x:c>
      <x:c r="G863" s="20" t="str">
        <x:v>foreign (literally, alien, or figuratively, novel); by implication, a guest or (vice-versa) entertainer</x:v>
      </x:c>
      <x:c r="H863" s="20" t="str"/>
      <x:c r="I863" s="21"/>
      <x:c r="J863" s="21" t="str">
        <x:v>Mounce 頻率延伸</x:v>
      </x:c>
      <x:c r="K863" s="21" t="str">
        <x:v>G3581</x:v>
      </x:c>
      <x:c r="L863" s="21" t="str">
        <x:v>否</x:v>
      </x:c>
      <x:c r="M863" s="21" t="str"/>
      <x:c r="N863" s="21" t="str">
        <x:v>source_and_lexicon_matched</x:v>
      </x:c>
      <x:c r="O863" s="21" t="str">
        <x:v>rule_generated_from_official_table</x:v>
      </x:c>
      <x:c r="P863" s="21" t="n">
        <x:v>15</x:v>
      </x:c>
      <x:c r="Q863" s="21" t="str">
        <x:v>https://doxa.billmounce.com/Flashcards%20%28BBG%29.pdf</x:v>
      </x:c>
      <x:c r="R863" s="16" t="str"/>
    </x:row>
    <x:row r="864" ht="28" customHeight="1">
      <x:c r="A864" s="21" t="n">
        <x:v>860</x:v>
      </x:c>
      <x:c r="B864" s="21" t="n">
        <x:f>ROUNDUP(A864/50,0)</x:f>
        <x:v>18</x:v>
      </x:c>
      <x:c r="C864" s="21" t="n">
        <x:f>MOD(A864-1,50)+1</x:f>
        <x:v>10</x:v>
      </x:c>
      <x:c r="D864" s="29" t="str">
        <x:v>οἷος, -α, -ον</x:v>
      </x:c>
      <x:c r="E864" s="29" t="str">
        <x:v>οἷος</x:v>
      </x:c>
      <x:c r="F864" s="27" t="str">
        <x:v>hoios</x:v>
      </x:c>
      <x:c r="G864" s="20" t="str">
        <x:v>such or what sort of (as a correlation or exclamation); especially the neuter (adverbially) with negative, not so</x:v>
      </x:c>
      <x:c r="H864" s="20" t="str"/>
      <x:c r="I864" s="21"/>
      <x:c r="J864" s="21" t="str">
        <x:v>Mounce 頻率延伸</x:v>
      </x:c>
      <x:c r="K864" s="21" t="str">
        <x:v>G3634</x:v>
      </x:c>
      <x:c r="L864" s="21" t="str">
        <x:v>否</x:v>
      </x:c>
      <x:c r="M864" s="21" t="str"/>
      <x:c r="N864" s="21" t="str">
        <x:v>source_and_lexicon_matched</x:v>
      </x:c>
      <x:c r="O864" s="21" t="str">
        <x:v>rule_generated_from_official_table</x:v>
      </x:c>
      <x:c r="P864" s="21" t="n">
        <x:v>15</x:v>
      </x:c>
      <x:c r="Q864" s="21" t="str">
        <x:v>https://doxa.billmounce.com/Flashcards%20%28BBG%29.pdf</x:v>
      </x:c>
      <x:c r="R864" s="16" t="str"/>
    </x:row>
    <x:row r="865" ht="28" customHeight="1">
      <x:c r="A865" s="21" t="n">
        <x:v>861</x:v>
      </x:c>
      <x:c r="B865" s="21" t="n">
        <x:f>ROUNDUP(A865/50,0)</x:f>
        <x:v>18</x:v>
      </x:c>
      <x:c r="C865" s="21" t="n">
        <x:f>MOD(A865-1,50)+1</x:f>
        <x:v>11</x:v>
      </x:c>
      <x:c r="D865" s="29" t="str">
        <x:v>ὄφις, -εως, ὁ</x:v>
      </x:c>
      <x:c r="E865" s="29" t="str">
        <x:v>ὄφις</x:v>
      </x:c>
      <x:c r="F865" s="27" t="str">
        <x:v>ophis</x:v>
      </x:c>
      <x:c r="G865" s="20" t="str">
        <x:v>a snake, figuratively, (as a type of sly cunning) an artful malicious person, especially Satan</x:v>
      </x:c>
      <x:c r="H865" s="20" t="str"/>
      <x:c r="I865" s="21"/>
      <x:c r="J865" s="21" t="str">
        <x:v>Mounce 頻率延伸</x:v>
      </x:c>
      <x:c r="K865" s="21" t="str">
        <x:v>G3789</x:v>
      </x:c>
      <x:c r="L865" s="21" t="str">
        <x:v>否</x:v>
      </x:c>
      <x:c r="M865" s="21" t="str"/>
      <x:c r="N865" s="21" t="str">
        <x:v>source_and_lexicon_matched</x:v>
      </x:c>
      <x:c r="O865" s="21" t="str">
        <x:v>rule_generated_from_official_table</x:v>
      </x:c>
      <x:c r="P865" s="21" t="n">
        <x:v>15</x:v>
      </x:c>
      <x:c r="Q865" s="21" t="str">
        <x:v>https://doxa.billmounce.com/Flashcards%20%28BBG%29.pdf</x:v>
      </x:c>
      <x:c r="R865" s="16" t="str"/>
    </x:row>
    <x:row r="866" ht="28" customHeight="1">
      <x:c r="A866" s="21" t="n">
        <x:v>862</x:v>
      </x:c>
      <x:c r="B866" s="21" t="n">
        <x:f>ROUNDUP(A866/50,0)</x:f>
        <x:v>18</x:v>
      </x:c>
      <x:c r="C866" s="21" t="n">
        <x:f>MOD(A866-1,50)+1</x:f>
        <x:v>12</x:v>
      </x:c>
      <x:c r="D866" s="29" t="str">
        <x:v>πετεινόν, -οῦ, τό</x:v>
      </x:c>
      <x:c r="E866" s="29" t="str">
        <x:v>πετεινόν</x:v>
      </x:c>
      <x:c r="F866" s="27" t="str">
        <x:v>peteinon</x:v>
      </x:c>
      <x:c r="G866" s="20" t="str">
        <x:v>a flying animal, i.e. bird</x:v>
      </x:c>
      <x:c r="H866" s="20" t="str"/>
      <x:c r="I866" s="21"/>
      <x:c r="J866" s="21" t="str">
        <x:v>Mounce 頻率延伸</x:v>
      </x:c>
      <x:c r="K866" s="21" t="str">
        <x:v>G4071</x:v>
      </x:c>
      <x:c r="L866" s="21" t="str">
        <x:v>否</x:v>
      </x:c>
      <x:c r="M866" s="21" t="str"/>
      <x:c r="N866" s="21" t="str">
        <x:v>source_and_lexicon_matched</x:v>
      </x:c>
      <x:c r="O866" s="21" t="str">
        <x:v>rule_generated_from_official_table</x:v>
      </x:c>
      <x:c r="P866" s="21" t="n">
        <x:v>15</x:v>
      </x:c>
      <x:c r="Q866" s="21" t="str">
        <x:v>https://doxa.billmounce.com/Flashcards%20%28BBG%29.pdf</x:v>
      </x:c>
      <x:c r="R866" s="16" t="str"/>
    </x:row>
    <x:row r="867" ht="28" customHeight="1">
      <x:c r="A867" s="21" t="n">
        <x:v>863</x:v>
      </x:c>
      <x:c r="B867" s="21" t="n">
        <x:f>ROUNDUP(A867/50,0)</x:f>
        <x:v>18</x:v>
      </x:c>
      <x:c r="C867" s="21" t="n">
        <x:f>MOD(A867-1,50)+1</x:f>
        <x:v>13</x:v>
      </x:c>
      <x:c r="D867" s="29" t="str">
        <x:v>προσδέχομαι</x:v>
      </x:c>
      <x:c r="E867" s="29" t="str">
        <x:v>προσδέχομαι</x:v>
      </x:c>
      <x:c r="F867" s="27" t="str">
        <x:v>prosdechomai</x:v>
      </x:c>
      <x:c r="G867" s="20" t="str">
        <x:v>to admit (to intercourse, hospitality, credence, or (figuratively) endurance); by implication, to await (with confidence or patience)</x:v>
      </x:c>
      <x:c r="H867" s="20" t="str"/>
      <x:c r="I867" s="21"/>
      <x:c r="J867" s="21" t="str">
        <x:v>Mounce 頻率延伸</x:v>
      </x:c>
      <x:c r="K867" s="21" t="str">
        <x:v>G4327</x:v>
      </x:c>
      <x:c r="L867" s="21" t="str">
        <x:v>否</x:v>
      </x:c>
      <x:c r="M867" s="21" t="str"/>
      <x:c r="N867" s="21" t="str">
        <x:v>source_and_lexicon_matched</x:v>
      </x:c>
      <x:c r="O867" s="21" t="str">
        <x:v>rule_generated_from_official_table</x:v>
      </x:c>
      <x:c r="P867" s="21" t="n">
        <x:v>15</x:v>
      </x:c>
      <x:c r="Q867" s="21" t="str">
        <x:v>https://doxa.billmounce.com/Flashcards%20%28BBG%29.pdf</x:v>
      </x:c>
      <x:c r="R867" s="16" t="str"/>
    </x:row>
    <x:row r="868" ht="28" customHeight="1">
      <x:c r="A868" s="21" t="n">
        <x:v>864</x:v>
      </x:c>
      <x:c r="B868" s="21" t="n">
        <x:f>ROUNDUP(A868/50,0)</x:f>
        <x:v>18</x:v>
      </x:c>
      <x:c r="C868" s="21" t="n">
        <x:f>MOD(A868-1,50)+1</x:f>
        <x:v>14</x:v>
      </x:c>
      <x:c r="D868" s="29" t="str">
        <x:v>Σαδδουκαῖος, -ου, ὁ</x:v>
      </x:c>
      <x:c r="E868" s="29" t="str">
        <x:v>Σαδδουκαῖος</x:v>
      </x:c>
      <x:c r="F868" s="27" t="str">
        <x:v>Saddoukaios</x:v>
      </x:c>
      <x:c r="G868" s="20" t="str">
        <x:v>a Sadducæan (i.e. Tsadokian), or follower of a certain heretical Israelite</x:v>
      </x:c>
      <x:c r="H868" s="20" t="str"/>
      <x:c r="I868" s="21"/>
      <x:c r="J868" s="21" t="str">
        <x:v>Mounce 頻率延伸</x:v>
      </x:c>
      <x:c r="K868" s="21" t="str">
        <x:v>G4523</x:v>
      </x:c>
      <x:c r="L868" s="21" t="str">
        <x:v>是</x:v>
      </x:c>
      <x:c r="M868" s="21" t="str">
        <x:v>民族／國族</x:v>
      </x:c>
      <x:c r="N868" s="21" t="str">
        <x:v>source_and_lexicon_matched</x:v>
      </x:c>
      <x:c r="O868" s="21" t="str">
        <x:v>rule_generated_from_official_table</x:v>
      </x:c>
      <x:c r="P868" s="21" t="n">
        <x:v>15</x:v>
      </x:c>
      <x:c r="Q868" s="21" t="str">
        <x:v>https://doxa.billmounce.com/Flashcards%20%28BBG%29.pdf</x:v>
      </x:c>
      <x:c r="R868" s="16" t="str"/>
    </x:row>
    <x:row r="869" ht="28" customHeight="1">
      <x:c r="A869" s="21" t="n">
        <x:v>865</x:v>
      </x:c>
      <x:c r="B869" s="21" t="n">
        <x:f>ROUNDUP(A869/50,0)</x:f>
        <x:v>18</x:v>
      </x:c>
      <x:c r="C869" s="21" t="n">
        <x:f>MOD(A869-1,50)+1</x:f>
        <x:v>15</x:v>
      </x:c>
      <x:c r="D869" s="29" t="str">
        <x:v>σεισμός, -οῦ, ὁ</x:v>
      </x:c>
      <x:c r="E869" s="29" t="str">
        <x:v>σεισμός</x:v>
      </x:c>
      <x:c r="F869" s="27" t="str">
        <x:v>seismos</x:v>
      </x:c>
      <x:c r="G869" s="20" t="str">
        <x:v>a commotion, i.e. (of the air) a gale, (of the ground) an earthquake</x:v>
      </x:c>
      <x:c r="H869" s="20" t="str"/>
      <x:c r="I869" s="21"/>
      <x:c r="J869" s="21" t="str">
        <x:v>Mounce 頻率延伸</x:v>
      </x:c>
      <x:c r="K869" s="21" t="str">
        <x:v>G4578</x:v>
      </x:c>
      <x:c r="L869" s="21" t="str">
        <x:v>否</x:v>
      </x:c>
      <x:c r="M869" s="21" t="str"/>
      <x:c r="N869" s="21" t="str">
        <x:v>source_and_lexicon_matched</x:v>
      </x:c>
      <x:c r="O869" s="21" t="str">
        <x:v>rule_generated_from_official_table</x:v>
      </x:c>
      <x:c r="P869" s="21" t="n">
        <x:v>15</x:v>
      </x:c>
      <x:c r="Q869" s="21" t="str">
        <x:v>https://doxa.billmounce.com/Flashcards%20%28BBG%29.pdf</x:v>
      </x:c>
      <x:c r="R869" s="16" t="str"/>
    </x:row>
    <x:row r="870" ht="28" customHeight="1">
      <x:c r="A870" s="21" t="n">
        <x:v>866</x:v>
      </x:c>
      <x:c r="B870" s="21" t="n">
        <x:f>ROUNDUP(A870/50,0)</x:f>
        <x:v>18</x:v>
      </x:c>
      <x:c r="C870" s="21" t="n">
        <x:f>MOD(A870-1,50)+1</x:f>
        <x:v>16</x:v>
      </x:c>
      <x:c r="D870" s="29" t="str">
        <x:v>σῖτος, -ου, ὁ</x:v>
      </x:c>
      <x:c r="E870" s="29" t="str">
        <x:v>σῖτος</x:v>
      </x:c>
      <x:c r="F870" s="27" t="str">
        <x:v>sitos</x:v>
      </x:c>
      <x:c r="G870" s="20" t="str">
        <x:v>grain, especially wheat</x:v>
      </x:c>
      <x:c r="H870" s="20" t="str"/>
      <x:c r="I870" s="21"/>
      <x:c r="J870" s="21" t="str">
        <x:v>Mounce 頻率延伸</x:v>
      </x:c>
      <x:c r="K870" s="21" t="str">
        <x:v>G4621</x:v>
      </x:c>
      <x:c r="L870" s="21" t="str">
        <x:v>否</x:v>
      </x:c>
      <x:c r="M870" s="21" t="str"/>
      <x:c r="N870" s="21" t="str">
        <x:v>source_and_lexicon_matched</x:v>
      </x:c>
      <x:c r="O870" s="21" t="str">
        <x:v>rule_generated_from_official_table</x:v>
      </x:c>
      <x:c r="P870" s="21" t="n">
        <x:v>15</x:v>
      </x:c>
      <x:c r="Q870" s="21" t="str">
        <x:v>https://doxa.billmounce.com/Flashcards%20%28BBG%29.pdf</x:v>
      </x:c>
      <x:c r="R870" s="16" t="str"/>
    </x:row>
    <x:row r="871" ht="28" customHeight="1">
      <x:c r="A871" s="21" t="n">
        <x:v>867</x:v>
      </x:c>
      <x:c r="B871" s="21" t="n">
        <x:f>ROUNDUP(A871/50,0)</x:f>
        <x:v>18</x:v>
      </x:c>
      <x:c r="C871" s="21" t="n">
        <x:f>MOD(A871-1,50)+1</x:f>
        <x:v>17</x:v>
      </x:c>
      <x:c r="D871" s="29" t="str">
        <x:v>τάλαντον, -ου, τό</x:v>
      </x:c>
      <x:c r="E871" s="29" t="str">
        <x:v>τάλαντον</x:v>
      </x:c>
      <x:c r="F871" s="27" t="str">
        <x:v>talanton</x:v>
      </x:c>
      <x:c r="G871" s="20" t="str">
        <x:v>equivalent to G5342 (φέρω)); a balance (as supporting weights), i.e. (by implication) a certain weight (and thence a coin or rather sum of money) or "talent"</x:v>
      </x:c>
      <x:c r="H871" s="20" t="str"/>
      <x:c r="I871" s="21"/>
      <x:c r="J871" s="21" t="str">
        <x:v>Mounce 頻率延伸</x:v>
      </x:c>
      <x:c r="K871" s="21" t="str">
        <x:v>G5007</x:v>
      </x:c>
      <x:c r="L871" s="21" t="str">
        <x:v>否</x:v>
      </x:c>
      <x:c r="M871" s="21" t="str"/>
      <x:c r="N871" s="21" t="str">
        <x:v>source_and_lexicon_matched</x:v>
      </x:c>
      <x:c r="O871" s="21" t="str">
        <x:v>rule_generated_from_official_table</x:v>
      </x:c>
      <x:c r="P871" s="21" t="n">
        <x:v>15</x:v>
      </x:c>
      <x:c r="Q871" s="21" t="str">
        <x:v>https://doxa.billmounce.com/Flashcards%20%28BBG%29.pdf</x:v>
      </x:c>
      <x:c r="R871" s="16" t="str"/>
    </x:row>
    <x:row r="872" ht="28" customHeight="1">
      <x:c r="A872" s="21" t="n">
        <x:v>868</x:v>
      </x:c>
      <x:c r="B872" s="21" t="n">
        <x:f>ROUNDUP(A872/50,0)</x:f>
        <x:v>18</x:v>
      </x:c>
      <x:c r="C872" s="21" t="n">
        <x:f>MOD(A872-1,50)+1</x:f>
        <x:v>18</x:v>
      </x:c>
      <x:c r="D872" s="29" t="str">
        <x:v>ταπεινόω</x:v>
      </x:c>
      <x:c r="E872" s="29" t="str">
        <x:v>ταπεινόω</x:v>
      </x:c>
      <x:c r="F872" s="27" t="str">
        <x:v>tapeinoō</x:v>
      </x:c>
      <x:c r="G872" s="20" t="str">
        <x:v>to depress; figuratively, to humiliate (in condition or heart)</x:v>
      </x:c>
      <x:c r="H872" s="20" t="str"/>
      <x:c r="I872" s="21"/>
      <x:c r="J872" s="21" t="str">
        <x:v>Mounce 頻率延伸</x:v>
      </x:c>
      <x:c r="K872" s="21" t="str">
        <x:v>G5013</x:v>
      </x:c>
      <x:c r="L872" s="21" t="str">
        <x:v>否</x:v>
      </x:c>
      <x:c r="M872" s="21" t="str"/>
      <x:c r="N872" s="21" t="str">
        <x:v>source_and_lexicon_matched</x:v>
      </x:c>
      <x:c r="O872" s="21" t="str">
        <x:v>rule_generated_from_official_table</x:v>
      </x:c>
      <x:c r="P872" s="21" t="n">
        <x:v>15</x:v>
      </x:c>
      <x:c r="Q872" s="21" t="str">
        <x:v>https://doxa.billmounce.com/Flashcards%20%28BBG%29.pdf</x:v>
      </x:c>
      <x:c r="R872" s="16" t="str"/>
    </x:row>
    <x:row r="873" ht="28" customHeight="1">
      <x:c r="A873" s="21" t="n">
        <x:v>869</x:v>
      </x:c>
      <x:c r="B873" s="21" t="n">
        <x:f>ROUNDUP(A873/50,0)</x:f>
        <x:v>18</x:v>
      </x:c>
      <x:c r="C873" s="21" t="n">
        <x:f>MOD(A873-1,50)+1</x:f>
        <x:v>19</x:v>
      </x:c>
      <x:c r="D873" s="29" t="str">
        <x:v>φρόνιμος, -ον</x:v>
      </x:c>
      <x:c r="E873" s="29" t="str">
        <x:v>φρόνιμος</x:v>
      </x:c>
      <x:c r="F873" s="27" t="str">
        <x:v>phronimos</x:v>
      </x:c>
      <x:c r="G873" s="20" t="str">
        <x:v>thoughtful, i.e. sagacious or discreet (implying a cautious character; while G4680 (σοφός) denotes practical skill or acumen; and G4908 (συνετός) indicates rather intelligence or mental acquirement); in a bad sense conceited (also in the comparative)</x:v>
      </x:c>
      <x:c r="H873" s="20" t="str"/>
      <x:c r="I873" s="21"/>
      <x:c r="J873" s="21" t="str">
        <x:v>Mounce 頻率延伸</x:v>
      </x:c>
      <x:c r="K873" s="21" t="str">
        <x:v>G5429</x:v>
      </x:c>
      <x:c r="L873" s="21" t="str">
        <x:v>否</x:v>
      </x:c>
      <x:c r="M873" s="21" t="str"/>
      <x:c r="N873" s="21" t="str">
        <x:v>source_and_lexicon_matched</x:v>
      </x:c>
      <x:c r="O873" s="21" t="str">
        <x:v>rule_generated_from_official_table</x:v>
      </x:c>
      <x:c r="P873" s="21" t="n">
        <x:v>15</x:v>
      </x:c>
      <x:c r="Q873" s="21" t="str">
        <x:v>https://doxa.billmounce.com/Flashcards%20%28BBG%29.pdf</x:v>
      </x:c>
      <x:c r="R873" s="16" t="str"/>
    </x:row>
    <x:row r="874" ht="28" customHeight="1">
      <x:c r="A874" s="21" t="n">
        <x:v>870</x:v>
      </x:c>
      <x:c r="B874" s="21" t="n">
        <x:f>ROUNDUP(A874/50,0)</x:f>
        <x:v>18</x:v>
      </x:c>
      <x:c r="C874" s="21" t="n">
        <x:f>MOD(A874-1,50)+1</x:f>
        <x:v>20</x:v>
      </x:c>
      <x:c r="D874" s="29" t="str">
        <x:v>φύσις, -εως, ἡ</x:v>
      </x:c>
      <x:c r="E874" s="29" t="str">
        <x:v>φύσις</x:v>
      </x:c>
      <x:c r="F874" s="27" t="str">
        <x:v>phusis</x:v>
      </x:c>
      <x:c r="G874" s="20" t="str">
        <x:v>growth (by germination or expansion), i.e. (by implication) natural production (lineal descent); by extension, a genus or sort; figuratively, native disposition, constitution or usage</x:v>
      </x:c>
      <x:c r="H874" s="20" t="str"/>
      <x:c r="I874" s="21"/>
      <x:c r="J874" s="21" t="str">
        <x:v>Mounce 頻率延伸</x:v>
      </x:c>
      <x:c r="K874" s="21" t="str">
        <x:v>G5449</x:v>
      </x:c>
      <x:c r="L874" s="21" t="str">
        <x:v>否</x:v>
      </x:c>
      <x:c r="M874" s="21" t="str"/>
      <x:c r="N874" s="21" t="str">
        <x:v>source_and_lexicon_matched</x:v>
      </x:c>
      <x:c r="O874" s="21" t="str">
        <x:v>rule_generated_from_official_table</x:v>
      </x:c>
      <x:c r="P874" s="21" t="n">
        <x:v>15</x:v>
      </x:c>
      <x:c r="Q874" s="21" t="str">
        <x:v>https://doxa.billmounce.com/Flashcards%20%28BBG%29.pdf</x:v>
      </x:c>
      <x:c r="R874" s="16" t="str"/>
    </x:row>
    <x:row r="875" ht="28" customHeight="1">
      <x:c r="A875" s="21" t="n">
        <x:v>871</x:v>
      </x:c>
      <x:c r="B875" s="21" t="n">
        <x:f>ROUNDUP(A875/50,0)</x:f>
        <x:v>18</x:v>
      </x:c>
      <x:c r="C875" s="21" t="n">
        <x:f>MOD(A875-1,50)+1</x:f>
        <x:v>21</x:v>
      </x:c>
      <x:c r="D875" s="29" t="str">
        <x:v>χωλός, -ή, -όν</x:v>
      </x:c>
      <x:c r="E875" s="29" t="str">
        <x:v>χωλός</x:v>
      </x:c>
      <x:c r="F875" s="27" t="str">
        <x:v>chōlos</x:v>
      </x:c>
      <x:c r="G875" s="20" t="str">
        <x:v>"halt", i.e. limping</x:v>
      </x:c>
      <x:c r="H875" s="20" t="str"/>
      <x:c r="I875" s="21"/>
      <x:c r="J875" s="21" t="str">
        <x:v>Mounce 頻率延伸</x:v>
      </x:c>
      <x:c r="K875" s="21" t="str">
        <x:v>G5560</x:v>
      </x:c>
      <x:c r="L875" s="21" t="str">
        <x:v>否</x:v>
      </x:c>
      <x:c r="M875" s="21" t="str"/>
      <x:c r="N875" s="21" t="str">
        <x:v>source_and_lexicon_matched</x:v>
      </x:c>
      <x:c r="O875" s="21" t="str">
        <x:v>rule_generated_from_official_table</x:v>
      </x:c>
      <x:c r="P875" s="21" t="n">
        <x:v>15</x:v>
      </x:c>
      <x:c r="Q875" s="21" t="str">
        <x:v>https://doxa.billmounce.com/Flashcards%20%28BBG%29.pdf</x:v>
      </x:c>
      <x:c r="R875" s="16" t="str"/>
    </x:row>
    <x:row r="876" ht="28" customHeight="1">
      <x:c r="A876" s="21" t="n">
        <x:v>872</x:v>
      </x:c>
      <x:c r="B876" s="21" t="n">
        <x:f>ROUNDUP(A876/50,0)</x:f>
        <x:v>18</x:v>
      </x:c>
      <x:c r="C876" s="21" t="n">
        <x:f>MOD(A876-1,50)+1</x:f>
        <x:v>22</x:v>
      </x:c>
      <x:c r="D876" s="29" t="str">
        <x:v>ἀνά</x:v>
      </x:c>
      <x:c r="E876" s="29" t="str">
        <x:v>ἀνά</x:v>
      </x:c>
      <x:c r="F876" s="27" t="str">
        <x:v>ana</x:v>
      </x:c>
      <x:c r="G876" s="20" t="str">
        <x:v>properly, up; but (by extension) used (distributively) severally, or (locally) at (etc.)</x:v>
      </x:c>
      <x:c r="H876" s="20" t="str"/>
      <x:c r="I876" s="21"/>
      <x:c r="J876" s="21" t="str">
        <x:v>Mounce 頻率延伸</x:v>
      </x:c>
      <x:c r="K876" s="21" t="str">
        <x:v>G303</x:v>
      </x:c>
      <x:c r="L876" s="21" t="str">
        <x:v>否</x:v>
      </x:c>
      <x:c r="M876" s="21" t="str"/>
      <x:c r="N876" s="21" t="str">
        <x:v>source_and_lexicon_matched</x:v>
      </x:c>
      <x:c r="O876" s="21" t="str">
        <x:v>rule_generated_from_official_table</x:v>
      </x:c>
      <x:c r="P876" s="21" t="n">
        <x:v>15</x:v>
      </x:c>
      <x:c r="Q876" s="21" t="str">
        <x:v>https://doxa.billmounce.com/Flashcards%20%28BBG%29.pdf</x:v>
      </x:c>
      <x:c r="R876" s="16" t="str"/>
    </x:row>
    <x:row r="877" ht="28" customHeight="1">
      <x:c r="A877" s="21" t="n">
        <x:v>873</x:v>
      </x:c>
      <x:c r="B877" s="21" t="n">
        <x:f>ROUNDUP(A877/50,0)</x:f>
        <x:v>18</x:v>
      </x:c>
      <x:c r="C877" s="21" t="n">
        <x:f>MOD(A877-1,50)+1</x:f>
        <x:v>23</x:v>
      </x:c>
      <x:c r="D877" s="29" t="str">
        <x:v>ἀναλαμβάνω</x:v>
      </x:c>
      <x:c r="E877" s="29" t="str">
        <x:v>ἀναλαμβάνω</x:v>
      </x:c>
      <x:c r="F877" s="27" t="str">
        <x:v>analambanō</x:v>
      </x:c>
      <x:c r="G877" s="20" t="str">
        <x:v>to take up</x:v>
      </x:c>
      <x:c r="H877" s="20" t="str"/>
      <x:c r="I877" s="21"/>
      <x:c r="J877" s="21" t="str">
        <x:v>Mounce 頻率延伸</x:v>
      </x:c>
      <x:c r="K877" s="21" t="str">
        <x:v>G353</x:v>
      </x:c>
      <x:c r="L877" s="21" t="str">
        <x:v>否</x:v>
      </x:c>
      <x:c r="M877" s="21" t="str"/>
      <x:c r="N877" s="21" t="str">
        <x:v>source_and_lexicon_matched</x:v>
      </x:c>
      <x:c r="O877" s="21" t="str">
        <x:v>rule_generated_from_official_table</x:v>
      </x:c>
      <x:c r="P877" s="21" t="n">
        <x:v>15</x:v>
      </x:c>
      <x:c r="Q877" s="21" t="str">
        <x:v>https://doxa.billmounce.com/Flashcards%20%28BBG%29.pdf</x:v>
      </x:c>
      <x:c r="R877" s="16" t="str"/>
    </x:row>
    <x:row r="878" ht="28" customHeight="1">
      <x:c r="A878" s="21" t="n">
        <x:v>874</x:v>
      </x:c>
      <x:c r="B878" s="21" t="n">
        <x:f>ROUNDUP(A878/50,0)</x:f>
        <x:v>18</x:v>
      </x:c>
      <x:c r="C878" s="21" t="n">
        <x:f>MOD(A878-1,50)+1</x:f>
        <x:v>24</x:v>
      </x:c>
      <x:c r="D878" s="29" t="str">
        <x:v>ἀναστροφή, -ῆς, ἡ</x:v>
      </x:c>
      <x:c r="E878" s="29" t="str">
        <x:v>ἀναστροφή</x:v>
      </x:c>
      <x:c r="F878" s="27" t="str">
        <x:v>anastrophē</x:v>
      </x:c>
      <x:c r="G878" s="20" t="str">
        <x:v>behavior</x:v>
      </x:c>
      <x:c r="H878" s="20" t="str"/>
      <x:c r="I878" s="21"/>
      <x:c r="J878" s="21" t="str">
        <x:v>Mounce 頻率延伸</x:v>
      </x:c>
      <x:c r="K878" s="21" t="str">
        <x:v>G391</x:v>
      </x:c>
      <x:c r="L878" s="21" t="str">
        <x:v>否</x:v>
      </x:c>
      <x:c r="M878" s="21" t="str"/>
      <x:c r="N878" s="21" t="str">
        <x:v>source_and_lexicon_matched</x:v>
      </x:c>
      <x:c r="O878" s="21" t="str">
        <x:v>rule_generated_from_official_table</x:v>
      </x:c>
      <x:c r="P878" s="21" t="n">
        <x:v>15</x:v>
      </x:c>
      <x:c r="Q878" s="21" t="str">
        <x:v>https://doxa.billmounce.com/Flashcards%20%28BBG%29.pdf</x:v>
      </x:c>
      <x:c r="R878" s="16" t="str"/>
    </x:row>
    <x:row r="879" ht="28" customHeight="1">
      <x:c r="A879" s="21" t="n">
        <x:v>875</x:v>
      </x:c>
      <x:c r="B879" s="21" t="n">
        <x:f>ROUNDUP(A879/50,0)</x:f>
        <x:v>18</x:v>
      </x:c>
      <x:c r="C879" s="21" t="n">
        <x:f>MOD(A879-1,50)+1</x:f>
        <x:v>25</x:v>
      </x:c>
      <x:c r="D879" s="29" t="str">
        <x:v>Ἀνδρέας, -ου, ὁ</x:v>
      </x:c>
      <x:c r="E879" s="29" t="str">
        <x:v>Ἀνδρέας</x:v>
      </x:c>
      <x:c r="F879" s="27" t="str">
        <x:v>Andreas</x:v>
      </x:c>
      <x:c r="G879" s="20" t="str">
        <x:v>manly; Andreas, an Israelite</x:v>
      </x:c>
      <x:c r="H879" s="20" t="str"/>
      <x:c r="I879" s="21"/>
      <x:c r="J879" s="21" t="str">
        <x:v>Mounce 頻率延伸</x:v>
      </x:c>
      <x:c r="K879" s="21" t="str">
        <x:v>G406</x:v>
      </x:c>
      <x:c r="L879" s="21" t="str">
        <x:v>是</x:v>
      </x:c>
      <x:c r="M879" s="21" t="str">
        <x:v>人名</x:v>
      </x:c>
      <x:c r="N879" s="21" t="str">
        <x:v>source_and_lexicon_matched</x:v>
      </x:c>
      <x:c r="O879" s="21" t="str">
        <x:v>rule_generated_from_official_table</x:v>
      </x:c>
      <x:c r="P879" s="21" t="n">
        <x:v>15</x:v>
      </x:c>
      <x:c r="Q879" s="21" t="str">
        <x:v>https://doxa.billmounce.com/Flashcards%20%28BBG%29.pdf</x:v>
      </x:c>
      <x:c r="R879" s="16" t="str"/>
    </x:row>
    <x:row r="880" ht="28" customHeight="1">
      <x:c r="A880" s="21" t="n">
        <x:v>876</x:v>
      </x:c>
      <x:c r="B880" s="21" t="n">
        <x:f>ROUNDUP(A880/50,0)</x:f>
        <x:v>18</x:v>
      </x:c>
      <x:c r="C880" s="21" t="n">
        <x:f>MOD(A880-1,50)+1</x:f>
        <x:v>26</x:v>
      </x:c>
      <x:c r="D880" s="29" t="str">
        <x:v>ἄνωθεν</x:v>
      </x:c>
      <x:c r="E880" s="29" t="str">
        <x:v>ἄνωθεν</x:v>
      </x:c>
      <x:c r="F880" s="27" t="str">
        <x:v>anōthen</x:v>
      </x:c>
      <x:c r="G880" s="20" t="str">
        <x:v>from above; by analogy, from the first; by implication, anew</x:v>
      </x:c>
      <x:c r="H880" s="20" t="str"/>
      <x:c r="I880" s="21"/>
      <x:c r="J880" s="21" t="str">
        <x:v>Mounce 頻率延伸</x:v>
      </x:c>
      <x:c r="K880" s="21" t="str">
        <x:v>G509</x:v>
      </x:c>
      <x:c r="L880" s="21" t="str">
        <x:v>否</x:v>
      </x:c>
      <x:c r="M880" s="21" t="str"/>
      <x:c r="N880" s="21" t="str">
        <x:v>source_and_lexicon_matched</x:v>
      </x:c>
      <x:c r="O880" s="21" t="str">
        <x:v>rule_generated_from_official_table</x:v>
      </x:c>
      <x:c r="P880" s="21" t="n">
        <x:v>15</x:v>
      </x:c>
      <x:c r="Q880" s="21" t="str">
        <x:v>https://doxa.billmounce.com/Flashcards%20%28BBG%29.pdf</x:v>
      </x:c>
      <x:c r="R880" s="16" t="str"/>
    </x:row>
    <x:row r="881" ht="28" customHeight="1">
      <x:c r="A881" s="21" t="n">
        <x:v>877</x:v>
      </x:c>
      <x:c r="B881" s="21" t="n">
        <x:f>ROUNDUP(A881/50,0)</x:f>
        <x:v>18</x:v>
      </x:c>
      <x:c r="C881" s="21" t="n">
        <x:f>MOD(A881-1,50)+1</x:f>
        <x:v>27</x:v>
      </x:c>
      <x:c r="D881" s="29" t="str">
        <x:v>δαιμονίζομαι</x:v>
      </x:c>
      <x:c r="E881" s="29" t="str">
        <x:v>δαιμονίζομαι</x:v>
      </x:c>
      <x:c r="F881" s="27" t="str">
        <x:v>daimonizomai</x:v>
      </x:c>
      <x:c r="G881" s="20" t="str">
        <x:v>to be exercised by a dæmon</x:v>
      </x:c>
      <x:c r="H881" s="20" t="str"/>
      <x:c r="I881" s="21"/>
      <x:c r="J881" s="21" t="str">
        <x:v>Mounce 頻率延伸</x:v>
      </x:c>
      <x:c r="K881" s="21" t="str">
        <x:v>G1139</x:v>
      </x:c>
      <x:c r="L881" s="21" t="str">
        <x:v>否</x:v>
      </x:c>
      <x:c r="M881" s="21" t="str"/>
      <x:c r="N881" s="21" t="str">
        <x:v>source_and_lexicon_matched</x:v>
      </x:c>
      <x:c r="O881" s="21" t="str">
        <x:v>rule_generated_from_official_table</x:v>
      </x:c>
      <x:c r="P881" s="21" t="n">
        <x:v>15</x:v>
      </x:c>
      <x:c r="Q881" s="21" t="str">
        <x:v>https://doxa.billmounce.com/Flashcards%20%28BBG%29.pdf</x:v>
      </x:c>
      <x:c r="R881" s="16" t="str"/>
    </x:row>
    <x:row r="882" ht="28" customHeight="1">
      <x:c r="A882" s="21" t="n">
        <x:v>878</x:v>
      </x:c>
      <x:c r="B882" s="21" t="n">
        <x:f>ROUNDUP(A882/50,0)</x:f>
        <x:v>18</x:v>
      </x:c>
      <x:c r="C882" s="21" t="n">
        <x:f>MOD(A882-1,50)+1</x:f>
        <x:v>28</x:v>
      </x:c>
      <x:c r="D882" s="29" t="str">
        <x:v>διαλέγομαι</x:v>
      </x:c>
      <x:c r="E882" s="29" t="str">
        <x:v>διαλέγομαι</x:v>
      </x:c>
      <x:c r="F882" s="27" t="str">
        <x:v>dialegomai</x:v>
      </x:c>
      <x:c r="G882" s="20" t="str">
        <x:v>to say thoroughly, i.e. discuss (in argument or exhortation)</x:v>
      </x:c>
      <x:c r="H882" s="20" t="str"/>
      <x:c r="I882" s="21"/>
      <x:c r="J882" s="21" t="str">
        <x:v>Mounce 頻率延伸</x:v>
      </x:c>
      <x:c r="K882" s="21" t="str">
        <x:v>G1256</x:v>
      </x:c>
      <x:c r="L882" s="21" t="str">
        <x:v>否</x:v>
      </x:c>
      <x:c r="M882" s="21" t="str"/>
      <x:c r="N882" s="21" t="str">
        <x:v>source_and_lexicon_matched</x:v>
      </x:c>
      <x:c r="O882" s="21" t="str">
        <x:v>rule_generated_from_official_table</x:v>
      </x:c>
      <x:c r="P882" s="21" t="n">
        <x:v>15</x:v>
      </x:c>
      <x:c r="Q882" s="21" t="str">
        <x:v>https://doxa.billmounce.com/Flashcards%20%28BBG%29.pdf</x:v>
      </x:c>
      <x:c r="R882" s="16" t="str"/>
    </x:row>
    <x:row r="883" ht="28" customHeight="1">
      <x:c r="A883" s="21" t="n">
        <x:v>879</x:v>
      </x:c>
      <x:c r="B883" s="21" t="n">
        <x:f>ROUNDUP(A883/50,0)</x:f>
        <x:v>18</x:v>
      </x:c>
      <x:c r="C883" s="21" t="n">
        <x:f>MOD(A883-1,50)+1</x:f>
        <x:v>29</x:v>
      </x:c>
      <x:c r="D883" s="29" t="str">
        <x:v>διαφέρω</x:v>
      </x:c>
      <x:c r="E883" s="29" t="str">
        <x:v>διαφέρω</x:v>
      </x:c>
      <x:c r="F883" s="27" t="str">
        <x:v>diapherō</x:v>
      </x:c>
      <x:c r="G883" s="20" t="str">
        <x:v>to bear through, i.e. (literally) transport; usually to bear apart, i.e. (objectively) to toss about (figuratively, report); subjectively, to "differ", or (by implication) surpass</x:v>
      </x:c>
      <x:c r="H883" s="20" t="str"/>
      <x:c r="I883" s="21"/>
      <x:c r="J883" s="21" t="str">
        <x:v>Mounce 頻率延伸</x:v>
      </x:c>
      <x:c r="K883" s="21" t="str">
        <x:v>G1308</x:v>
      </x:c>
      <x:c r="L883" s="21" t="str">
        <x:v>否</x:v>
      </x:c>
      <x:c r="M883" s="21" t="str"/>
      <x:c r="N883" s="21" t="str">
        <x:v>source_and_lexicon_matched</x:v>
      </x:c>
      <x:c r="O883" s="21" t="str">
        <x:v>rule_generated_from_official_table</x:v>
      </x:c>
      <x:c r="P883" s="21" t="n">
        <x:v>15</x:v>
      </x:c>
      <x:c r="Q883" s="21" t="str">
        <x:v>https://doxa.billmounce.com/Flashcards%20%28BBG%29.pdf</x:v>
      </x:c>
      <x:c r="R883" s="16" t="str"/>
    </x:row>
    <x:row r="884" ht="28" customHeight="1">
      <x:c r="A884" s="21" t="n">
        <x:v>880</x:v>
      </x:c>
      <x:c r="B884" s="21" t="n">
        <x:f>ROUNDUP(A884/50,0)</x:f>
        <x:v>18</x:v>
      </x:c>
      <x:c r="C884" s="21" t="n">
        <x:f>MOD(A884-1,50)+1</x:f>
        <x:v>30</x:v>
      </x:c>
      <x:c r="D884" s="29" t="str">
        <x:v>δράκων, -οντος, ὁ</x:v>
      </x:c>
      <x:c r="E884" s="29" t="str">
        <x:v>δράκων</x:v>
      </x:c>
      <x:c r="F884" s="27" t="str">
        <x:v>drakōn</x:v>
      </x:c>
      <x:c r="G884" s="20" t="str">
        <x:v>a fabulous kind of serpent (perhaps as supposed to fascinate)</x:v>
      </x:c>
      <x:c r="H884" s="20" t="str"/>
      <x:c r="I884" s="21"/>
      <x:c r="J884" s="21" t="str">
        <x:v>Mounce 頻率延伸</x:v>
      </x:c>
      <x:c r="K884" s="21" t="str">
        <x:v>G1404</x:v>
      </x:c>
      <x:c r="L884" s="21" t="str">
        <x:v>否</x:v>
      </x:c>
      <x:c r="M884" s="21" t="str"/>
      <x:c r="N884" s="21" t="str">
        <x:v>source_and_lexicon_matched</x:v>
      </x:c>
      <x:c r="O884" s="21" t="str">
        <x:v>rule_generated_from_official_table</x:v>
      </x:c>
      <x:c r="P884" s="21" t="n">
        <x:v>15</x:v>
      </x:c>
      <x:c r="Q884" s="21" t="str">
        <x:v>https://doxa.billmounce.com/Flashcards%20%28BBG%29.pdf</x:v>
      </x:c>
      <x:c r="R884" s="16" t="str"/>
    </x:row>
    <x:row r="885" ht="28" customHeight="1">
      <x:c r="A885" s="21" t="n">
        <x:v>881</x:v>
      </x:c>
      <x:c r="B885" s="21" t="n">
        <x:f>ROUNDUP(A885/50,0)</x:f>
        <x:v>18</x:v>
      </x:c>
      <x:c r="C885" s="21" t="n">
        <x:f>MOD(A885-1,50)+1</x:f>
        <x:v>31</x:v>
      </x:c>
      <x:c r="D885" s="29" t="str">
        <x:v>ἐκπλήσσω</x:v>
      </x:c>
      <x:c r="E885" s="29" t="str">
        <x:v>ἐκπλήσσω</x:v>
      </x:c>
      <x:c r="F885" s="27" t="str">
        <x:v>ekplēssō</x:v>
      </x:c>
      <x:c r="G885" s="20" t="str">
        <x:v>to strike with astonishment</x:v>
      </x:c>
      <x:c r="H885" s="20" t="str"/>
      <x:c r="I885" s="21"/>
      <x:c r="J885" s="21" t="str">
        <x:v>Mounce 頻率延伸</x:v>
      </x:c>
      <x:c r="K885" s="21" t="str">
        <x:v>G1605</x:v>
      </x:c>
      <x:c r="L885" s="21" t="str">
        <x:v>否</x:v>
      </x:c>
      <x:c r="M885" s="21" t="str"/>
      <x:c r="N885" s="21" t="str">
        <x:v>source_and_lexicon_matched</x:v>
      </x:c>
      <x:c r="O885" s="21" t="str">
        <x:v>rule_generated_from_official_table</x:v>
      </x:c>
      <x:c r="P885" s="21" t="n">
        <x:v>15</x:v>
      </x:c>
      <x:c r="Q885" s="21" t="str">
        <x:v>https://doxa.billmounce.com/Flashcards%20%28BBG%29.pdf</x:v>
      </x:c>
      <x:c r="R885" s="16" t="str"/>
    </x:row>
    <x:row r="886" ht="28" customHeight="1">
      <x:c r="A886" s="21" t="n">
        <x:v>882</x:v>
      </x:c>
      <x:c r="B886" s="21" t="n">
        <x:f>ROUNDUP(A886/50,0)</x:f>
        <x:v>18</x:v>
      </x:c>
      <x:c r="C886" s="21" t="n">
        <x:f>MOD(A886-1,50)+1</x:f>
        <x:v>32</x:v>
      </x:c>
      <x:c r="D886" s="29" t="str">
        <x:v>ἐλεημοσύνη, -ης, ἡ</x:v>
      </x:c>
      <x:c r="E886" s="29" t="str">
        <x:v>ἐλεημοσύνη</x:v>
      </x:c>
      <x:c r="F886" s="27" t="str">
        <x:v>eleēmosunē</x:v>
      </x:c>
      <x:c r="G886" s="20" t="str">
        <x:v>compassionateness, i.e. (as exercised towards the poor) beneficence, or (concretely) a benefaction</x:v>
      </x:c>
      <x:c r="H886" s="20" t="str"/>
      <x:c r="I886" s="21"/>
      <x:c r="J886" s="21" t="str">
        <x:v>Mounce 頻率延伸</x:v>
      </x:c>
      <x:c r="K886" s="21" t="str">
        <x:v>G1654</x:v>
      </x:c>
      <x:c r="L886" s="21" t="str">
        <x:v>否</x:v>
      </x:c>
      <x:c r="M886" s="21" t="str"/>
      <x:c r="N886" s="21" t="str">
        <x:v>source_and_lexicon_matched</x:v>
      </x:c>
      <x:c r="O886" s="21" t="str">
        <x:v>rule_generated_from_official_table</x:v>
      </x:c>
      <x:c r="P886" s="21" t="n">
        <x:v>15</x:v>
      </x:c>
      <x:c r="Q886" s="21" t="str">
        <x:v>https://doxa.billmounce.com/Flashcards%20%28BBG%29.pdf</x:v>
      </x:c>
      <x:c r="R886" s="16" t="str"/>
    </x:row>
    <x:row r="887" ht="28" customHeight="1">
      <x:c r="A887" s="21" t="n">
        <x:v>883</x:v>
      </x:c>
      <x:c r="B887" s="21" t="n">
        <x:f>ROUNDUP(A887/50,0)</x:f>
        <x:v>18</x:v>
      </x:c>
      <x:c r="C887" s="21" t="n">
        <x:f>MOD(A887-1,50)+1</x:f>
        <x:v>33</x:v>
      </x:c>
      <x:c r="D887" s="29" t="str">
        <x:v>ἐμπαίζω</x:v>
      </x:c>
      <x:c r="E887" s="29" t="str">
        <x:v>ἐμπαίζω</x:v>
      </x:c>
      <x:c r="F887" s="27" t="str">
        <x:v>empaizō</x:v>
      </x:c>
      <x:c r="G887" s="20" t="str">
        <x:v>to jeer at, i.e. deride</x:v>
      </x:c>
      <x:c r="H887" s="20" t="str"/>
      <x:c r="I887" s="21"/>
      <x:c r="J887" s="21" t="str">
        <x:v>Mounce 頻率延伸</x:v>
      </x:c>
      <x:c r="K887" s="21" t="str">
        <x:v>G1702</x:v>
      </x:c>
      <x:c r="L887" s="21" t="str">
        <x:v>否</x:v>
      </x:c>
      <x:c r="M887" s="21" t="str"/>
      <x:c r="N887" s="21" t="str">
        <x:v>source_and_lexicon_matched</x:v>
      </x:c>
      <x:c r="O887" s="21" t="str">
        <x:v>rule_generated_from_official_table</x:v>
      </x:c>
      <x:c r="P887" s="21" t="n">
        <x:v>15</x:v>
      </x:c>
      <x:c r="Q887" s="21" t="str">
        <x:v>https://doxa.billmounce.com/Flashcards%20%28BBG%29.pdf</x:v>
      </x:c>
      <x:c r="R887" s="16" t="str"/>
    </x:row>
    <x:row r="888" ht="28" customHeight="1">
      <x:c r="A888" s="21" t="n">
        <x:v>884</x:v>
      </x:c>
      <x:c r="B888" s="21" t="n">
        <x:f>ROUNDUP(A888/50,0)</x:f>
        <x:v>18</x:v>
      </x:c>
      <x:c r="C888" s="21" t="n">
        <x:f>MOD(A888-1,50)+1</x:f>
        <x:v>34</x:v>
      </x:c>
      <x:c r="D888" s="29" t="str">
        <x:v>ἕξ</x:v>
      </x:c>
      <x:c r="E888" s="29" t="str">
        <x:v>ἕξ</x:v>
      </x:c>
      <x:c r="F888" s="27" t="str">
        <x:v>hex</x:v>
      </x:c>
      <x:c r="G888" s="20" t="str">
        <x:v>six</x:v>
      </x:c>
      <x:c r="H888" s="20" t="str"/>
      <x:c r="I888" s="21"/>
      <x:c r="J888" s="21" t="str">
        <x:v>Mounce 頻率延伸</x:v>
      </x:c>
      <x:c r="K888" s="21" t="str">
        <x:v>G1803</x:v>
      </x:c>
      <x:c r="L888" s="21" t="str">
        <x:v>否</x:v>
      </x:c>
      <x:c r="M888" s="21" t="str"/>
      <x:c r="N888" s="21" t="str">
        <x:v>source_and_lexicon_matched</x:v>
      </x:c>
      <x:c r="O888" s="21" t="str">
        <x:v>rule_generated_from_official_table</x:v>
      </x:c>
      <x:c r="P888" s="21" t="n">
        <x:v>15</x:v>
      </x:c>
      <x:c r="Q888" s="21" t="str">
        <x:v>https://doxa.billmounce.com/Flashcards%20%28BBG%29.pdf</x:v>
      </x:c>
      <x:c r="R888" s="16" t="str"/>
    </x:row>
    <x:row r="889" ht="28" customHeight="1">
      <x:c r="A889" s="21" t="n">
        <x:v>885</x:v>
      </x:c>
      <x:c r="B889" s="21" t="n">
        <x:f>ROUNDUP(A889/50,0)</x:f>
        <x:v>18</x:v>
      </x:c>
      <x:c r="C889" s="21" t="n">
        <x:f>MOD(A889-1,50)+1</x:f>
        <x:v>35</x:v>
      </x:c>
      <x:c r="D889" s="29" t="str">
        <x:v>ἐξαποστέλλω</x:v>
      </x:c>
      <x:c r="E889" s="29" t="str">
        <x:v>ἐξαποστέλλω</x:v>
      </x:c>
      <x:c r="F889" s="27" t="str">
        <x:v>exapostellō</x:v>
      </x:c>
      <x:c r="G889" s="20" t="str">
        <x:v>to send away forth, i.e. (on a mission) to despatch, or (peremptorily) to dismiss</x:v>
      </x:c>
      <x:c r="H889" s="20" t="str"/>
      <x:c r="I889" s="21"/>
      <x:c r="J889" s="21" t="str">
        <x:v>Mounce 頻率延伸</x:v>
      </x:c>
      <x:c r="K889" s="21" t="str">
        <x:v>G1821</x:v>
      </x:c>
      <x:c r="L889" s="21" t="str">
        <x:v>否</x:v>
      </x:c>
      <x:c r="M889" s="21" t="str"/>
      <x:c r="N889" s="21" t="str">
        <x:v>source_and_lexicon_matched</x:v>
      </x:c>
      <x:c r="O889" s="21" t="str">
        <x:v>rule_generated_from_official_table</x:v>
      </x:c>
      <x:c r="P889" s="21" t="n">
        <x:v>15</x:v>
      </x:c>
      <x:c r="Q889" s="21" t="str">
        <x:v>https://doxa.billmounce.com/Flashcards%20%28BBG%29.pdf</x:v>
      </x:c>
      <x:c r="R889" s="16" t="str"/>
    </x:row>
    <x:row r="890" ht="28" customHeight="1">
      <x:c r="A890" s="21" t="n">
        <x:v>886</x:v>
      </x:c>
      <x:c r="B890" s="21" t="n">
        <x:f>ROUNDUP(A890/50,0)</x:f>
        <x:v>18</x:v>
      </x:c>
      <x:c r="C890" s="21" t="n">
        <x:f>MOD(A890-1,50)+1</x:f>
        <x:v>36</x:v>
      </x:c>
      <x:c r="D890" s="29" t="str">
        <x:v>ἔξωθεν</x:v>
      </x:c>
      <x:c r="E890" s="29" t="str">
        <x:v>ἔξωθεν</x:v>
      </x:c>
      <x:c r="F890" s="27" t="str">
        <x:v>exōthen</x:v>
      </x:c>
      <x:c r="G890" s="20" t="str">
        <x:v>external(-ly)</x:v>
      </x:c>
      <x:c r="H890" s="20" t="str"/>
      <x:c r="I890" s="21"/>
      <x:c r="J890" s="21" t="str">
        <x:v>Mounce 頻率延伸</x:v>
      </x:c>
      <x:c r="K890" s="21" t="str">
        <x:v>G1855</x:v>
      </x:c>
      <x:c r="L890" s="21" t="str">
        <x:v>否</x:v>
      </x:c>
      <x:c r="M890" s="21" t="str"/>
      <x:c r="N890" s="21" t="str">
        <x:v>source_and_lexicon_matched</x:v>
      </x:c>
      <x:c r="O890" s="21" t="str">
        <x:v>rule_generated_from_official_table</x:v>
      </x:c>
      <x:c r="P890" s="21" t="n">
        <x:v>15</x:v>
      </x:c>
      <x:c r="Q890" s="21" t="str">
        <x:v>https://doxa.billmounce.com/Flashcards%20%28BBG%29.pdf</x:v>
      </x:c>
      <x:c r="R890" s="16" t="str"/>
    </x:row>
    <x:row r="891" ht="28" customHeight="1">
      <x:c r="A891" s="21" t="n">
        <x:v>887</x:v>
      </x:c>
      <x:c r="B891" s="21" t="n">
        <x:f>ROUNDUP(A891/50,0)</x:f>
        <x:v>18</x:v>
      </x:c>
      <x:c r="C891" s="21" t="n">
        <x:f>MOD(A891-1,50)+1</x:f>
        <x:v>37</x:v>
      </x:c>
      <x:c r="D891" s="29" t="str">
        <x:v>ἐπιζητέω</x:v>
      </x:c>
      <x:c r="E891" s="29" t="str">
        <x:v>ἐπιζητέω</x:v>
      </x:c>
      <x:c r="F891" s="27" t="str">
        <x:v>epizēteō</x:v>
      </x:c>
      <x:c r="G891" s="20" t="str">
        <x:v>to search (inquire) for; intensively, to demand, to crave</x:v>
      </x:c>
      <x:c r="H891" s="20" t="str"/>
      <x:c r="I891" s="21"/>
      <x:c r="J891" s="21" t="str">
        <x:v>Mounce 頻率延伸</x:v>
      </x:c>
      <x:c r="K891" s="21" t="str">
        <x:v>G1934</x:v>
      </x:c>
      <x:c r="L891" s="21" t="str">
        <x:v>否</x:v>
      </x:c>
      <x:c r="M891" s="21" t="str"/>
      <x:c r="N891" s="21" t="str">
        <x:v>source_and_lexicon_matched</x:v>
      </x:c>
      <x:c r="O891" s="21" t="str">
        <x:v>rule_generated_from_official_table</x:v>
      </x:c>
      <x:c r="P891" s="21" t="n">
        <x:v>15</x:v>
      </x:c>
      <x:c r="Q891" s="21" t="str">
        <x:v>https://doxa.billmounce.com/Flashcards%20%28BBG%29.pdf</x:v>
      </x:c>
      <x:c r="R891" s="16" t="str"/>
    </x:row>
    <x:row r="892" ht="28" customHeight="1">
      <x:c r="A892" s="21" t="n">
        <x:v>888</x:v>
      </x:c>
      <x:c r="B892" s="21" t="n">
        <x:f>ROUNDUP(A892/50,0)</x:f>
        <x:v>18</x:v>
      </x:c>
      <x:c r="C892" s="21" t="n">
        <x:f>MOD(A892-1,50)+1</x:f>
        <x:v>38</x:v>
      </x:c>
      <x:c r="D892" s="29" t="str">
        <x:v>ζύμη, -ης, ἡ</x:v>
      </x:c>
      <x:c r="E892" s="29" t="str">
        <x:v>ζύμη</x:v>
      </x:c>
      <x:c r="F892" s="27" t="str">
        <x:v>zumē</x:v>
      </x:c>
      <x:c r="G892" s="20" t="str">
        <x:v>ferment (as if boiling up)</x:v>
      </x:c>
      <x:c r="H892" s="20" t="str"/>
      <x:c r="I892" s="21"/>
      <x:c r="J892" s="21" t="str">
        <x:v>Mounce 頻率延伸</x:v>
      </x:c>
      <x:c r="K892" s="21" t="str">
        <x:v>G2219</x:v>
      </x:c>
      <x:c r="L892" s="21" t="str">
        <x:v>否</x:v>
      </x:c>
      <x:c r="M892" s="21" t="str"/>
      <x:c r="N892" s="21" t="str">
        <x:v>source_and_lexicon_matched</x:v>
      </x:c>
      <x:c r="O892" s="21" t="str">
        <x:v>rule_generated_from_official_table</x:v>
      </x:c>
      <x:c r="P892" s="21" t="n">
        <x:v>15</x:v>
      </x:c>
      <x:c r="Q892" s="21" t="str">
        <x:v>https://doxa.billmounce.com/Flashcards%20%28BBG%29.pdf</x:v>
      </x:c>
      <x:c r="R892" s="16" t="str"/>
    </x:row>
    <x:row r="893" ht="28" customHeight="1">
      <x:c r="A893" s="21" t="n">
        <x:v>889</x:v>
      </x:c>
      <x:c r="B893" s="21" t="n">
        <x:f>ROUNDUP(A893/50,0)</x:f>
        <x:v>18</x:v>
      </x:c>
      <x:c r="C893" s="21" t="n">
        <x:f>MOD(A893-1,50)+1</x:f>
        <x:v>39</x:v>
      </x:c>
      <x:c r="D893" s="29" t="str">
        <x:v>θερισμός, -οῦ, ὁ</x:v>
      </x:c>
      <x:c r="E893" s="29" t="str">
        <x:v>θερισμός</x:v>
      </x:c>
      <x:c r="F893" s="27" t="str">
        <x:v>therismos</x:v>
      </x:c>
      <x:c r="G893" s="20" t="str">
        <x:v>reaping, i.e. the crop</x:v>
      </x:c>
      <x:c r="H893" s="20" t="str"/>
      <x:c r="I893" s="21"/>
      <x:c r="J893" s="21" t="str">
        <x:v>Mounce 頻率延伸</x:v>
      </x:c>
      <x:c r="K893" s="21" t="str">
        <x:v>G2326</x:v>
      </x:c>
      <x:c r="L893" s="21" t="str">
        <x:v>否</x:v>
      </x:c>
      <x:c r="M893" s="21" t="str"/>
      <x:c r="N893" s="21" t="str">
        <x:v>source_and_lexicon_matched</x:v>
      </x:c>
      <x:c r="O893" s="21" t="str">
        <x:v>rule_generated_from_official_table</x:v>
      </x:c>
      <x:c r="P893" s="21" t="n">
        <x:v>15</x:v>
      </x:c>
      <x:c r="Q893" s="21" t="str">
        <x:v>https://doxa.billmounce.com/Flashcards%20%28BBG%29.pdf</x:v>
      </x:c>
      <x:c r="R893" s="16" t="str"/>
    </x:row>
    <x:row r="894" ht="28" customHeight="1">
      <x:c r="A894" s="21" t="n">
        <x:v>890</x:v>
      </x:c>
      <x:c r="B894" s="21" t="n">
        <x:f>ROUNDUP(A894/50,0)</x:f>
        <x:v>18</x:v>
      </x:c>
      <x:c r="C894" s="21" t="n">
        <x:f>MOD(A894-1,50)+1</x:f>
        <x:v>40</x:v>
      </x:c>
      <x:c r="D894" s="29" t="str">
        <x:v>καθάπερ</x:v>
      </x:c>
      <x:c r="E894" s="29" t="str">
        <x:v>καθάπερ</x:v>
      </x:c>
      <x:c r="F894" s="27" t="str">
        <x:v>kathaper</x:v>
      </x:c>
      <x:c r="G894" s="20" t="str">
        <x:v>exactly as</x:v>
      </x:c>
      <x:c r="H894" s="20" t="str"/>
      <x:c r="I894" s="21"/>
      <x:c r="J894" s="21" t="str">
        <x:v>Mounce 頻率延伸</x:v>
      </x:c>
      <x:c r="K894" s="21" t="str">
        <x:v>G2509</x:v>
      </x:c>
      <x:c r="L894" s="21" t="str">
        <x:v>否</x:v>
      </x:c>
      <x:c r="M894" s="21" t="str"/>
      <x:c r="N894" s="21" t="str">
        <x:v>source_and_lexicon_matched</x:v>
      </x:c>
      <x:c r="O894" s="21" t="str">
        <x:v>rule_generated_from_official_table</x:v>
      </x:c>
      <x:c r="P894" s="21" t="n">
        <x:v>15</x:v>
      </x:c>
      <x:c r="Q894" s="21" t="str">
        <x:v>https://doxa.billmounce.com/Flashcards%20%28BBG%29.pdf</x:v>
      </x:c>
      <x:c r="R894" s="16" t="str"/>
    </x:row>
    <x:row r="895" ht="28" customHeight="1">
      <x:c r="A895" s="21" t="n">
        <x:v>891</x:v>
      </x:c>
      <x:c r="B895" s="21" t="n">
        <x:f>ROUNDUP(A895/50,0)</x:f>
        <x:v>18</x:v>
      </x:c>
      <x:c r="C895" s="21" t="n">
        <x:f>MOD(A895-1,50)+1</x:f>
        <x:v>41</x:v>
      </x:c>
      <x:c r="D895" s="29" t="str">
        <x:v>καπνός, -οῦ, ὁ</x:v>
      </x:c>
      <x:c r="E895" s="29" t="str">
        <x:v>καπνός</x:v>
      </x:c>
      <x:c r="F895" s="27" t="str">
        <x:v>kapnos</x:v>
      </x:c>
      <x:c r="G895" s="20" t="str">
        <x:v>smoke</x:v>
      </x:c>
      <x:c r="H895" s="20" t="str"/>
      <x:c r="I895" s="21"/>
      <x:c r="J895" s="21" t="str">
        <x:v>Mounce 頻率延伸</x:v>
      </x:c>
      <x:c r="K895" s="21" t="str">
        <x:v>G2586</x:v>
      </x:c>
      <x:c r="L895" s="21" t="str">
        <x:v>否</x:v>
      </x:c>
      <x:c r="M895" s="21" t="str"/>
      <x:c r="N895" s="21" t="str">
        <x:v>source_and_lexicon_matched</x:v>
      </x:c>
      <x:c r="O895" s="21" t="str">
        <x:v>rule_generated_from_official_table</x:v>
      </x:c>
      <x:c r="P895" s="21" t="n">
        <x:v>15</x:v>
      </x:c>
      <x:c r="Q895" s="21" t="str">
        <x:v>https://doxa.billmounce.com/Flashcards%20%28BBG%29.pdf</x:v>
      </x:c>
      <x:c r="R895" s="16" t="str"/>
    </x:row>
    <x:row r="896" ht="28" customHeight="1">
      <x:c r="A896" s="21" t="n">
        <x:v>892</x:v>
      </x:c>
      <x:c r="B896" s="21" t="n">
        <x:f>ROUNDUP(A896/50,0)</x:f>
        <x:v>18</x:v>
      </x:c>
      <x:c r="C896" s="21" t="n">
        <x:f>MOD(A896-1,50)+1</x:f>
        <x:v>42</x:v>
      </x:c>
      <x:c r="D896" s="29" t="str">
        <x:v>καταισχύνω</x:v>
      </x:c>
      <x:c r="E896" s="29" t="str">
        <x:v>καταισχύνω</x:v>
      </x:c>
      <x:c r="F896" s="27" t="str">
        <x:v>kataischunō</x:v>
      </x:c>
      <x:c r="G896" s="20" t="str">
        <x:v>to shame down, i.e. disgrace or (by implication) put to the blush</x:v>
      </x:c>
      <x:c r="H896" s="20" t="str"/>
      <x:c r="I896" s="21"/>
      <x:c r="J896" s="21" t="str">
        <x:v>Mounce 頻率延伸</x:v>
      </x:c>
      <x:c r="K896" s="21" t="str">
        <x:v>G2617</x:v>
      </x:c>
      <x:c r="L896" s="21" t="str">
        <x:v>否</x:v>
      </x:c>
      <x:c r="M896" s="21" t="str"/>
      <x:c r="N896" s="21" t="str">
        <x:v>source_and_lexicon_matched</x:v>
      </x:c>
      <x:c r="O896" s="21" t="str">
        <x:v>rule_generated_from_official_table</x:v>
      </x:c>
      <x:c r="P896" s="21" t="n">
        <x:v>15</x:v>
      </x:c>
      <x:c r="Q896" s="21" t="str">
        <x:v>https://doxa.billmounce.com/Flashcards%20%28BBG%29.pdf</x:v>
      </x:c>
      <x:c r="R896" s="16" t="str"/>
    </x:row>
    <x:row r="897" ht="28" customHeight="1">
      <x:c r="A897" s="21" t="n">
        <x:v>893</x:v>
      </x:c>
      <x:c r="B897" s="21" t="n">
        <x:f>ROUNDUP(A897/50,0)</x:f>
        <x:v>18</x:v>
      </x:c>
      <x:c r="C897" s="21" t="n">
        <x:f>MOD(A897-1,50)+1</x:f>
        <x:v>43</x:v>
      </x:c>
      <x:c r="D897" s="29" t="str">
        <x:v>καταντάω</x:v>
      </x:c>
      <x:c r="E897" s="29" t="str">
        <x:v>καταντάω</x:v>
      </x:c>
      <x:c r="F897" s="27" t="str">
        <x:v>katantaō</x:v>
      </x:c>
      <x:c r="G897" s="20" t="str">
        <x:v>to meet against, i.e. arrive at (literally or figuratively)</x:v>
      </x:c>
      <x:c r="H897" s="20" t="str"/>
      <x:c r="I897" s="21"/>
      <x:c r="J897" s="21" t="str">
        <x:v>Mounce 頻率延伸</x:v>
      </x:c>
      <x:c r="K897" s="21" t="str">
        <x:v>G2658</x:v>
      </x:c>
      <x:c r="L897" s="21" t="str">
        <x:v>否</x:v>
      </x:c>
      <x:c r="M897" s="21" t="str"/>
      <x:c r="N897" s="21" t="str">
        <x:v>source_and_lexicon_matched</x:v>
      </x:c>
      <x:c r="O897" s="21" t="str">
        <x:v>rule_generated_from_official_table</x:v>
      </x:c>
      <x:c r="P897" s="21" t="n">
        <x:v>15</x:v>
      </x:c>
      <x:c r="Q897" s="21" t="str">
        <x:v>https://doxa.billmounce.com/Flashcards%20%28BBG%29.pdf</x:v>
      </x:c>
      <x:c r="R897" s="16" t="str"/>
    </x:row>
    <x:row r="898" ht="28" customHeight="1">
      <x:c r="A898" s="21" t="n">
        <x:v>894</x:v>
      </x:c>
      <x:c r="B898" s="21" t="n">
        <x:f>ROUNDUP(A898/50,0)</x:f>
        <x:v>18</x:v>
      </x:c>
      <x:c r="C898" s="21" t="n">
        <x:f>MOD(A898-1,50)+1</x:f>
        <x:v>44</x:v>
      </x:c>
      <x:c r="D898" s="29" t="str">
        <x:v>καταρτίζω</x:v>
      </x:c>
      <x:c r="E898" s="29" t="str">
        <x:v>καταρτίζω</x:v>
      </x:c>
      <x:c r="F898" s="27" t="str">
        <x:v>katartizō</x:v>
      </x:c>
      <x:c r="G898" s="20" t="str">
        <x:v>to complete thoroughly, i.e. repair (literally or figuratively) or adjust</x:v>
      </x:c>
      <x:c r="H898" s="20" t="str"/>
      <x:c r="I898" s="21"/>
      <x:c r="J898" s="21" t="str">
        <x:v>Mounce 頻率延伸</x:v>
      </x:c>
      <x:c r="K898" s="21" t="str">
        <x:v>G2675</x:v>
      </x:c>
      <x:c r="L898" s="21" t="str">
        <x:v>否</x:v>
      </x:c>
      <x:c r="M898" s="21" t="str"/>
      <x:c r="N898" s="21" t="str">
        <x:v>source_and_lexicon_matched</x:v>
      </x:c>
      <x:c r="O898" s="21" t="str">
        <x:v>rule_generated_from_official_table</x:v>
      </x:c>
      <x:c r="P898" s="21" t="n">
        <x:v>15</x:v>
      </x:c>
      <x:c r="Q898" s="21" t="str">
        <x:v>https://doxa.billmounce.com/Flashcards%20%28BBG%29.pdf</x:v>
      </x:c>
      <x:c r="R898" s="16" t="str"/>
    </x:row>
    <x:row r="899" ht="28" customHeight="1">
      <x:c r="A899" s="21" t="n">
        <x:v>895</x:v>
      </x:c>
      <x:c r="B899" s="21" t="n">
        <x:f>ROUNDUP(A899/50,0)</x:f>
        <x:v>18</x:v>
      </x:c>
      <x:c r="C899" s="21" t="n">
        <x:f>MOD(A899-1,50)+1</x:f>
        <x:v>45</x:v>
      </x:c>
      <x:c r="D899" s="29" t="str">
        <x:v>κλέπτω</x:v>
      </x:c>
      <x:c r="E899" s="29" t="str">
        <x:v>κλέπτω</x:v>
      </x:c>
      <x:c r="F899" s="27" t="str">
        <x:v>kleptō</x:v>
      </x:c>
      <x:c r="G899" s="20" t="str">
        <x:v>to filch</x:v>
      </x:c>
      <x:c r="H899" s="20" t="str"/>
      <x:c r="I899" s="21"/>
      <x:c r="J899" s="21" t="str">
        <x:v>Mounce 頻率延伸</x:v>
      </x:c>
      <x:c r="K899" s="21" t="str">
        <x:v>G2813</x:v>
      </x:c>
      <x:c r="L899" s="21" t="str">
        <x:v>否</x:v>
      </x:c>
      <x:c r="M899" s="21" t="str"/>
      <x:c r="N899" s="21" t="str">
        <x:v>source_and_lexicon_matched</x:v>
      </x:c>
      <x:c r="O899" s="21" t="str">
        <x:v>rule_generated_from_official_table</x:v>
      </x:c>
      <x:c r="P899" s="21" t="n">
        <x:v>15</x:v>
      </x:c>
      <x:c r="Q899" s="21" t="str">
        <x:v>https://doxa.billmounce.com/Flashcards%20%28BBG%29.pdf</x:v>
      </x:c>
      <x:c r="R899" s="16" t="str"/>
    </x:row>
    <x:row r="900" ht="28" customHeight="1">
      <x:c r="A900" s="21" t="n">
        <x:v>896</x:v>
      </x:c>
      <x:c r="B900" s="21" t="n">
        <x:f>ROUNDUP(A900/50,0)</x:f>
        <x:v>18</x:v>
      </x:c>
      <x:c r="C900" s="21" t="n">
        <x:f>MOD(A900-1,50)+1</x:f>
        <x:v>46</x:v>
      </x:c>
      <x:c r="D900" s="29" t="str">
        <x:v>Μάρθα, -ας, ἡ</x:v>
      </x:c>
      <x:c r="E900" s="29" t="str">
        <x:v>Μάρθα</x:v>
      </x:c>
      <x:c r="F900" s="27" t="str">
        <x:v>Martha</x:v>
      </x:c>
      <x:c r="G900" s="20" t="str">
        <x:v>Martha, a Christian woman</x:v>
      </x:c>
      <x:c r="H900" s="20" t="str"/>
      <x:c r="I900" s="21"/>
      <x:c r="J900" s="21" t="str">
        <x:v>Mounce 頻率延伸</x:v>
      </x:c>
      <x:c r="K900" s="21" t="str">
        <x:v>G3136</x:v>
      </x:c>
      <x:c r="L900" s="21" t="str">
        <x:v>是</x:v>
      </x:c>
      <x:c r="M900" s="21" t="str">
        <x:v>人名</x:v>
      </x:c>
      <x:c r="N900" s="21" t="str">
        <x:v>source_and_lexicon_matched</x:v>
      </x:c>
      <x:c r="O900" s="21" t="str">
        <x:v>rule_generated_from_official_table</x:v>
      </x:c>
      <x:c r="P900" s="21" t="n">
        <x:v>15</x:v>
      </x:c>
      <x:c r="Q900" s="21" t="str">
        <x:v>https://doxa.billmounce.com/Flashcards%20%28BBG%29.pdf</x:v>
      </x:c>
      <x:c r="R900" s="16" t="str"/>
    </x:row>
    <x:row r="901" ht="28" customHeight="1">
      <x:c r="A901" s="21" t="n">
        <x:v>897</x:v>
      </x:c>
      <x:c r="B901" s="21" t="n">
        <x:f>ROUNDUP(A901/50,0)</x:f>
        <x:v>18</x:v>
      </x:c>
      <x:c r="C901" s="21" t="n">
        <x:f>MOD(A901-1,50)+1</x:f>
        <x:v>47</x:v>
      </x:c>
      <x:c r="D901" s="29" t="str">
        <x:v>Ναζωραῖος, -ου, ὁ</x:v>
      </x:c>
      <x:c r="E901" s="29" t="str">
        <x:v>Ναζωραῖος</x:v>
      </x:c>
      <x:c r="F901" s="27" t="str">
        <x:v>Nazōraios</x:v>
      </x:c>
      <x:c r="G901" s="20" t="str">
        <x:v>a Nazoræan, i.e. inhabitant of Nazareth; by extension, a Christian</x:v>
      </x:c>
      <x:c r="H901" s="20" t="str"/>
      <x:c r="I901" s="21"/>
      <x:c r="J901" s="21" t="str">
        <x:v>Mounce 頻率延伸</x:v>
      </x:c>
      <x:c r="K901" s="21" t="str">
        <x:v>G3480</x:v>
      </x:c>
      <x:c r="L901" s="21" t="str">
        <x:v>是</x:v>
      </x:c>
      <x:c r="M901" s="21" t="str">
        <x:v>民族／國族</x:v>
      </x:c>
      <x:c r="N901" s="21" t="str">
        <x:v>source_and_lexicon_matched</x:v>
      </x:c>
      <x:c r="O901" s="21" t="str">
        <x:v>rule_generated_from_official_table</x:v>
      </x:c>
      <x:c r="P901" s="21" t="n">
        <x:v>15</x:v>
      </x:c>
      <x:c r="Q901" s="21" t="str">
        <x:v>https://doxa.billmounce.com/Flashcards%20%28BBG%29.pdf</x:v>
      </x:c>
      <x:c r="R901" s="16" t="str"/>
    </x:row>
    <x:row r="902" ht="28" customHeight="1">
      <x:c r="A902" s="21" t="n">
        <x:v>898</x:v>
      </x:c>
      <x:c r="B902" s="21" t="n">
        <x:f>ROUNDUP(A902/50,0)</x:f>
        <x:v>18</x:v>
      </x:c>
      <x:c r="C902" s="21" t="n">
        <x:f>MOD(A902-1,50)+1</x:f>
        <x:v>48</x:v>
      </x:c>
      <x:c r="D902" s="29" t="str">
        <x:v>παιδεύω</x:v>
      </x:c>
      <x:c r="E902" s="29" t="str">
        <x:v>παιδεύω</x:v>
      </x:c>
      <x:c r="F902" s="27" t="str">
        <x:v>paideuō</x:v>
      </x:c>
      <x:c r="G902" s="20" t="str">
        <x:v>to train up a child, i.e. educate, or (by implication), discipline (by punishment)</x:v>
      </x:c>
      <x:c r="H902" s="20" t="str"/>
      <x:c r="I902" s="21"/>
      <x:c r="J902" s="21" t="str">
        <x:v>Mounce 頻率延伸</x:v>
      </x:c>
      <x:c r="K902" s="21" t="str">
        <x:v>G3811</x:v>
      </x:c>
      <x:c r="L902" s="21" t="str">
        <x:v>否</x:v>
      </x:c>
      <x:c r="M902" s="21" t="str"/>
      <x:c r="N902" s="21" t="str">
        <x:v>source_and_lexicon_matched</x:v>
      </x:c>
      <x:c r="O902" s="21" t="str">
        <x:v>rule_generated_from_official_table</x:v>
      </x:c>
      <x:c r="P902" s="21" t="n">
        <x:v>15</x:v>
      </x:c>
      <x:c r="Q902" s="21" t="str">
        <x:v>https://doxa.billmounce.com/Flashcards%20%28BBG%29.pdf</x:v>
      </x:c>
      <x:c r="R902" s="16" t="str"/>
    </x:row>
    <x:row r="903" ht="28" customHeight="1">
      <x:c r="A903" s="21" t="n">
        <x:v>899</x:v>
      </x:c>
      <x:c r="B903" s="21" t="n">
        <x:f>ROUNDUP(A903/50,0)</x:f>
        <x:v>18</x:v>
      </x:c>
      <x:c r="C903" s="21" t="n">
        <x:f>MOD(A903-1,50)+1</x:f>
        <x:v>49</x:v>
      </x:c>
      <x:c r="D903" s="29" t="str">
        <x:v>παιδίσκη, -ης, ἡ</x:v>
      </x:c>
      <x:c r="E903" s="29" t="str">
        <x:v>παιδίσκη</x:v>
      </x:c>
      <x:c r="F903" s="27" t="str">
        <x:v>paidiskē</x:v>
      </x:c>
      <x:c r="G903" s="20" t="str">
        <x:v>a girl, i.e. (specially), a female slave or servant</x:v>
      </x:c>
      <x:c r="H903" s="20" t="str"/>
      <x:c r="I903" s="21"/>
      <x:c r="J903" s="21" t="str">
        <x:v>Mounce 頻率延伸</x:v>
      </x:c>
      <x:c r="K903" s="21" t="str">
        <x:v>G3814</x:v>
      </x:c>
      <x:c r="L903" s="21" t="str">
        <x:v>否</x:v>
      </x:c>
      <x:c r="M903" s="21" t="str"/>
      <x:c r="N903" s="21" t="str">
        <x:v>source_and_lexicon_matched</x:v>
      </x:c>
      <x:c r="O903" s="21" t="str">
        <x:v>rule_generated_from_official_table</x:v>
      </x:c>
      <x:c r="P903" s="21" t="n">
        <x:v>15</x:v>
      </x:c>
      <x:c r="Q903" s="21" t="str">
        <x:v>https://doxa.billmounce.com/Flashcards%20%28BBG%29.pdf</x:v>
      </x:c>
      <x:c r="R903" s="16" t="str"/>
    </x:row>
    <x:row r="904" ht="28" customHeight="1">
      <x:c r="A904" s="21" t="n">
        <x:v>900</x:v>
      </x:c>
      <x:c r="B904" s="21" t="n">
        <x:f>ROUNDUP(A904/50,0)</x:f>
        <x:v>18</x:v>
      </x:c>
      <x:c r="C904" s="21" t="n">
        <x:f>MOD(A904-1,50)+1</x:f>
        <x:v>50</x:v>
      </x:c>
      <x:c r="D904" s="29" t="str">
        <x:v>παράδοσις, -εως, ἡ</x:v>
      </x:c>
      <x:c r="E904" s="29" t="str">
        <x:v>παράδοσις</x:v>
      </x:c>
      <x:c r="F904" s="27" t="str">
        <x:v>paradosis</x:v>
      </x:c>
      <x:c r="G904" s="20" t="str">
        <x:v>transmission, i.e. (concretely) a precept; specially, the Jewish traditionary law</x:v>
      </x:c>
      <x:c r="H904" s="20" t="str"/>
      <x:c r="I904" s="21"/>
      <x:c r="J904" s="21" t="str">
        <x:v>Mounce 頻率延伸</x:v>
      </x:c>
      <x:c r="K904" s="21" t="str">
        <x:v>G3862</x:v>
      </x:c>
      <x:c r="L904" s="21" t="str">
        <x:v>否</x:v>
      </x:c>
      <x:c r="M904" s="21" t="str"/>
      <x:c r="N904" s="21" t="str">
        <x:v>source_and_lexicon_matched</x:v>
      </x:c>
      <x:c r="O904" s="21" t="str">
        <x:v>rule_generated_from_official_table</x:v>
      </x:c>
      <x:c r="P904" s="21" t="n">
        <x:v>16</x:v>
      </x:c>
      <x:c r="Q904" s="21" t="str">
        <x:v>https://doxa.billmounce.com/Flashcards%20%28BBG%29.pdf</x:v>
      </x:c>
      <x:c r="R904" s="16" t="str"/>
    </x:row>
    <x:row r="905" ht="28" customHeight="1">
      <x:c r="A905" s="21" t="n">
        <x:v>901</x:v>
      </x:c>
      <x:c r="B905" s="21" t="n">
        <x:f>ROUNDUP(A905/50,0)</x:f>
        <x:v>19</x:v>
      </x:c>
      <x:c r="C905" s="21" t="n">
        <x:f>MOD(A905-1,50)+1</x:f>
        <x:v>1</x:v>
      </x:c>
      <x:c r="D905" s="29" t="str">
        <x:v>πρίν</x:v>
      </x:c>
      <x:c r="E905" s="29" t="str">
        <x:v>πρίν</x:v>
      </x:c>
      <x:c r="F905" s="27" t="str">
        <x:v>prin</x:v>
      </x:c>
      <x:c r="G905" s="20" t="str">
        <x:v>prior, sooner</x:v>
      </x:c>
      <x:c r="H905" s="20" t="str"/>
      <x:c r="I905" s="21"/>
      <x:c r="J905" s="21" t="str">
        <x:v>Mounce 頻率延伸</x:v>
      </x:c>
      <x:c r="K905" s="21" t="str">
        <x:v>G4250</x:v>
      </x:c>
      <x:c r="L905" s="21" t="str">
        <x:v>否</x:v>
      </x:c>
      <x:c r="M905" s="21" t="str"/>
      <x:c r="N905" s="21" t="str">
        <x:v>source_and_lexicon_matched</x:v>
      </x:c>
      <x:c r="O905" s="21" t="str">
        <x:v>rule_generated_from_official_table</x:v>
      </x:c>
      <x:c r="P905" s="21" t="n">
        <x:v>16</x:v>
      </x:c>
      <x:c r="Q905" s="21" t="str">
        <x:v>https://doxa.billmounce.com/Flashcards%20%28BBG%29.pdf</x:v>
      </x:c>
      <x:c r="R905" s="16" t="str"/>
    </x:row>
    <x:row r="906" ht="28" customHeight="1">
      <x:c r="A906" s="21" t="n">
        <x:v>902</x:v>
      </x:c>
      <x:c r="B906" s="21" t="n">
        <x:f>ROUNDUP(A906/50,0)</x:f>
        <x:v>19</x:v>
      </x:c>
      <x:c r="C906" s="21" t="n">
        <x:f>MOD(A906-1,50)+1</x:f>
        <x:v>2</x:v>
      </x:c>
      <x:c r="D906" s="29" t="str">
        <x:v>στηρίζω</x:v>
      </x:c>
      <x:c r="E906" s="29" t="str">
        <x:v>στηρίζω</x:v>
      </x:c>
      <x:c r="F906" s="27" t="str">
        <x:v>stērizō</x:v>
      </x:c>
      <x:c r="G906" s="20" t="str">
        <x:v>to set fast, i.e. (literally) to turn resolutely in a certain direction, or (figuratively) to confirm</x:v>
      </x:c>
      <x:c r="H906" s="20" t="str"/>
      <x:c r="I906" s="21"/>
      <x:c r="J906" s="21" t="str">
        <x:v>Mounce 頻率延伸</x:v>
      </x:c>
      <x:c r="K906" s="21" t="str">
        <x:v>G4741</x:v>
      </x:c>
      <x:c r="L906" s="21" t="str">
        <x:v>否</x:v>
      </x:c>
      <x:c r="M906" s="21" t="str"/>
      <x:c r="N906" s="21" t="str">
        <x:v>source_and_lexicon_matched</x:v>
      </x:c>
      <x:c r="O906" s="21" t="str">
        <x:v>rule_generated_from_official_table</x:v>
      </x:c>
      <x:c r="P906" s="21" t="n">
        <x:v>16</x:v>
      </x:c>
      <x:c r="Q906" s="21" t="str">
        <x:v>https://doxa.billmounce.com/Flashcards%20%28BBG%29.pdf</x:v>
      </x:c>
      <x:c r="R906" s="16" t="str"/>
    </x:row>
    <x:row r="907" ht="28" customHeight="1">
      <x:c r="A907" s="21" t="n">
        <x:v>903</x:v>
      </x:c>
      <x:c r="B907" s="21" t="n">
        <x:f>ROUNDUP(A907/50,0)</x:f>
        <x:v>19</x:v>
      </x:c>
      <x:c r="C907" s="21" t="n">
        <x:f>MOD(A907-1,50)+1</x:f>
        <x:v>3</x:v>
      </x:c>
      <x:c r="D907" s="29" t="str">
        <x:v>συνεργός, -οῦ, ὁ</x:v>
      </x:c>
      <x:c r="E907" s="29" t="str">
        <x:v>συνεργός</x:v>
      </x:c>
      <x:c r="F907" s="27" t="str">
        <x:v>sunergos</x:v>
      </x:c>
      <x:c r="G907" s="20" t="str">
        <x:v>a co-laborer, i.e. coadjutor</x:v>
      </x:c>
      <x:c r="H907" s="20" t="str"/>
      <x:c r="I907" s="21"/>
      <x:c r="J907" s="21" t="str">
        <x:v>Mounce 頻率延伸</x:v>
      </x:c>
      <x:c r="K907" s="21" t="str">
        <x:v>G4904</x:v>
      </x:c>
      <x:c r="L907" s="21" t="str">
        <x:v>否</x:v>
      </x:c>
      <x:c r="M907" s="21" t="str"/>
      <x:c r="N907" s="21" t="str">
        <x:v>source_and_lexicon_matched</x:v>
      </x:c>
      <x:c r="O907" s="21" t="str">
        <x:v>rule_generated_from_official_table</x:v>
      </x:c>
      <x:c r="P907" s="21" t="n">
        <x:v>16</x:v>
      </x:c>
      <x:c r="Q907" s="21" t="str">
        <x:v>https://doxa.billmounce.com/Flashcards%20%28BBG%29.pdf</x:v>
      </x:c>
      <x:c r="R907" s="16" t="str"/>
    </x:row>
    <x:row r="908" ht="28" customHeight="1">
      <x:c r="A908" s="21" t="n">
        <x:v>904</x:v>
      </x:c>
      <x:c r="B908" s="21" t="n">
        <x:f>ROUNDUP(A908/50,0)</x:f>
        <x:v>19</x:v>
      </x:c>
      <x:c r="C908" s="21" t="n">
        <x:f>MOD(A908-1,50)+1</x:f>
        <x:v>4</x:v>
      </x:c>
      <x:c r="D908" s="29" t="str">
        <x:v>ταχύς, -εῖα, -ύ</x:v>
      </x:c>
      <x:c r="E908" s="29" t="str">
        <x:v>ταχύς</x:v>
      </x:c>
      <x:c r="F908" s="27" t="str">
        <x:v>tachus</x:v>
      </x:c>
      <x:c r="G908" s="20" t="str">
        <x:v>fleet, i.e. (figuratively) prompt or ready</x:v>
      </x:c>
      <x:c r="H908" s="20" t="str"/>
      <x:c r="I908" s="21"/>
      <x:c r="J908" s="21" t="str">
        <x:v>Mounce 頻率延伸</x:v>
      </x:c>
      <x:c r="K908" s="21" t="str">
        <x:v>G5036</x:v>
      </x:c>
      <x:c r="L908" s="21" t="str">
        <x:v>否</x:v>
      </x:c>
      <x:c r="M908" s="21" t="str"/>
      <x:c r="N908" s="21" t="str">
        <x:v>source_and_lexicon_matched</x:v>
      </x:c>
      <x:c r="O908" s="21" t="str">
        <x:v>rule_generated_from_official_table</x:v>
      </x:c>
      <x:c r="P908" s="21" t="n">
        <x:v>16</x:v>
      </x:c>
      <x:c r="Q908" s="21" t="str">
        <x:v>https://doxa.billmounce.com/Flashcards%20%28BBG%29.pdf</x:v>
      </x:c>
      <x:c r="R908" s="16" t="str"/>
    </x:row>
    <x:row r="909" ht="28" customHeight="1">
      <x:c r="A909" s="21" t="n">
        <x:v>905</x:v>
      </x:c>
      <x:c r="B909" s="21" t="n">
        <x:f>ROUNDUP(A909/50,0)</x:f>
        <x:v>19</x:v>
      </x:c>
      <x:c r="C909" s="21" t="n">
        <x:f>MOD(A909-1,50)+1</x:f>
        <x:v>5</x:v>
      </x:c>
      <x:c r="D909" s="29" t="str">
        <x:v>τίμιος, -α, -ον</x:v>
      </x:c>
      <x:c r="E909" s="29" t="str">
        <x:v>τίμιος</x:v>
      </x:c>
      <x:c r="F909" s="27" t="str">
        <x:v>timios</x:v>
      </x:c>
      <x:c r="G909" s="20" t="str">
        <x:v>valuable, i.e. (objectively) costly, or (subjectively) honored, esteemed, or (figuratively) beloved</x:v>
      </x:c>
      <x:c r="H909" s="20" t="str"/>
      <x:c r="I909" s="21"/>
      <x:c r="J909" s="21" t="str">
        <x:v>Mounce 頻率延伸</x:v>
      </x:c>
      <x:c r="K909" s="21" t="str">
        <x:v>G5093</x:v>
      </x:c>
      <x:c r="L909" s="21" t="str">
        <x:v>否</x:v>
      </x:c>
      <x:c r="M909" s="21" t="str"/>
      <x:c r="N909" s="21" t="str">
        <x:v>source_and_lexicon_matched</x:v>
      </x:c>
      <x:c r="O909" s="21" t="str">
        <x:v>rule_generated_from_official_table</x:v>
      </x:c>
      <x:c r="P909" s="21" t="n">
        <x:v>16</x:v>
      </x:c>
      <x:c r="Q909" s="21" t="str">
        <x:v>https://doxa.billmounce.com/Flashcards%20%28BBG%29.pdf</x:v>
      </x:c>
      <x:c r="R909" s="16" t="str"/>
    </x:row>
    <x:row r="910" ht="28" customHeight="1">
      <x:c r="A910" s="21" t="n">
        <x:v>906</x:v>
      </x:c>
      <x:c r="B910" s="21" t="n">
        <x:f>ROUNDUP(A910/50,0)</x:f>
        <x:v>19</x:v>
      </x:c>
      <x:c r="C910" s="21" t="n">
        <x:f>MOD(A910-1,50)+1</x:f>
        <x:v>6</x:v>
      </x:c>
      <x:c r="D910" s="29" t="str">
        <x:v>Τίτος, -ου, ὁ</x:v>
      </x:c>
      <x:c r="E910" s="29" t="str">
        <x:v>Τίτος</x:v>
      </x:c>
      <x:c r="F910" s="27" t="str">
        <x:v>Titos</x:v>
      </x:c>
      <x:c r="G910" s="20" t="str">
        <x:v>Titus, a Christian</x:v>
      </x:c>
      <x:c r="H910" s="20" t="str"/>
      <x:c r="I910" s="21"/>
      <x:c r="J910" s="21" t="str">
        <x:v>Mounce 頻率延伸</x:v>
      </x:c>
      <x:c r="K910" s="21" t="str">
        <x:v>G5103</x:v>
      </x:c>
      <x:c r="L910" s="21" t="str">
        <x:v>是</x:v>
      </x:c>
      <x:c r="M910" s="21" t="str">
        <x:v>人名</x:v>
      </x:c>
      <x:c r="N910" s="21" t="str">
        <x:v>source_and_lexicon_matched</x:v>
      </x:c>
      <x:c r="O910" s="21" t="str">
        <x:v>rule_generated_from_official_table</x:v>
      </x:c>
      <x:c r="P910" s="21" t="n">
        <x:v>16</x:v>
      </x:c>
      <x:c r="Q910" s="21" t="str">
        <x:v>https://doxa.billmounce.com/Flashcards%20%28BBG%29.pdf</x:v>
      </x:c>
      <x:c r="R910" s="16" t="str"/>
    </x:row>
    <x:row r="911" ht="28" customHeight="1">
      <x:c r="A911" s="21" t="n">
        <x:v>907</x:v>
      </x:c>
      <x:c r="B911" s="21" t="n">
        <x:f>ROUNDUP(A911/50,0)</x:f>
        <x:v>19</x:v>
      </x:c>
      <x:c r="C911" s="21" t="n">
        <x:f>MOD(A911-1,50)+1</x:f>
        <x:v>7</x:v>
      </x:c>
      <x:c r="D911" s="29" t="str">
        <x:v>τρόπος, -ου, ὁ</x:v>
      </x:c>
      <x:c r="E911" s="29" t="str">
        <x:v>τρόπος</x:v>
      </x:c>
      <x:c r="F911" s="27" t="str">
        <x:v>tropos</x:v>
      </x:c>
      <x:c r="G911" s="20" t="str">
        <x:v>a turn, i.e. (by implication) mode or style (especially with preposition or relative prefix as adverb, like); figuratively, deportment or character</x:v>
      </x:c>
      <x:c r="H911" s="20" t="str"/>
      <x:c r="I911" s="21"/>
      <x:c r="J911" s="21" t="str">
        <x:v>Mounce 頻率延伸</x:v>
      </x:c>
      <x:c r="K911" s="21" t="str">
        <x:v>G5158</x:v>
      </x:c>
      <x:c r="L911" s="21" t="str">
        <x:v>否</x:v>
      </x:c>
      <x:c r="M911" s="21" t="str"/>
      <x:c r="N911" s="21" t="str">
        <x:v>source_and_lexicon_matched</x:v>
      </x:c>
      <x:c r="O911" s="21" t="str">
        <x:v>rule_generated_from_official_table</x:v>
      </x:c>
      <x:c r="P911" s="21" t="n">
        <x:v>16</x:v>
      </x:c>
      <x:c r="Q911" s="21" t="str">
        <x:v>https://doxa.billmounce.com/Flashcards%20%28BBG%29.pdf</x:v>
      </x:c>
      <x:c r="R911" s="16" t="str"/>
    </x:row>
    <x:row r="912" ht="28" customHeight="1">
      <x:c r="A912" s="21" t="n">
        <x:v>908</x:v>
      </x:c>
      <x:c r="B912" s="21" t="n">
        <x:f>ROUNDUP(A912/50,0)</x:f>
        <x:v>19</x:v>
      </x:c>
      <x:c r="C912" s="21" t="n">
        <x:f>MOD(A912-1,50)+1</x:f>
        <x:v>8</x:v>
      </x:c>
      <x:c r="D912" s="29" t="str">
        <x:v>τύπτω</x:v>
      </x:c>
      <x:c r="E912" s="29" t="str">
        <x:v>τύπτω</x:v>
      </x:c>
      <x:c r="F912" s="27" t="str">
        <x:v>tuptō</x:v>
      </x:c>
      <x:c r="G912" s="20" t="str">
        <x:v>to "thump", i.e. cudgel or pummel (properly, with a stick or bastinado), but in any case by repeated blows; thus differing from G3817 (παίω) and G3960 (πατάσσω), which denote a (usually single) blow with the hand or any instrument, or G4141 (πλήσσω) with the fist (or a hammer), or G4474 (ῥαπίζω) with the palm; as well as from G5177 (τυγχάνω), an accidental collision); by implication, to punish; figuratively, to offend (the conscience)</x:v>
      </x:c>
      <x:c r="H912" s="20" t="str"/>
      <x:c r="I912" s="21"/>
      <x:c r="J912" s="21" t="str">
        <x:v>Mounce 頻率延伸</x:v>
      </x:c>
      <x:c r="K912" s="21" t="str">
        <x:v>G5180</x:v>
      </x:c>
      <x:c r="L912" s="21" t="str">
        <x:v>否</x:v>
      </x:c>
      <x:c r="M912" s="21" t="str"/>
      <x:c r="N912" s="21" t="str">
        <x:v>source_and_lexicon_matched</x:v>
      </x:c>
      <x:c r="O912" s="21" t="str">
        <x:v>rule_generated_from_official_table</x:v>
      </x:c>
      <x:c r="P912" s="21" t="n">
        <x:v>16</x:v>
      </x:c>
      <x:c r="Q912" s="21" t="str">
        <x:v>https://doxa.billmounce.com/Flashcards%20%28BBG%29.pdf</x:v>
      </x:c>
      <x:c r="R912" s="16" t="str"/>
    </x:row>
    <x:row r="913" ht="28" customHeight="1">
      <x:c r="A913" s="21" t="n">
        <x:v>909</x:v>
      </x:c>
      <x:c r="B913" s="21" t="n">
        <x:f>ROUNDUP(A913/50,0)</x:f>
        <x:v>19</x:v>
      </x:c>
      <x:c r="C913" s="21" t="n">
        <x:f>MOD(A913-1,50)+1</x:f>
        <x:v>9</x:v>
      </x:c>
      <x:c r="D913" s="29" t="str">
        <x:v>ὕψιστος, -η, -ον</x:v>
      </x:c>
      <x:c r="E913" s="29" t="str">
        <x:v>ὕψιστος</x:v>
      </x:c>
      <x:c r="F913" s="27" t="str">
        <x:v>hupsistos</x:v>
      </x:c>
      <x:c r="G913" s="20" t="str">
        <x:v>highest, i.e. (masculine singular) the Supreme (God), or (neuter plural) the heavens</x:v>
      </x:c>
      <x:c r="H913" s="20" t="str"/>
      <x:c r="I913" s="21"/>
      <x:c r="J913" s="21" t="str">
        <x:v>Mounce 頻率延伸</x:v>
      </x:c>
      <x:c r="K913" s="21" t="str">
        <x:v>G5310</x:v>
      </x:c>
      <x:c r="L913" s="21" t="str">
        <x:v>否</x:v>
      </x:c>
      <x:c r="M913" s="21" t="str"/>
      <x:c r="N913" s="21" t="str">
        <x:v>source_and_lexicon_matched</x:v>
      </x:c>
      <x:c r="O913" s="21" t="str">
        <x:v>rule_generated_from_official_table</x:v>
      </x:c>
      <x:c r="P913" s="21" t="n">
        <x:v>16</x:v>
      </x:c>
      <x:c r="Q913" s="21" t="str">
        <x:v>https://doxa.billmounce.com/Flashcards%20%28BBG%29.pdf</x:v>
      </x:c>
      <x:c r="R913" s="16" t="str"/>
    </x:row>
    <x:row r="914" ht="28" customHeight="1">
      <x:c r="A914" s="21" t="n">
        <x:v>910</x:v>
      </x:c>
      <x:c r="B914" s="21" t="n">
        <x:f>ROUNDUP(A914/50,0)</x:f>
        <x:v>19</x:v>
      </x:c>
      <x:c r="C914" s="21" t="n">
        <x:f>MOD(A914-1,50)+1</x:f>
        <x:v>10</x:v>
      </x:c>
      <x:c r="D914" s="29" t="str">
        <x:v>Φῆστος, -ου, ὁ</x:v>
      </x:c>
      <x:c r="E914" s="29" t="str">
        <x:v>Φῆστος</x:v>
      </x:c>
      <x:c r="F914" s="27" t="str">
        <x:v>Phēstos</x:v>
      </x:c>
      <x:c r="G914" s="20" t="str">
        <x:v>festal; Phestus (i.e. Festus), a Roman</x:v>
      </x:c>
      <x:c r="H914" s="20" t="str"/>
      <x:c r="I914" s="21"/>
      <x:c r="J914" s="21" t="str">
        <x:v>Mounce 頻率延伸</x:v>
      </x:c>
      <x:c r="K914" s="21" t="str">
        <x:v>G5347</x:v>
      </x:c>
      <x:c r="L914" s="21" t="str">
        <x:v>是</x:v>
      </x:c>
      <x:c r="M914" s="21" t="str">
        <x:v>人名</x:v>
      </x:c>
      <x:c r="N914" s="21" t="str">
        <x:v>source_and_lexicon_matched</x:v>
      </x:c>
      <x:c r="O914" s="21" t="str">
        <x:v>rule_generated_from_official_table</x:v>
      </x:c>
      <x:c r="P914" s="21" t="n">
        <x:v>16</x:v>
      </x:c>
      <x:c r="Q914" s="21" t="str">
        <x:v>https://doxa.billmounce.com/Flashcards%20%28BBG%29.pdf</x:v>
      </x:c>
      <x:c r="R914" s="16" t="str"/>
    </x:row>
    <x:row r="915" ht="28" customHeight="1">
      <x:c r="A915" s="21" t="n">
        <x:v>911</x:v>
      </x:c>
      <x:c r="B915" s="21" t="n">
        <x:f>ROUNDUP(A915/50,0)</x:f>
        <x:v>19</x:v>
      </x:c>
      <x:c r="C915" s="21" t="n">
        <x:f>MOD(A915-1,50)+1</x:f>
        <x:v>11</x:v>
      </x:c>
      <x:c r="D915" s="29" t="str">
        <x:v>χωρίζω</x:v>
      </x:c>
      <x:c r="E915" s="29" t="str">
        <x:v>χωρίζω</x:v>
      </x:c>
      <x:c r="F915" s="27" t="str">
        <x:v>chōrizō</x:v>
      </x:c>
      <x:c r="G915" s="20" t="str">
        <x:v>to place room between, i.e. part; reflexively, to go away</x:v>
      </x:c>
      <x:c r="H915" s="20" t="str"/>
      <x:c r="I915" s="21"/>
      <x:c r="J915" s="21" t="str">
        <x:v>Mounce 頻率延伸</x:v>
      </x:c>
      <x:c r="K915" s="21" t="str">
        <x:v>G5563</x:v>
      </x:c>
      <x:c r="L915" s="21" t="str">
        <x:v>否</x:v>
      </x:c>
      <x:c r="M915" s="21" t="str"/>
      <x:c r="N915" s="21" t="str">
        <x:v>source_and_lexicon_matched</x:v>
      </x:c>
      <x:c r="O915" s="21" t="str">
        <x:v>rule_generated_from_official_table</x:v>
      </x:c>
      <x:c r="P915" s="21" t="n">
        <x:v>16</x:v>
      </x:c>
      <x:c r="Q915" s="21" t="str">
        <x:v>https://doxa.billmounce.com/Flashcards%20%28BBG%29.pdf</x:v>
      </x:c>
      <x:c r="R915" s="16" t="str"/>
    </x:row>
    <x:row r="916" ht="28" customHeight="1">
      <x:c r="A916" s="21" t="n">
        <x:v>912</x:v>
      </x:c>
      <x:c r="B916" s="21" t="n">
        <x:f>ROUNDUP(A916/50,0)</x:f>
        <x:v>19</x:v>
      </x:c>
      <x:c r="C916" s="21" t="n">
        <x:f>MOD(A916-1,50)+1</x:f>
        <x:v>12</x:v>
      </x:c>
      <x:c r="D916" s="29" t="str">
        <x:v>ἄδικος, -ον</x:v>
      </x:c>
      <x:c r="E916" s="29" t="str">
        <x:v>ἄδικος</x:v>
      </x:c>
      <x:c r="F916" s="27" t="str">
        <x:v>adikos</x:v>
      </x:c>
      <x:c r="G916" s="20" t="str">
        <x:v>unjust; by extension wicked; by implication, treacherous; specially, heathen</x:v>
      </x:c>
      <x:c r="H916" s="20" t="str"/>
      <x:c r="I916" s="21"/>
      <x:c r="J916" s="21" t="str">
        <x:v>Mounce 頻率延伸</x:v>
      </x:c>
      <x:c r="K916" s="21" t="str">
        <x:v>G94</x:v>
      </x:c>
      <x:c r="L916" s="21" t="str">
        <x:v>否</x:v>
      </x:c>
      <x:c r="M916" s="21" t="str"/>
      <x:c r="N916" s="21" t="str">
        <x:v>source_and_lexicon_matched</x:v>
      </x:c>
      <x:c r="O916" s="21" t="str">
        <x:v>rule_generated_from_official_table</x:v>
      </x:c>
      <x:c r="P916" s="21" t="n">
        <x:v>16</x:v>
      </x:c>
      <x:c r="Q916" s="21" t="str">
        <x:v>https://doxa.billmounce.com/Flashcards%20%28BBG%29.pdf</x:v>
      </x:c>
      <x:c r="R916" s="16" t="str"/>
    </x:row>
    <x:row r="917" ht="28" customHeight="1">
      <x:c r="A917" s="21" t="n">
        <x:v>913</x:v>
      </x:c>
      <x:c r="B917" s="21" t="n">
        <x:f>ROUNDUP(A917/50,0)</x:f>
        <x:v>19</x:v>
      </x:c>
      <x:c r="C917" s="21" t="n">
        <x:f>MOD(A917-1,50)+1</x:f>
        <x:v>13</x:v>
      </x:c>
      <x:c r="D917" s="29" t="str">
        <x:v>ἀλέκτωρ, -ορος, ὁ</x:v>
      </x:c>
      <x:c r="E917" s="29" t="str">
        <x:v>ἀλέκτωρ</x:v>
      </x:c>
      <x:c r="F917" s="27" t="str">
        <x:v>alektōr</x:v>
      </x:c>
      <x:c r="G917" s="20" t="str">
        <x:v>a cock or male fowl</x:v>
      </x:c>
      <x:c r="H917" s="20" t="str"/>
      <x:c r="I917" s="21"/>
      <x:c r="J917" s="21" t="str">
        <x:v>Mounce 頻率延伸</x:v>
      </x:c>
      <x:c r="K917" s="21" t="str">
        <x:v>G220</x:v>
      </x:c>
      <x:c r="L917" s="21" t="str">
        <x:v>否</x:v>
      </x:c>
      <x:c r="M917" s="21" t="str"/>
      <x:c r="N917" s="21" t="str">
        <x:v>source_and_lexicon_matched</x:v>
      </x:c>
      <x:c r="O917" s="21" t="str">
        <x:v>rule_generated_from_official_table</x:v>
      </x:c>
      <x:c r="P917" s="21" t="n">
        <x:v>16</x:v>
      </x:c>
      <x:c r="Q917" s="21" t="str">
        <x:v>https://doxa.billmounce.com/Flashcards%20%28BBG%29.pdf</x:v>
      </x:c>
      <x:c r="R917" s="16" t="str"/>
    </x:row>
    <x:row r="918" ht="28" customHeight="1">
      <x:c r="A918" s="21" t="n">
        <x:v>914</x:v>
      </x:c>
      <x:c r="B918" s="21" t="n">
        <x:f>ROUNDUP(A918/50,0)</x:f>
        <x:v>19</x:v>
      </x:c>
      <x:c r="C918" s="21" t="n">
        <x:f>MOD(A918-1,50)+1</x:f>
        <x:v>14</x:v>
      </x:c>
      <x:c r="D918" s="29" t="str">
        <x:v>ἀναπαύω</x:v>
      </x:c>
      <x:c r="E918" s="29" t="str">
        <x:v>ἀναπαύω</x:v>
      </x:c>
      <x:c r="F918" s="27" t="str">
        <x:v>anapauō</x:v>
      </x:c>
      <x:c r="G918" s="20" t="str">
        <x:v>(reflexively) to repose (literally or figuratively (be exempt), remain); by implication, to refresh</x:v>
      </x:c>
      <x:c r="H918" s="20" t="str"/>
      <x:c r="I918" s="21"/>
      <x:c r="J918" s="21" t="str">
        <x:v>Mounce 頻率延伸</x:v>
      </x:c>
      <x:c r="K918" s="21" t="str">
        <x:v>G373</x:v>
      </x:c>
      <x:c r="L918" s="21" t="str">
        <x:v>否</x:v>
      </x:c>
      <x:c r="M918" s="21" t="str"/>
      <x:c r="N918" s="21" t="str">
        <x:v>source_and_lexicon_matched</x:v>
      </x:c>
      <x:c r="O918" s="21" t="str">
        <x:v>rule_generated_from_official_table</x:v>
      </x:c>
      <x:c r="P918" s="21" t="n">
        <x:v>16</x:v>
      </x:c>
      <x:c r="Q918" s="21" t="str">
        <x:v>https://doxa.billmounce.com/Flashcards%20%28BBG%29.pdf</x:v>
      </x:c>
      <x:c r="R918" s="16" t="str"/>
    </x:row>
    <x:row r="919" ht="28" customHeight="1">
      <x:c r="A919" s="21" t="n">
        <x:v>915</x:v>
      </x:c>
      <x:c r="B919" s="21" t="n">
        <x:f>ROUNDUP(A919/50,0)</x:f>
        <x:v>19</x:v>
      </x:c>
      <x:c r="C919" s="21" t="n">
        <x:f>MOD(A919-1,50)+1</x:f>
        <x:v>15</x:v>
      </x:c>
      <x:c r="D919" s="29" t="str">
        <x:v>ἀναπίπτω</x:v>
      </x:c>
      <x:c r="E919" s="29" t="str">
        <x:v>ἀναπίπτω</x:v>
      </x:c>
      <x:c r="F919" s="27" t="str">
        <x:v>anapiptō</x:v>
      </x:c>
      <x:c r="G919" s="20" t="str">
        <x:v>to fall back, i.e. lie down, lean back</x:v>
      </x:c>
      <x:c r="H919" s="20" t="str"/>
      <x:c r="I919" s="21"/>
      <x:c r="J919" s="21" t="str">
        <x:v>Mounce 頻率延伸</x:v>
      </x:c>
      <x:c r="K919" s="21" t="str">
        <x:v>G377</x:v>
      </x:c>
      <x:c r="L919" s="21" t="str">
        <x:v>否</x:v>
      </x:c>
      <x:c r="M919" s="21" t="str"/>
      <x:c r="N919" s="21" t="str">
        <x:v>source_and_lexicon_matched</x:v>
      </x:c>
      <x:c r="O919" s="21" t="str">
        <x:v>rule_generated_from_official_table</x:v>
      </x:c>
      <x:c r="P919" s="21" t="n">
        <x:v>16</x:v>
      </x:c>
      <x:c r="Q919" s="21" t="str">
        <x:v>https://doxa.billmounce.com/Flashcards%20%28BBG%29.pdf</x:v>
      </x:c>
      <x:c r="R919" s="16" t="str"/>
    </x:row>
    <x:row r="920" ht="28" customHeight="1">
      <x:c r="A920" s="21" t="n">
        <x:v>916</x:v>
      </x:c>
      <x:c r="B920" s="21" t="n">
        <x:f>ROUNDUP(A920/50,0)</x:f>
        <x:v>19</x:v>
      </x:c>
      <x:c r="C920" s="21" t="n">
        <x:f>MOD(A920-1,50)+1</x:f>
        <x:v>16</x:v>
      </x:c>
      <x:c r="D920" s="29" t="str">
        <x:v>ἀσκός, -οῦ, ὁ</x:v>
      </x:c>
      <x:c r="E920" s="29" t="str">
        <x:v>ἀσκός</x:v>
      </x:c>
      <x:c r="F920" s="27" t="str">
        <x:v>askos</x:v>
      </x:c>
      <x:c r="G920" s="20" t="str">
        <x:v>a leathern (or skin) bag used as a bottle</x:v>
      </x:c>
      <x:c r="H920" s="20" t="str"/>
      <x:c r="I920" s="21"/>
      <x:c r="J920" s="21" t="str">
        <x:v>Mounce 頻率延伸</x:v>
      </x:c>
      <x:c r="K920" s="21" t="str">
        <x:v>G779</x:v>
      </x:c>
      <x:c r="L920" s="21" t="str">
        <x:v>否</x:v>
      </x:c>
      <x:c r="M920" s="21" t="str"/>
      <x:c r="N920" s="21" t="str">
        <x:v>source_and_lexicon_matched</x:v>
      </x:c>
      <x:c r="O920" s="21" t="str">
        <x:v>rule_generated_from_official_table</x:v>
      </x:c>
      <x:c r="P920" s="21" t="n">
        <x:v>16</x:v>
      </x:c>
      <x:c r="Q920" s="21" t="str">
        <x:v>https://doxa.billmounce.com/Flashcards%20%28BBG%29.pdf</x:v>
      </x:c>
      <x:c r="R920" s="16" t="str"/>
    </x:row>
    <x:row r="921" ht="28" customHeight="1">
      <x:c r="A921" s="21" t="n">
        <x:v>917</x:v>
      </x:c>
      <x:c r="B921" s="21" t="n">
        <x:f>ROUNDUP(A921/50,0)</x:f>
        <x:v>19</x:v>
      </x:c>
      <x:c r="C921" s="21" t="n">
        <x:f>MOD(A921-1,50)+1</x:f>
        <x:v>17</x:v>
      </x:c>
      <x:c r="D921" s="29" t="str">
        <x:v>αὐλή, -ῆς, ἡ</x:v>
      </x:c>
      <x:c r="E921" s="29" t="str">
        <x:v>αὐλή</x:v>
      </x:c>
      <x:c r="F921" s="27" t="str">
        <x:v>aulē</x:v>
      </x:c>
      <x:c r="G921" s="20" t="str">
        <x:v>a yard (as open to the wind); by implication, a mansion</x:v>
      </x:c>
      <x:c r="H921" s="20" t="str"/>
      <x:c r="I921" s="21"/>
      <x:c r="J921" s="21" t="str">
        <x:v>Mounce 頻率延伸</x:v>
      </x:c>
      <x:c r="K921" s="21" t="str">
        <x:v>G833</x:v>
      </x:c>
      <x:c r="L921" s="21" t="str">
        <x:v>否</x:v>
      </x:c>
      <x:c r="M921" s="21" t="str"/>
      <x:c r="N921" s="21" t="str">
        <x:v>source_and_lexicon_matched</x:v>
      </x:c>
      <x:c r="O921" s="21" t="str">
        <x:v>rule_generated_from_official_table</x:v>
      </x:c>
      <x:c r="P921" s="21" t="n">
        <x:v>16</x:v>
      </x:c>
      <x:c r="Q921" s="21" t="str">
        <x:v>https://doxa.billmounce.com/Flashcards%20%28BBG%29.pdf</x:v>
      </x:c>
      <x:c r="R921" s="16" t="str"/>
    </x:row>
    <x:row r="922" ht="28" customHeight="1">
      <x:c r="A922" s="21" t="n">
        <x:v>918</x:v>
      </x:c>
      <x:c r="B922" s="21" t="n">
        <x:f>ROUNDUP(A922/50,0)</x:f>
        <x:v>19</x:v>
      </x:c>
      <x:c r="C922" s="21" t="n">
        <x:f>MOD(A922-1,50)+1</x:f>
        <x:v>18</x:v>
      </x:c>
      <x:c r="D922" s="29" t="str">
        <x:v>Βαβυλών, -ῶνος, ἡ</x:v>
      </x:c>
      <x:c r="E922" s="29" t="str">
        <x:v>Βαβυλών</x:v>
      </x:c>
      <x:c r="F922" s="27" t="str">
        <x:v>Babulōn</x:v>
      </x:c>
      <x:c r="G922" s="20" t="str">
        <x:v>Babylon, the capitol of Chaldæa (literally or figuratively (as a type of tyranny))</x:v>
      </x:c>
      <x:c r="H922" s="20" t="str"/>
      <x:c r="I922" s="21"/>
      <x:c r="J922" s="21" t="str">
        <x:v>Mounce 頻率延伸</x:v>
      </x:c>
      <x:c r="K922" s="21" t="str">
        <x:v>G897</x:v>
      </x:c>
      <x:c r="L922" s="21" t="str">
        <x:v>是</x:v>
      </x:c>
      <x:c r="M922" s="21" t="str">
        <x:v>地名</x:v>
      </x:c>
      <x:c r="N922" s="21" t="str">
        <x:v>source_and_lexicon_matched</x:v>
      </x:c>
      <x:c r="O922" s="21" t="str">
        <x:v>rule_generated_from_official_table</x:v>
      </x:c>
      <x:c r="P922" s="21" t="n">
        <x:v>16</x:v>
      </x:c>
      <x:c r="Q922" s="21" t="str">
        <x:v>https://doxa.billmounce.com/Flashcards%20%28BBG%29.pdf</x:v>
      </x:c>
      <x:c r="R922" s="16" t="str"/>
    </x:row>
    <x:row r="923" ht="28" customHeight="1">
      <x:c r="A923" s="21" t="n">
        <x:v>919</x:v>
      </x:c>
      <x:c r="B923" s="21" t="n">
        <x:f>ROUNDUP(A923/50,0)</x:f>
        <x:v>19</x:v>
      </x:c>
      <x:c r="C923" s="21" t="n">
        <x:f>MOD(A923-1,50)+1</x:f>
        <x:v>19</x:v>
      </x:c>
      <x:c r="D923" s="29" t="str">
        <x:v>βαπτιστής, -οῦ, ὁ</x:v>
      </x:c>
      <x:c r="E923" s="29" t="str">
        <x:v>βαπτιστής</x:v>
      </x:c>
      <x:c r="F923" s="27" t="str">
        <x:v>baptistēs</x:v>
      </x:c>
      <x:c r="G923" s="20" t="str">
        <x:v>a baptizer, as an epithet of Christ's forerunner</x:v>
      </x:c>
      <x:c r="H923" s="20" t="str"/>
      <x:c r="I923" s="21"/>
      <x:c r="J923" s="21" t="str">
        <x:v>Mounce 頻率延伸</x:v>
      </x:c>
      <x:c r="K923" s="21" t="str">
        <x:v>G910</x:v>
      </x:c>
      <x:c r="L923" s="21" t="str">
        <x:v>否</x:v>
      </x:c>
      <x:c r="M923" s="21" t="str"/>
      <x:c r="N923" s="21" t="str">
        <x:v>source_and_lexicon_matched</x:v>
      </x:c>
      <x:c r="O923" s="21" t="str">
        <x:v>rule_generated_from_official_table</x:v>
      </x:c>
      <x:c r="P923" s="21" t="n">
        <x:v>16</x:v>
      </x:c>
      <x:c r="Q923" s="21" t="str">
        <x:v>https://doxa.billmounce.com/Flashcards%20%28BBG%29.pdf</x:v>
      </x:c>
      <x:c r="R923" s="16" t="str"/>
    </x:row>
    <x:row r="924" ht="28" customHeight="1">
      <x:c r="A924" s="21" t="n">
        <x:v>920</x:v>
      </x:c>
      <x:c r="B924" s="21" t="n">
        <x:f>ROUNDUP(A924/50,0)</x:f>
        <x:v>19</x:v>
      </x:c>
      <x:c r="C924" s="21" t="n">
        <x:f>MOD(A924-1,50)+1</x:f>
        <x:v>20</x:v>
      </x:c>
      <x:c r="D924" s="29" t="str">
        <x:v>βασανίζω</x:v>
      </x:c>
      <x:c r="E924" s="29" t="str">
        <x:v>βασανίζω</x:v>
      </x:c>
      <x:c r="F924" s="27" t="str">
        <x:v>basanizō</x:v>
      </x:c>
      <x:c r="G924" s="20" t="str">
        <x:v>to torture</x:v>
      </x:c>
      <x:c r="H924" s="20" t="str"/>
      <x:c r="I924" s="21"/>
      <x:c r="J924" s="21" t="str">
        <x:v>Mounce 頻率延伸</x:v>
      </x:c>
      <x:c r="K924" s="21" t="str">
        <x:v>G928</x:v>
      </x:c>
      <x:c r="L924" s="21" t="str">
        <x:v>否</x:v>
      </x:c>
      <x:c r="M924" s="21" t="str"/>
      <x:c r="N924" s="21" t="str">
        <x:v>source_and_lexicon_matched</x:v>
      </x:c>
      <x:c r="O924" s="21" t="str">
        <x:v>rule_generated_from_official_table</x:v>
      </x:c>
      <x:c r="P924" s="21" t="n">
        <x:v>16</x:v>
      </x:c>
      <x:c r="Q924" s="21" t="str">
        <x:v>https://doxa.billmounce.com/Flashcards%20%28BBG%29.pdf</x:v>
      </x:c>
      <x:c r="R924" s="16" t="str"/>
    </x:row>
    <x:row r="925" ht="28" customHeight="1">
      <x:c r="A925" s="21" t="n">
        <x:v>921</x:v>
      </x:c>
      <x:c r="B925" s="21" t="n">
        <x:f>ROUNDUP(A925/50,0)</x:f>
        <x:v>19</x:v>
      </x:c>
      <x:c r="C925" s="21" t="n">
        <x:f>MOD(A925-1,50)+1</x:f>
        <x:v>21</x:v>
      </x:c>
      <x:c r="D925" s="29" t="str">
        <x:v>Βηθανία, -ας, ἡ</x:v>
      </x:c>
      <x:c r="E925" s="29" t="str">
        <x:v>Βηθανία</x:v>
      </x:c>
      <x:c r="F925" s="27" t="str">
        <x:v>Bēthania</x:v>
      </x:c>
      <x:c r="G925" s="20" t="str">
        <x:v>date-house; Beth-any, a place in Palestine</x:v>
      </x:c>
      <x:c r="H925" s="20" t="str"/>
      <x:c r="I925" s="21"/>
      <x:c r="J925" s="21" t="str">
        <x:v>Mounce 頻率延伸</x:v>
      </x:c>
      <x:c r="K925" s="21" t="str">
        <x:v>G963</x:v>
      </x:c>
      <x:c r="L925" s="21" t="str">
        <x:v>是</x:v>
      </x:c>
      <x:c r="M925" s="21" t="str">
        <x:v>地名</x:v>
      </x:c>
      <x:c r="N925" s="21" t="str">
        <x:v>source_and_lexicon_matched</x:v>
      </x:c>
      <x:c r="O925" s="21" t="str">
        <x:v>rule_generated_from_official_table</x:v>
      </x:c>
      <x:c r="P925" s="21" t="n">
        <x:v>16</x:v>
      </x:c>
      <x:c r="Q925" s="21" t="str">
        <x:v>https://doxa.billmounce.com/Flashcards%20%28BBG%29.pdf</x:v>
      </x:c>
      <x:c r="R925" s="16" t="str"/>
    </x:row>
    <x:row r="926" ht="28" customHeight="1">
      <x:c r="A926" s="21" t="n">
        <x:v>922</x:v>
      </x:c>
      <x:c r="B926" s="21" t="n">
        <x:f>ROUNDUP(A926/50,0)</x:f>
        <x:v>19</x:v>
      </x:c>
      <x:c r="C926" s="21" t="n">
        <x:f>MOD(A926-1,50)+1</x:f>
        <x:v>22</x:v>
      </x:c>
      <x:c r="D926" s="29" t="str">
        <x:v>βῆμα, -ατος, τό</x:v>
      </x:c>
      <x:c r="E926" s="29" t="str">
        <x:v>βῆμα</x:v>
      </x:c>
      <x:c r="F926" s="27" t="str">
        <x:v>bēma</x:v>
      </x:c>
      <x:c r="G926" s="20" t="str">
        <x:v>a step, i.e. foot-breath; by implication, a rostrum, i.e. a tribunal</x:v>
      </x:c>
      <x:c r="H926" s="20" t="str"/>
      <x:c r="I926" s="21"/>
      <x:c r="J926" s="21" t="str">
        <x:v>Mounce 頻率延伸</x:v>
      </x:c>
      <x:c r="K926" s="21" t="str">
        <x:v>G968</x:v>
      </x:c>
      <x:c r="L926" s="21" t="str">
        <x:v>否</x:v>
      </x:c>
      <x:c r="M926" s="21" t="str"/>
      <x:c r="N926" s="21" t="str">
        <x:v>source_and_lexicon_matched</x:v>
      </x:c>
      <x:c r="O926" s="21" t="str">
        <x:v>rule_generated_from_official_table</x:v>
      </x:c>
      <x:c r="P926" s="21" t="n">
        <x:v>16</x:v>
      </x:c>
      <x:c r="Q926" s="21" t="str">
        <x:v>https://doxa.billmounce.com/Flashcards%20%28BBG%29.pdf</x:v>
      </x:c>
      <x:c r="R926" s="16" t="str"/>
    </x:row>
    <x:row r="927" ht="28" customHeight="1">
      <x:c r="A927" s="21" t="n">
        <x:v>923</x:v>
      </x:c>
      <x:c r="B927" s="21" t="n">
        <x:f>ROUNDUP(A927/50,0)</x:f>
        <x:v>19</x:v>
      </x:c>
      <x:c r="C927" s="21" t="n">
        <x:f>MOD(A927-1,50)+1</x:f>
        <x:v>23</x:v>
      </x:c>
      <x:c r="D927" s="29" t="str">
        <x:v>βοάω</x:v>
      </x:c>
      <x:c r="E927" s="29" t="str">
        <x:v>βοάω</x:v>
      </x:c>
      <x:c r="F927" s="27" t="str">
        <x:v>boaō</x:v>
      </x:c>
      <x:c r="G927" s="20" t="str">
        <x:v>to halloo, i.e. shout (for help or in a tumultuous way)</x:v>
      </x:c>
      <x:c r="H927" s="20" t="str"/>
      <x:c r="I927" s="21"/>
      <x:c r="J927" s="21" t="str">
        <x:v>Mounce 頻率延伸</x:v>
      </x:c>
      <x:c r="K927" s="21" t="str">
        <x:v>G994</x:v>
      </x:c>
      <x:c r="L927" s="21" t="str">
        <x:v>否</x:v>
      </x:c>
      <x:c r="M927" s="21" t="str"/>
      <x:c r="N927" s="21" t="str">
        <x:v>source_and_lexicon_matched</x:v>
      </x:c>
      <x:c r="O927" s="21" t="str">
        <x:v>rule_generated_from_official_table</x:v>
      </x:c>
      <x:c r="P927" s="21" t="n">
        <x:v>16</x:v>
      </x:c>
      <x:c r="Q927" s="21" t="str">
        <x:v>https://doxa.billmounce.com/Flashcards%20%28BBG%29.pdf</x:v>
      </x:c>
      <x:c r="R927" s="16" t="str"/>
    </x:row>
    <x:row r="928" ht="28" customHeight="1">
      <x:c r="A928" s="21" t="n">
        <x:v>924</x:v>
      </x:c>
      <x:c r="B928" s="21" t="n">
        <x:f>ROUNDUP(A928/50,0)</x:f>
        <x:v>19</x:v>
      </x:c>
      <x:c r="C928" s="21" t="n">
        <x:f>MOD(A928-1,50)+1</x:f>
        <x:v>24</x:v>
      </x:c>
      <x:c r="D928" s="29" t="str">
        <x:v>βουλή, -ῆς, ἡ</x:v>
      </x:c>
      <x:c r="E928" s="29" t="str">
        <x:v>βουλή</x:v>
      </x:c>
      <x:c r="F928" s="27" t="str">
        <x:v>boulē</x:v>
      </x:c>
      <x:c r="G928" s="20" t="str">
        <x:v>volition, i.e. (objectively) advice, or (by implication) purpose</x:v>
      </x:c>
      <x:c r="H928" s="20" t="str"/>
      <x:c r="I928" s="21"/>
      <x:c r="J928" s="21" t="str">
        <x:v>Mounce 頻率延伸</x:v>
      </x:c>
      <x:c r="K928" s="21" t="str">
        <x:v>G1012</x:v>
      </x:c>
      <x:c r="L928" s="21" t="str">
        <x:v>否</x:v>
      </x:c>
      <x:c r="M928" s="21" t="str"/>
      <x:c r="N928" s="21" t="str">
        <x:v>source_and_lexicon_matched</x:v>
      </x:c>
      <x:c r="O928" s="21" t="str">
        <x:v>rule_generated_from_official_table</x:v>
      </x:c>
      <x:c r="P928" s="21" t="n">
        <x:v>16</x:v>
      </x:c>
      <x:c r="Q928" s="21" t="str">
        <x:v>https://doxa.billmounce.com/Flashcards%20%28BBG%29.pdf</x:v>
      </x:c>
      <x:c r="R928" s="16" t="str"/>
    </x:row>
    <x:row r="929" ht="28" customHeight="1">
      <x:c r="A929" s="21" t="n">
        <x:v>925</x:v>
      </x:c>
      <x:c r="B929" s="21" t="n">
        <x:f>ROUNDUP(A929/50,0)</x:f>
        <x:v>19</x:v>
      </x:c>
      <x:c r="C929" s="21" t="n">
        <x:f>MOD(A929-1,50)+1</x:f>
        <x:v>25</x:v>
      </x:c>
      <x:c r="D929" s="29" t="str">
        <x:v>βροντή, -ῆς, ἡ</x:v>
      </x:c>
      <x:c r="E929" s="29" t="str">
        <x:v>βροντή</x:v>
      </x:c>
      <x:c r="F929" s="27" t="str">
        <x:v>brontē</x:v>
      </x:c>
      <x:c r="G929" s="20" t="str">
        <x:v>thunder</x:v>
      </x:c>
      <x:c r="H929" s="20" t="str"/>
      <x:c r="I929" s="21"/>
      <x:c r="J929" s="21" t="str">
        <x:v>Mounce 頻率延伸</x:v>
      </x:c>
      <x:c r="K929" s="21" t="str">
        <x:v>G1027</x:v>
      </x:c>
      <x:c r="L929" s="21" t="str">
        <x:v>否</x:v>
      </x:c>
      <x:c r="M929" s="21" t="str"/>
      <x:c r="N929" s="21" t="str">
        <x:v>source_and_lexicon_matched</x:v>
      </x:c>
      <x:c r="O929" s="21" t="str">
        <x:v>rule_generated_from_official_table</x:v>
      </x:c>
      <x:c r="P929" s="21" t="n">
        <x:v>16</x:v>
      </x:c>
      <x:c r="Q929" s="21" t="str">
        <x:v>https://doxa.billmounce.com/Flashcards%20%28BBG%29.pdf</x:v>
      </x:c>
      <x:c r="R929" s="16" t="str"/>
    </x:row>
    <x:row r="930" ht="28" customHeight="1">
      <x:c r="A930" s="21" t="n">
        <x:v>926</x:v>
      </x:c>
      <x:c r="B930" s="21" t="n">
        <x:f>ROUNDUP(A930/50,0)</x:f>
        <x:v>19</x:v>
      </x:c>
      <x:c r="C930" s="21" t="n">
        <x:f>MOD(A930-1,50)+1</x:f>
        <x:v>26</x:v>
      </x:c>
      <x:c r="D930" s="29" t="str">
        <x:v>γέεννα, -ης, ἡ</x:v>
      </x:c>
      <x:c r="E930" s="29" t="str">
        <x:v>γέεννα</x:v>
      </x:c>
      <x:c r="F930" s="27" t="str">
        <x:v>geenna</x:v>
      </x:c>
      <x:c r="G930" s="20" t="str">
        <x:v>valley of (the son of) Hinnom; ge-henna (or Ge-Hinnom), a valley of Jerusalem, used (figuratively) as a name for the place (or state) of everlasting punishment</x:v>
      </x:c>
      <x:c r="H930" s="20" t="str"/>
      <x:c r="I930" s="21"/>
      <x:c r="J930" s="21" t="str">
        <x:v>Mounce 頻率延伸</x:v>
      </x:c>
      <x:c r="K930" s="21" t="str">
        <x:v>G1067</x:v>
      </x:c>
      <x:c r="L930" s="21" t="str">
        <x:v>否</x:v>
      </x:c>
      <x:c r="M930" s="21" t="str"/>
      <x:c r="N930" s="21" t="str">
        <x:v>source_and_lexicon_matched</x:v>
      </x:c>
      <x:c r="O930" s="21" t="str">
        <x:v>rule_generated_from_official_table</x:v>
      </x:c>
      <x:c r="P930" s="21" t="n">
        <x:v>16</x:v>
      </x:c>
      <x:c r="Q930" s="21" t="str">
        <x:v>https://doxa.billmounce.com/Flashcards%20%28BBG%29.pdf</x:v>
      </x:c>
      <x:c r="R930" s="16" t="str"/>
    </x:row>
    <x:row r="931" ht="28" customHeight="1">
      <x:c r="A931" s="21" t="n">
        <x:v>927</x:v>
      </x:c>
      <x:c r="B931" s="21" t="n">
        <x:f>ROUNDUP(A931/50,0)</x:f>
        <x:v>19</x:v>
      </x:c>
      <x:c r="C931" s="21" t="n">
        <x:f>MOD(A931-1,50)+1</x:f>
        <x:v>27</x:v>
      </x:c>
      <x:c r="D931" s="29" t="str">
        <x:v>γόνυ, -ατος, τό</x:v>
      </x:c>
      <x:c r="E931" s="29" t="str">
        <x:v>γόνυ</x:v>
      </x:c>
      <x:c r="F931" s="27" t="str">
        <x:v>gonu</x:v>
      </x:c>
      <x:c r="G931" s="20" t="str">
        <x:v>the "knee"</x:v>
      </x:c>
      <x:c r="H931" s="20" t="str"/>
      <x:c r="I931" s="21"/>
      <x:c r="J931" s="21" t="str">
        <x:v>Mounce 頻率延伸</x:v>
      </x:c>
      <x:c r="K931" s="21" t="str">
        <x:v>G1119</x:v>
      </x:c>
      <x:c r="L931" s="21" t="str">
        <x:v>否</x:v>
      </x:c>
      <x:c r="M931" s="21" t="str"/>
      <x:c r="N931" s="21" t="str">
        <x:v>source_and_lexicon_matched</x:v>
      </x:c>
      <x:c r="O931" s="21" t="str">
        <x:v>rule_generated_from_official_table</x:v>
      </x:c>
      <x:c r="P931" s="21" t="n">
        <x:v>16</x:v>
      </x:c>
      <x:c r="Q931" s="21" t="str">
        <x:v>https://doxa.billmounce.com/Flashcards%20%28BBG%29.pdf</x:v>
      </x:c>
      <x:c r="R931" s="16" t="str"/>
    </x:row>
    <x:row r="932" ht="28" customHeight="1">
      <x:c r="A932" s="21" t="n">
        <x:v>928</x:v>
      </x:c>
      <x:c r="B932" s="21" t="n">
        <x:f>ROUNDUP(A932/50,0)</x:f>
        <x:v>19</x:v>
      </x:c>
      <x:c r="C932" s="21" t="n">
        <x:f>MOD(A932-1,50)+1</x:f>
        <x:v>28</x:v>
      </x:c>
      <x:c r="D932" s="29" t="str">
        <x:v>δεῦτε</x:v>
      </x:c>
      <x:c r="E932" s="29" t="str">
        <x:v>δεῦτε</x:v>
      </x:c>
      <x:c r="F932" s="27" t="str">
        <x:v>deute</x:v>
      </x:c>
      <x:c r="G932" s="20" t="str">
        <x:v>come hither!</x:v>
      </x:c>
      <x:c r="H932" s="20" t="str"/>
      <x:c r="I932" s="21"/>
      <x:c r="J932" s="21" t="str">
        <x:v>Mounce 頻率延伸</x:v>
      </x:c>
      <x:c r="K932" s="21" t="str">
        <x:v>G1205</x:v>
      </x:c>
      <x:c r="L932" s="21" t="str">
        <x:v>否</x:v>
      </x:c>
      <x:c r="M932" s="21" t="str"/>
      <x:c r="N932" s="21" t="str">
        <x:v>source_and_lexicon_matched</x:v>
      </x:c>
      <x:c r="O932" s="21" t="str">
        <x:v>rule_generated_from_official_table</x:v>
      </x:c>
      <x:c r="P932" s="21" t="n">
        <x:v>16</x:v>
      </x:c>
      <x:c r="Q932" s="21" t="str">
        <x:v>https://doxa.billmounce.com/Flashcards%20%28BBG%29.pdf</x:v>
      </x:c>
      <x:c r="R932" s="16" t="str"/>
    </x:row>
    <x:row r="933" ht="28" customHeight="1">
      <x:c r="A933" s="21" t="n">
        <x:v>929</x:v>
      </x:c>
      <x:c r="B933" s="21" t="n">
        <x:f>ROUNDUP(A933/50,0)</x:f>
        <x:v>19</x:v>
      </x:c>
      <x:c r="C933" s="21" t="n">
        <x:f>MOD(A933-1,50)+1</x:f>
        <x:v>29</x:v>
      </x:c>
      <x:c r="D933" s="29" t="str">
        <x:v>διάνοια, -ας, ἡ</x:v>
      </x:c>
      <x:c r="E933" s="29" t="str">
        <x:v>διάνοια</x:v>
      </x:c>
      <x:c r="F933" s="27" t="str">
        <x:v>dianoia</x:v>
      </x:c>
      <x:c r="G933" s="20" t="str">
        <x:v>deep thought, properly, the faculty (mind or its disposition), by implication, its exercise</x:v>
      </x:c>
      <x:c r="H933" s="20" t="str"/>
      <x:c r="I933" s="21"/>
      <x:c r="J933" s="21" t="str">
        <x:v>Mounce 頻率延伸</x:v>
      </x:c>
      <x:c r="K933" s="21" t="str">
        <x:v>G1271</x:v>
      </x:c>
      <x:c r="L933" s="21" t="str">
        <x:v>否</x:v>
      </x:c>
      <x:c r="M933" s="21" t="str"/>
      <x:c r="N933" s="21" t="str">
        <x:v>source_and_lexicon_matched</x:v>
      </x:c>
      <x:c r="O933" s="21" t="str">
        <x:v>rule_generated_from_official_table</x:v>
      </x:c>
      <x:c r="P933" s="21" t="n">
        <x:v>16</x:v>
      </x:c>
      <x:c r="Q933" s="21" t="str">
        <x:v>https://doxa.billmounce.com/Flashcards%20%28BBG%29.pdf</x:v>
      </x:c>
      <x:c r="R933" s="16" t="str"/>
    </x:row>
    <x:row r="934" ht="28" customHeight="1">
      <x:c r="A934" s="21" t="n">
        <x:v>930</x:v>
      </x:c>
      <x:c r="B934" s="21" t="n">
        <x:f>ROUNDUP(A934/50,0)</x:f>
        <x:v>19</x:v>
      </x:c>
      <x:c r="C934" s="21" t="n">
        <x:f>MOD(A934-1,50)+1</x:f>
        <x:v>30</x:v>
      </x:c>
      <x:c r="D934" s="29" t="str">
        <x:v>δίκτυον, -ου, τό</x:v>
      </x:c>
      <x:c r="E934" s="29" t="str">
        <x:v>δίκτυον</x:v>
      </x:c>
      <x:c r="F934" s="27" t="str">
        <x:v>diktuon</x:v>
      </x:c>
      <x:c r="G934" s="20" t="str">
        <x:v>a seine (for fishing)</x:v>
      </x:c>
      <x:c r="H934" s="20" t="str"/>
      <x:c r="I934" s="21"/>
      <x:c r="J934" s="21" t="str">
        <x:v>Mounce 頻率延伸</x:v>
      </x:c>
      <x:c r="K934" s="21" t="str">
        <x:v>G1350</x:v>
      </x:c>
      <x:c r="L934" s="21" t="str">
        <x:v>否</x:v>
      </x:c>
      <x:c r="M934" s="21" t="str"/>
      <x:c r="N934" s="21" t="str">
        <x:v>source_and_lexicon_matched</x:v>
      </x:c>
      <x:c r="O934" s="21" t="str">
        <x:v>rule_generated_from_official_table</x:v>
      </x:c>
      <x:c r="P934" s="21" t="n">
        <x:v>16</x:v>
      </x:c>
      <x:c r="Q934" s="21" t="str">
        <x:v>https://doxa.billmounce.com/Flashcards%20%28BBG%29.pdf</x:v>
      </x:c>
      <x:c r="R934" s="16" t="str"/>
    </x:row>
    <x:row r="935" ht="28" customHeight="1">
      <x:c r="A935" s="21" t="n">
        <x:v>931</x:v>
      </x:c>
      <x:c r="B935" s="21" t="n">
        <x:f>ROUNDUP(A935/50,0)</x:f>
        <x:v>19</x:v>
      </x:c>
      <x:c r="C935" s="21" t="n">
        <x:f>MOD(A935-1,50)+1</x:f>
        <x:v>31</x:v>
      </x:c>
      <x:c r="D935" s="29" t="str">
        <x:v>ἔθος, -ους, τό</x:v>
      </x:c>
      <x:c r="E935" s="29" t="str">
        <x:v>ἔθος</x:v>
      </x:c>
      <x:c r="F935" s="27" t="str">
        <x:v>ethos</x:v>
      </x:c>
      <x:c r="G935" s="20" t="str">
        <x:v>a usage (prescribed by habit or law)</x:v>
      </x:c>
      <x:c r="H935" s="20" t="str"/>
      <x:c r="I935" s="21"/>
      <x:c r="J935" s="21" t="str">
        <x:v>Mounce 頻率延伸</x:v>
      </x:c>
      <x:c r="K935" s="21" t="str">
        <x:v>G1485</x:v>
      </x:c>
      <x:c r="L935" s="21" t="str">
        <x:v>否</x:v>
      </x:c>
      <x:c r="M935" s="21" t="str"/>
      <x:c r="N935" s="21" t="str">
        <x:v>source_and_lexicon_matched</x:v>
      </x:c>
      <x:c r="O935" s="21" t="str">
        <x:v>rule_generated_from_official_table</x:v>
      </x:c>
      <x:c r="P935" s="21" t="n">
        <x:v>16</x:v>
      </x:c>
      <x:c r="Q935" s="21" t="str">
        <x:v>https://doxa.billmounce.com/Flashcards%20%28BBG%29.pdf</x:v>
      </x:c>
      <x:c r="R935" s="16" t="str"/>
    </x:row>
    <x:row r="936" ht="28" customHeight="1">
      <x:c r="A936" s="21" t="n">
        <x:v>932</x:v>
      </x:c>
      <x:c r="B936" s="21" t="n">
        <x:f>ROUNDUP(A936/50,0)</x:f>
        <x:v>19</x:v>
      </x:c>
      <x:c r="C936" s="21" t="n">
        <x:f>MOD(A936-1,50)+1</x:f>
        <x:v>32</x:v>
      </x:c>
      <x:c r="D936" s="29" t="str">
        <x:v>ἐξάγω</x:v>
      </x:c>
      <x:c r="E936" s="29" t="str">
        <x:v>ἐξάγω</x:v>
      </x:c>
      <x:c r="F936" s="27" t="str">
        <x:v>exagō</x:v>
      </x:c>
      <x:c r="G936" s="20" t="str">
        <x:v>to lead forth</x:v>
      </x:c>
      <x:c r="H936" s="20" t="str"/>
      <x:c r="I936" s="21"/>
      <x:c r="J936" s="21" t="str">
        <x:v>Mounce 頻率延伸</x:v>
      </x:c>
      <x:c r="K936" s="21" t="str">
        <x:v>G1806</x:v>
      </x:c>
      <x:c r="L936" s="21" t="str">
        <x:v>否</x:v>
      </x:c>
      <x:c r="M936" s="21" t="str"/>
      <x:c r="N936" s="21" t="str">
        <x:v>source_and_lexicon_matched</x:v>
      </x:c>
      <x:c r="O936" s="21" t="str">
        <x:v>rule_generated_from_official_table</x:v>
      </x:c>
      <x:c r="P936" s="21" t="n">
        <x:v>16</x:v>
      </x:c>
      <x:c r="Q936" s="21" t="str">
        <x:v>https://doxa.billmounce.com/Flashcards%20%28BBG%29.pdf</x:v>
      </x:c>
      <x:c r="R936" s="16" t="str"/>
    </x:row>
    <x:row r="937" ht="28" customHeight="1">
      <x:c r="A937" s="21" t="n">
        <x:v>933</x:v>
      </x:c>
      <x:c r="B937" s="21" t="n">
        <x:f>ROUNDUP(A937/50,0)</x:f>
        <x:v>19</x:v>
      </x:c>
      <x:c r="C937" s="21" t="n">
        <x:f>MOD(A937-1,50)+1</x:f>
        <x:v>33</x:v>
      </x:c>
      <x:c r="D937" s="29" t="str">
        <x:v>ἔσωθεν</x:v>
      </x:c>
      <x:c r="E937" s="29" t="str">
        <x:v>ἔσωθεν</x:v>
      </x:c>
      <x:c r="F937" s="27" t="str">
        <x:v>esōthen</x:v>
      </x:c>
      <x:c r="G937" s="20" t="str">
        <x:v>from inside; also used as equivalent to G2080 (ἔσω) (inside)</x:v>
      </x:c>
      <x:c r="H937" s="20" t="str"/>
      <x:c r="I937" s="21"/>
      <x:c r="J937" s="21" t="str">
        <x:v>Mounce 頻率延伸</x:v>
      </x:c>
      <x:c r="K937" s="21" t="str">
        <x:v>G2081</x:v>
      </x:c>
      <x:c r="L937" s="21" t="str">
        <x:v>否</x:v>
      </x:c>
      <x:c r="M937" s="21" t="str"/>
      <x:c r="N937" s="21" t="str">
        <x:v>source_and_lexicon_matched</x:v>
      </x:c>
      <x:c r="O937" s="21" t="str">
        <x:v>rule_generated_from_official_table</x:v>
      </x:c>
      <x:c r="P937" s="21" t="n">
        <x:v>16</x:v>
      </x:c>
      <x:c r="Q937" s="21" t="str">
        <x:v>https://doxa.billmounce.com/Flashcards%20%28BBG%29.pdf</x:v>
      </x:c>
      <x:c r="R937" s="16" t="str"/>
    </x:row>
    <x:row r="938" ht="28" customHeight="1">
      <x:c r="A938" s="21" t="n">
        <x:v>934</x:v>
      </x:c>
      <x:c r="B938" s="21" t="n">
        <x:f>ROUNDUP(A938/50,0)</x:f>
        <x:v>19</x:v>
      </x:c>
      <x:c r="C938" s="21" t="n">
        <x:f>MOD(A938-1,50)+1</x:f>
        <x:v>34</x:v>
      </x:c>
      <x:c r="D938" s="29" t="str">
        <x:v>Ζεβεδαῖος, -ου, ὁ</x:v>
      </x:c>
      <x:c r="E938" s="29" t="str">
        <x:v>Ζεβεδαῖος</x:v>
      </x:c>
      <x:c r="F938" s="27" t="str">
        <x:v>Zebedaios</x:v>
      </x:c>
      <x:c r="G938" s="20" t="str">
        <x:v>Zebedæus, an Israelite</x:v>
      </x:c>
      <x:c r="H938" s="20" t="str"/>
      <x:c r="I938" s="21"/>
      <x:c r="J938" s="21" t="str">
        <x:v>Mounce 頻率延伸</x:v>
      </x:c>
      <x:c r="K938" s="21" t="str">
        <x:v>G2199</x:v>
      </x:c>
      <x:c r="L938" s="21" t="str">
        <x:v>是</x:v>
      </x:c>
      <x:c r="M938" s="21" t="str">
        <x:v>人名</x:v>
      </x:c>
      <x:c r="N938" s="21" t="str">
        <x:v>source_and_lexicon_matched</x:v>
      </x:c>
      <x:c r="O938" s="21" t="str">
        <x:v>rule_generated_from_official_table</x:v>
      </x:c>
      <x:c r="P938" s="21" t="n">
        <x:v>16</x:v>
      </x:c>
      <x:c r="Q938" s="21" t="str">
        <x:v>https://doxa.billmounce.com/Flashcards%20%28BBG%29.pdf</x:v>
      </x:c>
      <x:c r="R938" s="16" t="str"/>
    </x:row>
    <x:row r="939" ht="28" customHeight="1">
      <x:c r="A939" s="21" t="n">
        <x:v>935</x:v>
      </x:c>
      <x:c r="B939" s="21" t="n">
        <x:f>ROUNDUP(A939/50,0)</x:f>
        <x:v>19</x:v>
      </x:c>
      <x:c r="C939" s="21" t="n">
        <x:f>MOD(A939-1,50)+1</x:f>
        <x:v>35</x:v>
      </x:c>
      <x:c r="D939" s="29" t="str">
        <x:v>κάλαμος, -ου, ὁ</x:v>
      </x:c>
      <x:c r="E939" s="29" t="str">
        <x:v>κάλαμος</x:v>
      </x:c>
      <x:c r="F939" s="27" t="str">
        <x:v>kalamos</x:v>
      </x:c>
      <x:c r="G939" s="20" t="str">
        <x:v>a reed (the plant or its stem, or that of a similar plant); by implication, a pen</x:v>
      </x:c>
      <x:c r="H939" s="20" t="str"/>
      <x:c r="I939" s="21"/>
      <x:c r="J939" s="21" t="str">
        <x:v>Mounce 頻率延伸</x:v>
      </x:c>
      <x:c r="K939" s="21" t="str">
        <x:v>G2563</x:v>
      </x:c>
      <x:c r="L939" s="21" t="str">
        <x:v>否</x:v>
      </x:c>
      <x:c r="M939" s="21" t="str"/>
      <x:c r="N939" s="21" t="str">
        <x:v>source_and_lexicon_matched</x:v>
      </x:c>
      <x:c r="O939" s="21" t="str">
        <x:v>rule_generated_from_official_table</x:v>
      </x:c>
      <x:c r="P939" s="21" t="n">
        <x:v>16</x:v>
      </x:c>
      <x:c r="Q939" s="21" t="str">
        <x:v>https://doxa.billmounce.com/Flashcards%20%28BBG%29.pdf</x:v>
      </x:c>
      <x:c r="R939" s="16" t="str"/>
    </x:row>
    <x:row r="940" ht="28" customHeight="1">
      <x:c r="A940" s="21" t="n">
        <x:v>936</x:v>
      </x:c>
      <x:c r="B940" s="21" t="n">
        <x:f>ROUNDUP(A940/50,0)</x:f>
        <x:v>19</x:v>
      </x:c>
      <x:c r="C940" s="21" t="n">
        <x:f>MOD(A940-1,50)+1</x:f>
        <x:v>36</x:v>
      </x:c>
      <x:c r="D940" s="29" t="str">
        <x:v>κατακαίω</x:v>
      </x:c>
      <x:c r="E940" s="29" t="str">
        <x:v>κατακαίω</x:v>
      </x:c>
      <x:c r="F940" s="27" t="str">
        <x:v>katakaiō</x:v>
      </x:c>
      <x:c r="G940" s="20" t="str">
        <x:v>to burn down (to the ground), i.e. consume wholly</x:v>
      </x:c>
      <x:c r="H940" s="20" t="str"/>
      <x:c r="I940" s="21"/>
      <x:c r="J940" s="21" t="str">
        <x:v>Mounce 頻率延伸</x:v>
      </x:c>
      <x:c r="K940" s="21" t="str">
        <x:v>G2618</x:v>
      </x:c>
      <x:c r="L940" s="21" t="str">
        <x:v>否</x:v>
      </x:c>
      <x:c r="M940" s="21" t="str"/>
      <x:c r="N940" s="21" t="str">
        <x:v>source_and_lexicon_matched</x:v>
      </x:c>
      <x:c r="O940" s="21" t="str">
        <x:v>rule_generated_from_official_table</x:v>
      </x:c>
      <x:c r="P940" s="21" t="n">
        <x:v>16</x:v>
      </x:c>
      <x:c r="Q940" s="21" t="str">
        <x:v>https://doxa.billmounce.com/Flashcards%20%28BBG%29.pdf</x:v>
      </x:c>
      <x:c r="R940" s="16" t="str"/>
    </x:row>
    <x:row r="941" ht="28" customHeight="1">
      <x:c r="A941" s="21" t="n">
        <x:v>937</x:v>
      </x:c>
      <x:c r="B941" s="21" t="n">
        <x:f>ROUNDUP(A941/50,0)</x:f>
        <x:v>19</x:v>
      </x:c>
      <x:c r="C941" s="21" t="n">
        <x:f>MOD(A941-1,50)+1</x:f>
        <x:v>37</x:v>
      </x:c>
      <x:c r="D941" s="29" t="str">
        <x:v>κατάκειμαι</x:v>
      </x:c>
      <x:c r="E941" s="29" t="str">
        <x:v>κατάκειμαι</x:v>
      </x:c>
      <x:c r="F941" s="27" t="str">
        <x:v>katakeimai</x:v>
      </x:c>
      <x:c r="G941" s="20" t="str">
        <x:v>to lie down, i.e. (by implication) be sick; specially, to recline at a meal</x:v>
      </x:c>
      <x:c r="H941" s="20" t="str"/>
      <x:c r="I941" s="21"/>
      <x:c r="J941" s="21" t="str">
        <x:v>Mounce 頻率延伸</x:v>
      </x:c>
      <x:c r="K941" s="21" t="str">
        <x:v>G2621</x:v>
      </x:c>
      <x:c r="L941" s="21" t="str">
        <x:v>否</x:v>
      </x:c>
      <x:c r="M941" s="21" t="str"/>
      <x:c r="N941" s="21" t="str">
        <x:v>source_and_lexicon_matched</x:v>
      </x:c>
      <x:c r="O941" s="21" t="str">
        <x:v>rule_generated_from_official_table</x:v>
      </x:c>
      <x:c r="P941" s="21" t="n">
        <x:v>16</x:v>
      </x:c>
      <x:c r="Q941" s="21" t="str">
        <x:v>https://doxa.billmounce.com/Flashcards%20%28BBG%29.pdf</x:v>
      </x:c>
      <x:c r="R941" s="16" t="str"/>
    </x:row>
    <x:row r="942" ht="28" customHeight="1">
      <x:c r="A942" s="21" t="n">
        <x:v>938</x:v>
      </x:c>
      <x:c r="B942" s="21" t="n">
        <x:f>ROUNDUP(A942/50,0)</x:f>
        <x:v>19</x:v>
      </x:c>
      <x:c r="C942" s="21" t="n">
        <x:f>MOD(A942-1,50)+1</x:f>
        <x:v>38</x:v>
      </x:c>
      <x:c r="D942" s="29" t="str">
        <x:v>κολλάω</x:v>
      </x:c>
      <x:c r="E942" s="29" t="str">
        <x:v>κολλάω</x:v>
      </x:c>
      <x:c r="F942" s="27" t="str">
        <x:v>kollaō</x:v>
      </x:c>
      <x:c r="G942" s="20" t="str">
        <x:v>to glue, i.e. (passively or reflexively) to stick (figuratively)</x:v>
      </x:c>
      <x:c r="H942" s="20" t="str"/>
      <x:c r="I942" s="21"/>
      <x:c r="J942" s="21" t="str">
        <x:v>Mounce 頻率延伸</x:v>
      </x:c>
      <x:c r="K942" s="21" t="str">
        <x:v>G2853</x:v>
      </x:c>
      <x:c r="L942" s="21" t="str">
        <x:v>否</x:v>
      </x:c>
      <x:c r="M942" s="21" t="str"/>
      <x:c r="N942" s="21" t="str">
        <x:v>source_and_lexicon_matched</x:v>
      </x:c>
      <x:c r="O942" s="21" t="str">
        <x:v>rule_generated_from_official_table</x:v>
      </x:c>
      <x:c r="P942" s="21" t="n">
        <x:v>16</x:v>
      </x:c>
      <x:c r="Q942" s="21" t="str">
        <x:v>https://doxa.billmounce.com/Flashcards%20%28BBG%29.pdf</x:v>
      </x:c>
      <x:c r="R942" s="16" t="str"/>
    </x:row>
    <x:row r="943" ht="28" customHeight="1">
      <x:c r="A943" s="21" t="n">
        <x:v>939</x:v>
      </x:c>
      <x:c r="B943" s="21" t="n">
        <x:f>ROUNDUP(A943/50,0)</x:f>
        <x:v>19</x:v>
      </x:c>
      <x:c r="C943" s="21" t="n">
        <x:f>MOD(A943-1,50)+1</x:f>
        <x:v>39</x:v>
      </x:c>
      <x:c r="D943" s="29" t="str">
        <x:v>κράτος, -ους, τό</x:v>
      </x:c>
      <x:c r="E943" s="29" t="str">
        <x:v>κράτος</x:v>
      </x:c>
      <x:c r="F943" s="27" t="str">
        <x:v>kratos</x:v>
      </x:c>
      <x:c r="G943" s="20" t="str">
        <x:v>vigor ("great") (literally or figuratively)</x:v>
      </x:c>
      <x:c r="H943" s="20" t="str"/>
      <x:c r="I943" s="21"/>
      <x:c r="J943" s="21" t="str">
        <x:v>Mounce 頻率延伸</x:v>
      </x:c>
      <x:c r="K943" s="21" t="str">
        <x:v>G2904</x:v>
      </x:c>
      <x:c r="L943" s="21" t="str">
        <x:v>否</x:v>
      </x:c>
      <x:c r="M943" s="21" t="str"/>
      <x:c r="N943" s="21" t="str">
        <x:v>source_and_lexicon_matched</x:v>
      </x:c>
      <x:c r="O943" s="21" t="str">
        <x:v>rule_generated_from_official_table</x:v>
      </x:c>
      <x:c r="P943" s="21" t="n">
        <x:v>16</x:v>
      </x:c>
      <x:c r="Q943" s="21" t="str">
        <x:v>https://doxa.billmounce.com/Flashcards%20%28BBG%29.pdf</x:v>
      </x:c>
      <x:c r="R943" s="16" t="str"/>
    </x:row>
    <x:row r="944" ht="28" customHeight="1">
      <x:c r="A944" s="21" t="n">
        <x:v>940</x:v>
      </x:c>
      <x:c r="B944" s="21" t="n">
        <x:f>ROUNDUP(A944/50,0)</x:f>
        <x:v>19</x:v>
      </x:c>
      <x:c r="C944" s="21" t="n">
        <x:f>MOD(A944-1,50)+1</x:f>
        <x:v>40</x:v>
      </x:c>
      <x:c r="D944" s="29" t="str">
        <x:v>λίαν</x:v>
      </x:c>
      <x:c r="E944" s="29" t="str">
        <x:v>λίαν</x:v>
      </x:c>
      <x:c r="F944" s="27" t="str">
        <x:v>lian</x:v>
      </x:c>
      <x:c r="G944" s="20" t="str">
        <x:v>much (adverbially)</x:v>
      </x:c>
      <x:c r="H944" s="20" t="str"/>
      <x:c r="I944" s="21"/>
      <x:c r="J944" s="21" t="str">
        <x:v>Mounce 頻率延伸</x:v>
      </x:c>
      <x:c r="K944" s="21" t="str">
        <x:v>G3029</x:v>
      </x:c>
      <x:c r="L944" s="21" t="str">
        <x:v>否</x:v>
      </x:c>
      <x:c r="M944" s="21" t="str"/>
      <x:c r="N944" s="21" t="str">
        <x:v>source_and_lexicon_matched</x:v>
      </x:c>
      <x:c r="O944" s="21" t="str">
        <x:v>rule_generated_from_official_table</x:v>
      </x:c>
      <x:c r="P944" s="21" t="n">
        <x:v>16</x:v>
      </x:c>
      <x:c r="Q944" s="21" t="str">
        <x:v>https://doxa.billmounce.com/Flashcards%20%28BBG%29.pdf</x:v>
      </x:c>
      <x:c r="R944" s="16" t="str"/>
    </x:row>
    <x:row r="945" ht="28" customHeight="1">
      <x:c r="A945" s="21" t="n">
        <x:v>941</x:v>
      </x:c>
      <x:c r="B945" s="21" t="n">
        <x:f>ROUNDUP(A945/50,0)</x:f>
        <x:v>19</x:v>
      </x:c>
      <x:c r="C945" s="21" t="n">
        <x:f>MOD(A945-1,50)+1</x:f>
        <x:v>41</x:v>
      </x:c>
      <x:c r="D945" s="29" t="str">
        <x:v>λιμός, -οῦ, ὁ</x:v>
      </x:c>
      <x:c r="E945" s="29" t="str">
        <x:v>λιμός</x:v>
      </x:c>
      <x:c r="F945" s="27" t="str">
        <x:v>limos</x:v>
      </x:c>
      <x:c r="G945" s="20" t="str">
        <x:v>a scarcity of food</x:v>
      </x:c>
      <x:c r="H945" s="20" t="str"/>
      <x:c r="I945" s="21"/>
      <x:c r="J945" s="21" t="str">
        <x:v>Mounce 頻率延伸</x:v>
      </x:c>
      <x:c r="K945" s="21" t="str">
        <x:v>G3042</x:v>
      </x:c>
      <x:c r="L945" s="21" t="str">
        <x:v>否</x:v>
      </x:c>
      <x:c r="M945" s="21" t="str"/>
      <x:c r="N945" s="21" t="str">
        <x:v>source_and_lexicon_matched</x:v>
      </x:c>
      <x:c r="O945" s="21" t="str">
        <x:v>rule_generated_from_official_table</x:v>
      </x:c>
      <x:c r="P945" s="21" t="n">
        <x:v>16</x:v>
      </x:c>
      <x:c r="Q945" s="21" t="str">
        <x:v>https://doxa.billmounce.com/Flashcards%20%28BBG%29.pdf</x:v>
      </x:c>
      <x:c r="R945" s="16" t="str"/>
    </x:row>
    <x:row r="946" ht="28" customHeight="1">
      <x:c r="A946" s="21" t="n">
        <x:v>942</x:v>
      </x:c>
      <x:c r="B946" s="21" t="n">
        <x:f>ROUNDUP(A946/50,0)</x:f>
        <x:v>19</x:v>
      </x:c>
      <x:c r="C946" s="21" t="n">
        <x:f>MOD(A946-1,50)+1</x:f>
        <x:v>42</x:v>
      </x:c>
      <x:c r="D946" s="29" t="str">
        <x:v>λυχνία, -ας, ἡ</x:v>
      </x:c>
      <x:c r="E946" s="29" t="str">
        <x:v>λυχνία</x:v>
      </x:c>
      <x:c r="F946" s="27" t="str">
        <x:v>luchnia</x:v>
      </x:c>
      <x:c r="G946" s="20" t="str">
        <x:v>a lamp-stand (literally or figuratively)</x:v>
      </x:c>
      <x:c r="H946" s="20" t="str"/>
      <x:c r="I946" s="21"/>
      <x:c r="J946" s="21" t="str">
        <x:v>Mounce 頻率延伸</x:v>
      </x:c>
      <x:c r="K946" s="21" t="str">
        <x:v>G3087</x:v>
      </x:c>
      <x:c r="L946" s="21" t="str">
        <x:v>否</x:v>
      </x:c>
      <x:c r="M946" s="21" t="str"/>
      <x:c r="N946" s="21" t="str">
        <x:v>source_and_lexicon_matched</x:v>
      </x:c>
      <x:c r="O946" s="21" t="str">
        <x:v>rule_generated_from_official_table</x:v>
      </x:c>
      <x:c r="P946" s="21" t="n">
        <x:v>16</x:v>
      </x:c>
      <x:c r="Q946" s="21" t="str">
        <x:v>https://doxa.billmounce.com/Flashcards%20%28BBG%29.pdf</x:v>
      </x:c>
      <x:c r="R946" s="16" t="str"/>
    </x:row>
    <x:row r="947" ht="28" customHeight="1">
      <x:c r="A947" s="21" t="n">
        <x:v>943</x:v>
      </x:c>
      <x:c r="B947" s="21" t="n">
        <x:f>ROUNDUP(A947/50,0)</x:f>
        <x:v>19</x:v>
      </x:c>
      <x:c r="C947" s="21" t="n">
        <x:f>MOD(A947-1,50)+1</x:f>
        <x:v>43</x:v>
      </x:c>
      <x:c r="D947" s="29" t="str">
        <x:v>Μαγδαληνή, -ῆς, ἡ</x:v>
      </x:c>
      <x:c r="E947" s="29" t="str">
        <x:v>Μαγδαληνή</x:v>
      </x:c>
      <x:c r="F947" s="27" t="str">
        <x:v>Magdalēnē</x:v>
      </x:c>
      <x:c r="G947" s="20" t="str">
        <x:v>a female Magdalene, i.e. inhabitant of Magdala</x:v>
      </x:c>
      <x:c r="H947" s="20" t="str"/>
      <x:c r="I947" s="21"/>
      <x:c r="J947" s="21" t="str">
        <x:v>Mounce 頻率延伸</x:v>
      </x:c>
      <x:c r="K947" s="21" t="str">
        <x:v>G3094</x:v>
      </x:c>
      <x:c r="L947" s="21" t="str">
        <x:v>是</x:v>
      </x:c>
      <x:c r="M947" s="21" t="str">
        <x:v>民族／國族</x:v>
      </x:c>
      <x:c r="N947" s="21" t="str">
        <x:v>source_and_lexicon_matched</x:v>
      </x:c>
      <x:c r="O947" s="21" t="str">
        <x:v>rule_generated_from_official_table</x:v>
      </x:c>
      <x:c r="P947" s="21" t="n">
        <x:v>16</x:v>
      </x:c>
      <x:c r="Q947" s="21" t="str">
        <x:v>https://doxa.billmounce.com/Flashcards%20%28BBG%29.pdf</x:v>
      </x:c>
      <x:c r="R947" s="16" t="str"/>
    </x:row>
    <x:row r="948" ht="28" customHeight="1">
      <x:c r="A948" s="21" t="n">
        <x:v>944</x:v>
      </x:c>
      <x:c r="B948" s="21" t="n">
        <x:f>ROUNDUP(A948/50,0)</x:f>
        <x:v>19</x:v>
      </x:c>
      <x:c r="C948" s="21" t="n">
        <x:f>MOD(A948-1,50)+1</x:f>
        <x:v>44</x:v>
      </x:c>
      <x:c r="D948" s="29" t="str">
        <x:v>μάλιστα</x:v>
      </x:c>
      <x:c r="E948" s="29" t="str">
        <x:v>μάλιστα</x:v>
      </x:c>
      <x:c r="F948" s="27" t="str">
        <x:v>malista</x:v>
      </x:c>
      <x:c r="G948" s="20" t="str">
        <x:v>(adverbially) most (in the greatest degree) or particularly</x:v>
      </x:c>
      <x:c r="H948" s="20" t="str"/>
      <x:c r="I948" s="21"/>
      <x:c r="J948" s="21" t="str">
        <x:v>Mounce 頻率延伸</x:v>
      </x:c>
      <x:c r="K948" s="21" t="str">
        <x:v>G3122</x:v>
      </x:c>
      <x:c r="L948" s="21" t="str">
        <x:v>否</x:v>
      </x:c>
      <x:c r="M948" s="21" t="str"/>
      <x:c r="N948" s="21" t="str">
        <x:v>source_and_lexicon_matched</x:v>
      </x:c>
      <x:c r="O948" s="21" t="str">
        <x:v>rule_generated_from_official_table</x:v>
      </x:c>
      <x:c r="P948" s="21" t="n">
        <x:v>16</x:v>
      </x:c>
      <x:c r="Q948" s="21" t="str">
        <x:v>https://doxa.billmounce.com/Flashcards%20%28BBG%29.pdf</x:v>
      </x:c>
      <x:c r="R948" s="16" t="str"/>
    </x:row>
    <x:row r="949" ht="28" customHeight="1">
      <x:c r="A949" s="21" t="n">
        <x:v>945</x:v>
      </x:c>
      <x:c r="B949" s="21" t="n">
        <x:f>ROUNDUP(A949/50,0)</x:f>
        <x:v>19</x:v>
      </x:c>
      <x:c r="C949" s="21" t="n">
        <x:f>MOD(A949-1,50)+1</x:f>
        <x:v>45</x:v>
      </x:c>
      <x:c r="D949" s="29" t="str">
        <x:v>μεταβαίνω</x:v>
      </x:c>
      <x:c r="E949" s="29" t="str">
        <x:v>μεταβαίνω</x:v>
      </x:c>
      <x:c r="F949" s="27" t="str">
        <x:v>metabainō</x:v>
      </x:c>
      <x:c r="G949" s="20" t="str">
        <x:v>to change place</x:v>
      </x:c>
      <x:c r="H949" s="20" t="str"/>
      <x:c r="I949" s="21"/>
      <x:c r="J949" s="21" t="str">
        <x:v>Mounce 頻率延伸</x:v>
      </x:c>
      <x:c r="K949" s="21" t="str">
        <x:v>G3327</x:v>
      </x:c>
      <x:c r="L949" s="21" t="str">
        <x:v>否</x:v>
      </x:c>
      <x:c r="M949" s="21" t="str"/>
      <x:c r="N949" s="21" t="str">
        <x:v>source_and_lexicon_matched</x:v>
      </x:c>
      <x:c r="O949" s="21" t="str">
        <x:v>rule_generated_from_official_table</x:v>
      </x:c>
      <x:c r="P949" s="21" t="n">
        <x:v>16</x:v>
      </x:c>
      <x:c r="Q949" s="21" t="str">
        <x:v>https://doxa.billmounce.com/Flashcards%20%28BBG%29.pdf</x:v>
      </x:c>
      <x:c r="R949" s="16" t="str"/>
    </x:row>
    <x:row r="950" ht="28" customHeight="1">
      <x:c r="A950" s="21" t="n">
        <x:v>946</x:v>
      </x:c>
      <x:c r="B950" s="21" t="n">
        <x:f>ROUNDUP(A950/50,0)</x:f>
        <x:v>19</x:v>
      </x:c>
      <x:c r="C950" s="21" t="n">
        <x:f>MOD(A950-1,50)+1</x:f>
        <x:v>46</x:v>
      </x:c>
      <x:c r="D950" s="29" t="str">
        <x:v>μωρός, -ά, -όν</x:v>
      </x:c>
      <x:c r="E950" s="29" t="str">
        <x:v>μωρός</x:v>
      </x:c>
      <x:c r="F950" s="27" t="str">
        <x:v>mōros</x:v>
      </x:c>
      <x:c r="G950" s="20" t="str">
        <x:v>dull or stupid (as if shut up), i.e. heedless, (morally) blockhead, (apparently) absurd</x:v>
      </x:c>
      <x:c r="H950" s="20" t="str"/>
      <x:c r="I950" s="21"/>
      <x:c r="J950" s="21" t="str">
        <x:v>Mounce 頻率延伸</x:v>
      </x:c>
      <x:c r="K950" s="21" t="str">
        <x:v>G3474</x:v>
      </x:c>
      <x:c r="L950" s="21" t="str">
        <x:v>否</x:v>
      </x:c>
      <x:c r="M950" s="21" t="str"/>
      <x:c r="N950" s="21" t="str">
        <x:v>source_and_lexicon_matched</x:v>
      </x:c>
      <x:c r="O950" s="21" t="str">
        <x:v>rule_generated_from_official_table</x:v>
      </x:c>
      <x:c r="P950" s="21" t="n">
        <x:v>16</x:v>
      </x:c>
      <x:c r="Q950" s="21" t="str">
        <x:v>https://doxa.billmounce.com/Flashcards%20%28BBG%29.pdf</x:v>
      </x:c>
      <x:c r="R950" s="16" t="str"/>
    </x:row>
    <x:row r="951" ht="28" customHeight="1">
      <x:c r="A951" s="21" t="n">
        <x:v>947</x:v>
      </x:c>
      <x:c r="B951" s="21" t="n">
        <x:f>ROUNDUP(A951/50,0)</x:f>
        <x:v>19</x:v>
      </x:c>
      <x:c r="C951" s="21" t="n">
        <x:f>MOD(A951-1,50)+1</x:f>
        <x:v>47</x:v>
      </x:c>
      <x:c r="D951" s="29" t="str">
        <x:v>ὀδούς, -όντος, ὁ</x:v>
      </x:c>
      <x:c r="E951" s="29" t="str">
        <x:v>ὀδούς</x:v>
      </x:c>
      <x:c r="F951" s="27" t="str">
        <x:v>odous</x:v>
      </x:c>
      <x:c r="G951" s="20" t="str">
        <x:v>a "tooth"</x:v>
      </x:c>
      <x:c r="H951" s="20" t="str"/>
      <x:c r="I951" s="21"/>
      <x:c r="J951" s="21" t="str">
        <x:v>Mounce 頻率延伸</x:v>
      </x:c>
      <x:c r="K951" s="21" t="str">
        <x:v>G3599</x:v>
      </x:c>
      <x:c r="L951" s="21" t="str">
        <x:v>否</x:v>
      </x:c>
      <x:c r="M951" s="21" t="str"/>
      <x:c r="N951" s="21" t="str">
        <x:v>source_and_lexicon_matched</x:v>
      </x:c>
      <x:c r="O951" s="21" t="str">
        <x:v>rule_generated_from_official_table</x:v>
      </x:c>
      <x:c r="P951" s="21" t="n">
        <x:v>16</x:v>
      </x:c>
      <x:c r="Q951" s="21" t="str">
        <x:v>https://doxa.billmounce.com/Flashcards%20%28BBG%29.pdf</x:v>
      </x:c>
      <x:c r="R951" s="16" t="str"/>
    </x:row>
    <x:row r="952" ht="28" customHeight="1">
      <x:c r="A952" s="21" t="n">
        <x:v>948</x:v>
      </x:c>
      <x:c r="B952" s="21" t="n">
        <x:f>ROUNDUP(A952/50,0)</x:f>
        <x:v>19</x:v>
      </x:c>
      <x:c r="C952" s="21" t="n">
        <x:f>MOD(A952-1,50)+1</x:f>
        <x:v>48</x:v>
      </x:c>
      <x:c r="D952" s="29" t="str">
        <x:v>οἰκοδεσπότης, -ου, ὁ</x:v>
      </x:c>
      <x:c r="E952" s="29" t="str">
        <x:v>οἰκοδεσπότης</x:v>
      </x:c>
      <x:c r="F952" s="27" t="str">
        <x:v>oikodespotēs</x:v>
      </x:c>
      <x:c r="G952" s="20" t="str">
        <x:v>the head of a family</x:v>
      </x:c>
      <x:c r="H952" s="20" t="str"/>
      <x:c r="I952" s="21"/>
      <x:c r="J952" s="21" t="str">
        <x:v>Mounce 頻率延伸</x:v>
      </x:c>
      <x:c r="K952" s="21" t="str">
        <x:v>G3617</x:v>
      </x:c>
      <x:c r="L952" s="21" t="str">
        <x:v>否</x:v>
      </x:c>
      <x:c r="M952" s="21" t="str"/>
      <x:c r="N952" s="21" t="str">
        <x:v>source_and_lexicon_matched</x:v>
      </x:c>
      <x:c r="O952" s="21" t="str">
        <x:v>rule_generated_from_official_table</x:v>
      </x:c>
      <x:c r="P952" s="21" t="n">
        <x:v>16</x:v>
      </x:c>
      <x:c r="Q952" s="21" t="str">
        <x:v>https://doxa.billmounce.com/Flashcards%20%28BBG%29.pdf</x:v>
      </x:c>
      <x:c r="R952" s="16" t="str"/>
    </x:row>
    <x:row r="953" ht="28" customHeight="1">
      <x:c r="A953" s="21" t="n">
        <x:v>949</x:v>
      </x:c>
      <x:c r="B953" s="21" t="n">
        <x:f>ROUNDUP(A953/50,0)</x:f>
        <x:v>19</x:v>
      </x:c>
      <x:c r="C953" s="21" t="n">
        <x:f>MOD(A953-1,50)+1</x:f>
        <x:v>49</x:v>
      </x:c>
      <x:c r="D953" s="29" t="str">
        <x:v>ὅραμα, -ατος, τό</x:v>
      </x:c>
      <x:c r="E953" s="29" t="str">
        <x:v>ὅραμα</x:v>
      </x:c>
      <x:c r="F953" s="27" t="str">
        <x:v>horama</x:v>
      </x:c>
      <x:c r="G953" s="20" t="str">
        <x:v>something gazed at, i.e. a spectacle (especially supernatural)</x:v>
      </x:c>
      <x:c r="H953" s="20" t="str"/>
      <x:c r="I953" s="21"/>
      <x:c r="J953" s="21" t="str">
        <x:v>Mounce 頻率延伸</x:v>
      </x:c>
      <x:c r="K953" s="21" t="str">
        <x:v>G3705</x:v>
      </x:c>
      <x:c r="L953" s="21" t="str">
        <x:v>否</x:v>
      </x:c>
      <x:c r="M953" s="21" t="str"/>
      <x:c r="N953" s="21" t="str">
        <x:v>source_and_lexicon_matched</x:v>
      </x:c>
      <x:c r="O953" s="21" t="str">
        <x:v>rule_generated_from_official_table</x:v>
      </x:c>
      <x:c r="P953" s="21" t="n">
        <x:v>16</x:v>
      </x:c>
      <x:c r="Q953" s="21" t="str">
        <x:v>https://doxa.billmounce.com/Flashcards%20%28BBG%29.pdf</x:v>
      </x:c>
      <x:c r="R953" s="16" t="str"/>
    </x:row>
    <x:row r="954" ht="28" customHeight="1">
      <x:c r="A954" s="21" t="n">
        <x:v>950</x:v>
      </x:c>
      <x:c r="B954" s="21" t="n">
        <x:f>ROUNDUP(A954/50,0)</x:f>
        <x:v>19</x:v>
      </x:c>
      <x:c r="C954" s="21" t="n">
        <x:f>MOD(A954-1,50)+1</x:f>
        <x:v>50</x:v>
      </x:c>
      <x:c r="D954" s="29" t="str">
        <x:v>ὅριον, -ου, τό</x:v>
      </x:c>
      <x:c r="E954" s="29" t="str">
        <x:v>ὅριον</x:v>
      </x:c>
      <x:c r="F954" s="27" t="str">
        <x:v>horion</x:v>
      </x:c>
      <x:c r="G954" s="20" t="str">
        <x:v>a boundary-line, i.e. (by implication) a frontier (region)</x:v>
      </x:c>
      <x:c r="H954" s="20" t="str"/>
      <x:c r="I954" s="21"/>
      <x:c r="J954" s="21" t="str">
        <x:v>Mounce 頻率延伸</x:v>
      </x:c>
      <x:c r="K954" s="21" t="str">
        <x:v>G3725</x:v>
      </x:c>
      <x:c r="L954" s="21" t="str">
        <x:v>否</x:v>
      </x:c>
      <x:c r="M954" s="21" t="str"/>
      <x:c r="N954" s="21" t="str">
        <x:v>source_and_lexicon_matched</x:v>
      </x:c>
      <x:c r="O954" s="21" t="str">
        <x:v>rule_generated_from_official_table</x:v>
      </x:c>
      <x:c r="P954" s="21" t="n">
        <x:v>16</x:v>
      </x:c>
      <x:c r="Q954" s="21" t="str">
        <x:v>https://doxa.billmounce.com/Flashcards%20%28BBG%29.pdf</x:v>
      </x:c>
      <x:c r="R954" s="16" t="str"/>
    </x:row>
    <x:row r="955" ht="28" customHeight="1">
      <x:c r="A955" s="21" t="n">
        <x:v>951</x:v>
      </x:c>
      <x:c r="B955" s="21" t="n">
        <x:f>ROUNDUP(A955/50,0)</x:f>
        <x:v>20</x:v>
      </x:c>
      <x:c r="C955" s="21" t="n">
        <x:f>MOD(A955-1,50)+1</x:f>
        <x:v>1</x:v>
      </x:c>
      <x:c r="D955" s="29" t="str">
        <x:v>παραιτέομαι</x:v>
      </x:c>
      <x:c r="E955" s="29" t="str">
        <x:v>παραιτέομαι</x:v>
      </x:c>
      <x:c r="F955" s="27" t="str">
        <x:v>paraiteomai</x:v>
      </x:c>
      <x:c r="G955" s="20" t="str">
        <x:v>to beg off, i.e. deprecate, decline, shun</x:v>
      </x:c>
      <x:c r="H955" s="20" t="str"/>
      <x:c r="I955" s="21"/>
      <x:c r="J955" s="21" t="str">
        <x:v>Mounce 頻率延伸</x:v>
      </x:c>
      <x:c r="K955" s="21" t="str">
        <x:v>G3868</x:v>
      </x:c>
      <x:c r="L955" s="21" t="str">
        <x:v>否</x:v>
      </x:c>
      <x:c r="M955" s="21" t="str"/>
      <x:c r="N955" s="21" t="str">
        <x:v>source_and_lexicon_matched</x:v>
      </x:c>
      <x:c r="O955" s="21" t="str">
        <x:v>rule_generated_from_official_table</x:v>
      </x:c>
      <x:c r="P955" s="21" t="n">
        <x:v>16</x:v>
      </x:c>
      <x:c r="Q955" s="21" t="str">
        <x:v>https://doxa.billmounce.com/Flashcards%20%28BBG%29.pdf</x:v>
      </x:c>
      <x:c r="R955" s="16" t="str"/>
    </x:row>
    <x:row r="956" ht="28" customHeight="1">
      <x:c r="A956" s="21" t="n">
        <x:v>952</x:v>
      </x:c>
      <x:c r="B956" s="21" t="n">
        <x:f>ROUNDUP(A956/50,0)</x:f>
        <x:v>20</x:v>
      </x:c>
      <x:c r="C956" s="21" t="n">
        <x:f>MOD(A956-1,50)+1</x:f>
        <x:v>2</x:v>
      </x:c>
      <x:c r="D956" s="29" t="str">
        <x:v>περισσοτέρως</x:v>
      </x:c>
      <x:c r="E956" s="29" t="str">
        <x:v>περισσοτέρως</x:v>
      </x:c>
      <x:c r="F956" s="27" t="str">
        <x:v>perissoterōs</x:v>
      </x:c>
      <x:c r="G956" s="20" t="str">
        <x:v>more superabundantly</x:v>
      </x:c>
      <x:c r="H956" s="20" t="str"/>
      <x:c r="I956" s="21"/>
      <x:c r="J956" s="21" t="str">
        <x:v>Mounce 頻率延伸</x:v>
      </x:c>
      <x:c r="K956" s="21" t="str">
        <x:v>G4056</x:v>
      </x:c>
      <x:c r="L956" s="21" t="str">
        <x:v>否</x:v>
      </x:c>
      <x:c r="M956" s="21" t="str"/>
      <x:c r="N956" s="21" t="str">
        <x:v>source_and_lexicon_matched</x:v>
      </x:c>
      <x:c r="O956" s="21" t="str">
        <x:v>rule_generated_from_official_table</x:v>
      </x:c>
      <x:c r="P956" s="21" t="n">
        <x:v>16</x:v>
      </x:c>
      <x:c r="Q956" s="21" t="str">
        <x:v>https://doxa.billmounce.com/Flashcards%20%28BBG%29.pdf</x:v>
      </x:c>
      <x:c r="R956" s="16" t="str"/>
    </x:row>
    <x:row r="957" ht="28" customHeight="1">
      <x:c r="A957" s="21" t="n">
        <x:v>953</x:v>
      </x:c>
      <x:c r="B957" s="21" t="n">
        <x:f>ROUNDUP(A957/50,0)</x:f>
        <x:v>20</x:v>
      </x:c>
      <x:c r="C957" s="21" t="n">
        <x:f>MOD(A957-1,50)+1</x:f>
        <x:v>3</x:v>
      </x:c>
      <x:c r="D957" s="29" t="str">
        <x:v>πιάζω</x:v>
      </x:c>
      <x:c r="E957" s="29" t="str">
        <x:v>πιάζω</x:v>
      </x:c>
      <x:c r="F957" s="27" t="str">
        <x:v>piazō</x:v>
      </x:c>
      <x:c r="G957" s="20" t="str">
        <x:v>to squeeze, i.e. seize (gently by the hand (press), or officially (arrest), or in hunting (capture))</x:v>
      </x:c>
      <x:c r="H957" s="20" t="str"/>
      <x:c r="I957" s="21"/>
      <x:c r="J957" s="21" t="str">
        <x:v>Mounce 頻率延伸</x:v>
      </x:c>
      <x:c r="K957" s="21" t="str">
        <x:v>G4084</x:v>
      </x:c>
      <x:c r="L957" s="21" t="str">
        <x:v>否</x:v>
      </x:c>
      <x:c r="M957" s="21" t="str"/>
      <x:c r="N957" s="21" t="str">
        <x:v>source_and_lexicon_matched</x:v>
      </x:c>
      <x:c r="O957" s="21" t="str">
        <x:v>rule_generated_from_official_table</x:v>
      </x:c>
      <x:c r="P957" s="21" t="n">
        <x:v>16</x:v>
      </x:c>
      <x:c r="Q957" s="21" t="str">
        <x:v>https://doxa.billmounce.com/Flashcards%20%28BBG%29.pdf</x:v>
      </x:c>
      <x:c r="R957" s="16" t="str"/>
    </x:row>
    <x:row r="958" ht="28" customHeight="1">
      <x:c r="A958" s="21" t="n">
        <x:v>954</x:v>
      </x:c>
      <x:c r="B958" s="21" t="n">
        <x:f>ROUNDUP(A958/50,0)</x:f>
        <x:v>20</x:v>
      </x:c>
      <x:c r="C958" s="21" t="n">
        <x:f>MOD(A958-1,50)+1</x:f>
        <x:v>4</x:v>
      </x:c>
      <x:c r="D958" s="29" t="str">
        <x:v>πληθύνω</x:v>
      </x:c>
      <x:c r="E958" s="29" t="str">
        <x:v>πληθύνω</x:v>
      </x:c>
      <x:c r="F958" s="27" t="str">
        <x:v>plēthunō</x:v>
      </x:c>
      <x:c r="G958" s="20" t="str">
        <x:v>to increase (transitively or intransitively)</x:v>
      </x:c>
      <x:c r="H958" s="20" t="str"/>
      <x:c r="I958" s="21"/>
      <x:c r="J958" s="21" t="str">
        <x:v>Mounce 頻率延伸</x:v>
      </x:c>
      <x:c r="K958" s="21" t="str">
        <x:v>G4129</x:v>
      </x:c>
      <x:c r="L958" s="21" t="str">
        <x:v>否</x:v>
      </x:c>
      <x:c r="M958" s="21" t="str"/>
      <x:c r="N958" s="21" t="str">
        <x:v>source_and_lexicon_matched</x:v>
      </x:c>
      <x:c r="O958" s="21" t="str">
        <x:v>rule_generated_from_official_table</x:v>
      </x:c>
      <x:c r="P958" s="21" t="n">
        <x:v>16</x:v>
      </x:c>
      <x:c r="Q958" s="21" t="str">
        <x:v>https://doxa.billmounce.com/Flashcards%20%28BBG%29.pdf</x:v>
      </x:c>
      <x:c r="R958" s="16" t="str"/>
    </x:row>
    <x:row r="959" ht="28" customHeight="1">
      <x:c r="A959" s="21" t="n">
        <x:v>955</x:v>
      </x:c>
      <x:c r="B959" s="21" t="n">
        <x:f>ROUNDUP(A959/50,0)</x:f>
        <x:v>20</x:v>
      </x:c>
      <x:c r="C959" s="21" t="n">
        <x:f>MOD(A959-1,50)+1</x:f>
        <x:v>5</x:v>
      </x:c>
      <x:c r="D959" s="29" t="str">
        <x:v>πλουτέω</x:v>
      </x:c>
      <x:c r="E959" s="29" t="str">
        <x:v>πλουτέω</x:v>
      </x:c>
      <x:c r="F959" s="27" t="str">
        <x:v>plouteō</x:v>
      </x:c>
      <x:c r="G959" s="20" t="str">
        <x:v>to be (or become) wealthy (literally or figuratively)</x:v>
      </x:c>
      <x:c r="H959" s="20" t="str"/>
      <x:c r="I959" s="21"/>
      <x:c r="J959" s="21" t="str">
        <x:v>Mounce 頻率延伸</x:v>
      </x:c>
      <x:c r="K959" s="21" t="str">
        <x:v>G4147</x:v>
      </x:c>
      <x:c r="L959" s="21" t="str">
        <x:v>否</x:v>
      </x:c>
      <x:c r="M959" s="21" t="str"/>
      <x:c r="N959" s="21" t="str">
        <x:v>source_and_lexicon_matched</x:v>
      </x:c>
      <x:c r="O959" s="21" t="str">
        <x:v>rule_generated_from_official_table</x:v>
      </x:c>
      <x:c r="P959" s="21" t="n">
        <x:v>16</x:v>
      </x:c>
      <x:c r="Q959" s="21" t="str">
        <x:v>https://doxa.billmounce.com/Flashcards%20%28BBG%29.pdf</x:v>
      </x:c>
      <x:c r="R959" s="16" t="str"/>
    </x:row>
    <x:row r="960" ht="28" customHeight="1">
      <x:c r="A960" s="21" t="n">
        <x:v>956</x:v>
      </x:c>
      <x:c r="B960" s="21" t="n">
        <x:f>ROUNDUP(A960/50,0)</x:f>
        <x:v>20</x:v>
      </x:c>
      <x:c r="C960" s="21" t="n">
        <x:f>MOD(A960-1,50)+1</x:f>
        <x:v>6</x:v>
      </x:c>
      <x:c r="D960" s="29" t="str">
        <x:v>πόρνη, -ης, ἡ</x:v>
      </x:c>
      <x:c r="E960" s="29" t="str">
        <x:v>πόρνη</x:v>
      </x:c>
      <x:c r="F960" s="27" t="str">
        <x:v>pornē</x:v>
      </x:c>
      <x:c r="G960" s="20" t="str">
        <x:v>a strumpet; figuratively, an idolater</x:v>
      </x:c>
      <x:c r="H960" s="20" t="str"/>
      <x:c r="I960" s="21"/>
      <x:c r="J960" s="21" t="str">
        <x:v>Mounce 頻率延伸</x:v>
      </x:c>
      <x:c r="K960" s="21" t="str">
        <x:v>G4204</x:v>
      </x:c>
      <x:c r="L960" s="21" t="str">
        <x:v>否</x:v>
      </x:c>
      <x:c r="M960" s="21" t="str"/>
      <x:c r="N960" s="21" t="str">
        <x:v>source_and_lexicon_matched</x:v>
      </x:c>
      <x:c r="O960" s="21" t="str">
        <x:v>rule_generated_from_official_table</x:v>
      </x:c>
      <x:c r="P960" s="21" t="n">
        <x:v>16</x:v>
      </x:c>
      <x:c r="Q960" s="21" t="str">
        <x:v>https://doxa.billmounce.com/Flashcards%20%28BBG%29.pdf</x:v>
      </x:c>
      <x:c r="R960" s="16" t="str"/>
    </x:row>
    <x:row r="961" ht="28" customHeight="1">
      <x:c r="A961" s="21" t="n">
        <x:v>957</x:v>
      </x:c>
      <x:c r="B961" s="21" t="n">
        <x:f>ROUNDUP(A961/50,0)</x:f>
        <x:v>20</x:v>
      </x:c>
      <x:c r="C961" s="21" t="n">
        <x:f>MOD(A961-1,50)+1</x:f>
        <x:v>7</x:v>
      </x:c>
      <x:c r="D961" s="29" t="str">
        <x:v>πρόθεσις, -εως, ἡ</x:v>
      </x:c>
      <x:c r="E961" s="29" t="str">
        <x:v>πρόθεσις</x:v>
      </x:c>
      <x:c r="F961" s="27" t="str">
        <x:v>prothesis</x:v>
      </x:c>
      <x:c r="G961" s="20" t="str">
        <x:v>a setting forth, i.e. (figuratively) proposal (intention); specially, the show-bread (in the Temple) as exposed before God</x:v>
      </x:c>
      <x:c r="H961" s="20" t="str"/>
      <x:c r="I961" s="21"/>
      <x:c r="J961" s="21" t="str">
        <x:v>Mounce 頻率延伸</x:v>
      </x:c>
      <x:c r="K961" s="21" t="str">
        <x:v>G4286</x:v>
      </x:c>
      <x:c r="L961" s="21" t="str">
        <x:v>否</x:v>
      </x:c>
      <x:c r="M961" s="21" t="str"/>
      <x:c r="N961" s="21" t="str">
        <x:v>source_and_lexicon_matched</x:v>
      </x:c>
      <x:c r="O961" s="21" t="str">
        <x:v>rule_generated_from_official_table</x:v>
      </x:c>
      <x:c r="P961" s="21" t="n">
        <x:v>16</x:v>
      </x:c>
      <x:c r="Q961" s="21" t="str">
        <x:v>https://doxa.billmounce.com/Flashcards%20%28BBG%29.pdf</x:v>
      </x:c>
      <x:c r="R961" s="16" t="str"/>
    </x:row>
    <x:row r="962" ht="28" customHeight="1">
      <x:c r="A962" s="21" t="n">
        <x:v>958</x:v>
      </x:c>
      <x:c r="B962" s="21" t="n">
        <x:f>ROUNDUP(A962/50,0)</x:f>
        <x:v>20</x:v>
      </x:c>
      <x:c r="C962" s="21" t="n">
        <x:f>MOD(A962-1,50)+1</x:f>
        <x:v>8</x:v>
      </x:c>
      <x:c r="D962" s="29" t="str">
        <x:v>προσλαμβάνω</x:v>
      </x:c>
      <x:c r="E962" s="29" t="str">
        <x:v>προσλαμβάνω</x:v>
      </x:c>
      <x:c r="F962" s="27" t="str">
        <x:v>proslambanō</x:v>
      </x:c>
      <x:c r="G962" s="20" t="str">
        <x:v>to take to oneself, i.e. use (food), lead (aside), admit (to friendship or hospitality)</x:v>
      </x:c>
      <x:c r="H962" s="20" t="str"/>
      <x:c r="I962" s="21"/>
      <x:c r="J962" s="21" t="str">
        <x:v>Mounce 頻率延伸</x:v>
      </x:c>
      <x:c r="K962" s="21" t="str">
        <x:v>G4355</x:v>
      </x:c>
      <x:c r="L962" s="21" t="str">
        <x:v>否</x:v>
      </x:c>
      <x:c r="M962" s="21" t="str"/>
      <x:c r="N962" s="21" t="str">
        <x:v>source_and_lexicon_matched</x:v>
      </x:c>
      <x:c r="O962" s="21" t="str">
        <x:v>rule_generated_from_official_table</x:v>
      </x:c>
      <x:c r="P962" s="21" t="n">
        <x:v>16</x:v>
      </x:c>
      <x:c r="Q962" s="21" t="str">
        <x:v>https://doxa.billmounce.com/Flashcards%20%28BBG%29.pdf</x:v>
      </x:c>
      <x:c r="R962" s="16" t="str"/>
    </x:row>
    <x:row r="963" ht="28" customHeight="1">
      <x:c r="A963" s="21" t="n">
        <x:v>959</x:v>
      </x:c>
      <x:c r="B963" s="21" t="n">
        <x:f>ROUNDUP(A963/50,0)</x:f>
        <x:v>20</x:v>
      </x:c>
      <x:c r="C963" s="21" t="n">
        <x:f>MOD(A963-1,50)+1</x:f>
        <x:v>9</x:v>
      </x:c>
      <x:c r="D963" s="29" t="str">
        <x:v>πρωΐ</x:v>
      </x:c>
      <x:c r="E963" s="29" t="str">
        <x:v>πρωΐ</x:v>
      </x:c>
      <x:c r="F963" s="27" t="str">
        <x:v>prōi</x:v>
      </x:c>
      <x:c r="G963" s="20" t="str">
        <x:v>at dawn; by implication, the day-break watch</x:v>
      </x:c>
      <x:c r="H963" s="20" t="str"/>
      <x:c r="I963" s="21"/>
      <x:c r="J963" s="21" t="str">
        <x:v>Mounce 頻率延伸</x:v>
      </x:c>
      <x:c r="K963" s="21" t="str">
        <x:v>G4404</x:v>
      </x:c>
      <x:c r="L963" s="21" t="str">
        <x:v>否</x:v>
      </x:c>
      <x:c r="M963" s="21" t="str"/>
      <x:c r="N963" s="21" t="str">
        <x:v>source_and_lexicon_matched</x:v>
      </x:c>
      <x:c r="O963" s="21" t="str">
        <x:v>rule_generated_from_official_table</x:v>
      </x:c>
      <x:c r="P963" s="21" t="n">
        <x:v>16</x:v>
      </x:c>
      <x:c r="Q963" s="21" t="str">
        <x:v>https://doxa.billmounce.com/Flashcards%20%28BBG%29.pdf</x:v>
      </x:c>
      <x:c r="R963" s="16" t="str"/>
    </x:row>
    <x:row r="964" ht="28" customHeight="1">
      <x:c r="A964" s="21" t="n">
        <x:v>960</x:v>
      </x:c>
      <x:c r="B964" s="21" t="n">
        <x:f>ROUNDUP(A964/50,0)</x:f>
        <x:v>20</x:v>
      </x:c>
      <x:c r="C964" s="21" t="n">
        <x:f>MOD(A964-1,50)+1</x:f>
        <x:v>10</x:v>
      </x:c>
      <x:c r="D964" s="29" t="str">
        <x:v>πυνθάνομαι</x:v>
      </x:c>
      <x:c r="E964" s="29" t="str">
        <x:v>πυνθάνομαι</x:v>
      </x:c>
      <x:c r="F964" s="27" t="str">
        <x:v>punthanomai</x:v>
      </x:c>
      <x:c r="G964" s="20" t="str">
        <x:v>to question, i.e. ascertain by inquiry (as a matter of information merely; and thus differing from G2065 (ἐρωτάω), which properly means a request as a favor; and from G154 (αἰτέω), which is strictly a demand for something due; as well as from G2212 (ζητέω), which implies a search for something hidden; and from G1189 (δέομαι), which involves the idea of urgent need); by implication, to learn (by casual intelligence)</x:v>
      </x:c>
      <x:c r="H964" s="20" t="str"/>
      <x:c r="I964" s="21"/>
      <x:c r="J964" s="21" t="str">
        <x:v>Mounce 頻率延伸</x:v>
      </x:c>
      <x:c r="K964" s="21" t="str">
        <x:v>G4441</x:v>
      </x:c>
      <x:c r="L964" s="21" t="str">
        <x:v>否</x:v>
      </x:c>
      <x:c r="M964" s="21" t="str"/>
      <x:c r="N964" s="21" t="str">
        <x:v>source_and_lexicon_matched</x:v>
      </x:c>
      <x:c r="O964" s="21" t="str">
        <x:v>rule_generated_from_official_table</x:v>
      </x:c>
      <x:c r="P964" s="21" t="n">
        <x:v>17</x:v>
      </x:c>
      <x:c r="Q964" s="21" t="str">
        <x:v>https://doxa.billmounce.com/Flashcards%20%28BBG%29.pdf</x:v>
      </x:c>
      <x:c r="R964" s="16" t="str"/>
    </x:row>
    <x:row r="965" ht="28" customHeight="1">
      <x:c r="A965" s="21" t="n">
        <x:v>961</x:v>
      </x:c>
      <x:c r="B965" s="21" t="n">
        <x:f>ROUNDUP(A965/50,0)</x:f>
        <x:v>20</x:v>
      </x:c>
      <x:c r="C965" s="21" t="n">
        <x:f>MOD(A965-1,50)+1</x:f>
        <x:v>11</x:v>
      </x:c>
      <x:c r="D965" s="29" t="str">
        <x:v>πῶλος, -ου, ὁ</x:v>
      </x:c>
      <x:c r="E965" s="29" t="str">
        <x:v>πῶλος</x:v>
      </x:c>
      <x:c r="F965" s="27" t="str">
        <x:v>pōlos</x:v>
      </x:c>
      <x:c r="G965" s="20" t="str">
        <x:v>a "foal" or "filly", i.e. (specially), a young ass</x:v>
      </x:c>
      <x:c r="H965" s="20" t="str"/>
      <x:c r="I965" s="21"/>
      <x:c r="J965" s="21" t="str">
        <x:v>Mounce 頻率延伸</x:v>
      </x:c>
      <x:c r="K965" s="21" t="str">
        <x:v>G4454</x:v>
      </x:c>
      <x:c r="L965" s="21" t="str">
        <x:v>否</x:v>
      </x:c>
      <x:c r="M965" s="21" t="str"/>
      <x:c r="N965" s="21" t="str">
        <x:v>source_and_lexicon_matched</x:v>
      </x:c>
      <x:c r="O965" s="21" t="str">
        <x:v>rule_generated_from_official_table</x:v>
      </x:c>
      <x:c r="P965" s="21" t="n">
        <x:v>17</x:v>
      </x:c>
      <x:c r="Q965" s="21" t="str">
        <x:v>https://doxa.billmounce.com/Flashcards%20%28BBG%29.pdf</x:v>
      </x:c>
      <x:c r="R965" s="16" t="str"/>
    </x:row>
    <x:row r="966" ht="28" customHeight="1">
      <x:c r="A966" s="21" t="n">
        <x:v>962</x:v>
      </x:c>
      <x:c r="B966" s="21" t="n">
        <x:f>ROUNDUP(A966/50,0)</x:f>
        <x:v>20</x:v>
      </x:c>
      <x:c r="C966" s="21" t="n">
        <x:f>MOD(A966-1,50)+1</x:f>
        <x:v>12</x:v>
      </x:c>
      <x:c r="D966" s="29" t="str">
        <x:v>ῥάβδος, -ου, ἡ</x:v>
      </x:c>
      <x:c r="E966" s="29" t="str">
        <x:v>ῥάβδος</x:v>
      </x:c>
      <x:c r="F966" s="27" t="str">
        <x:v>rhabdos</x:v>
      </x:c>
      <x:c r="G966" s="20" t="str">
        <x:v>a stick or wand (as a cudgel, a cane or a baton of royalty)</x:v>
      </x:c>
      <x:c r="H966" s="20" t="str"/>
      <x:c r="I966" s="21"/>
      <x:c r="J966" s="21" t="str">
        <x:v>Mounce 頻率延伸</x:v>
      </x:c>
      <x:c r="K966" s="21" t="str">
        <x:v>G4464</x:v>
      </x:c>
      <x:c r="L966" s="21" t="str">
        <x:v>否</x:v>
      </x:c>
      <x:c r="M966" s="21" t="str"/>
      <x:c r="N966" s="21" t="str">
        <x:v>source_and_lexicon_matched</x:v>
      </x:c>
      <x:c r="O966" s="21" t="str">
        <x:v>rule_generated_from_official_table</x:v>
      </x:c>
      <x:c r="P966" s="21" t="n">
        <x:v>17</x:v>
      </x:c>
      <x:c r="Q966" s="21" t="str">
        <x:v>https://doxa.billmounce.com/Flashcards%20%28BBG%29.pdf</x:v>
      </x:c>
      <x:c r="R966" s="16" t="str"/>
    </x:row>
    <x:row r="967" ht="28" customHeight="1">
      <x:c r="A967" s="21" t="n">
        <x:v>963</x:v>
      </x:c>
      <x:c r="B967" s="21" t="n">
        <x:f>ROUNDUP(A967/50,0)</x:f>
        <x:v>20</x:v>
      </x:c>
      <x:c r="C967" s="21" t="n">
        <x:f>MOD(A967-1,50)+1</x:f>
        <x:v>13</x:v>
      </x:c>
      <x:c r="D967" s="29" t="str">
        <x:v>Ῥωμαῖος, -α, -ον</x:v>
      </x:c>
      <x:c r="E967" s="29" t="str">
        <x:v>Ῥωμαῖος</x:v>
      </x:c>
      <x:c r="F967" s="27" t="str">
        <x:v>Rhōmaios</x:v>
      </x:c>
      <x:c r="G967" s="20" t="str">
        <x:v>Romæan, i.e. Roman (as noun)</x:v>
      </x:c>
      <x:c r="H967" s="20" t="str"/>
      <x:c r="I967" s="21"/>
      <x:c r="J967" s="21" t="str">
        <x:v>Mounce 頻率延伸</x:v>
      </x:c>
      <x:c r="K967" s="21" t="str">
        <x:v>G4514</x:v>
      </x:c>
      <x:c r="L967" s="21" t="str">
        <x:v>是</x:v>
      </x:c>
      <x:c r="M967" s="21" t="str">
        <x:v>民族／國族</x:v>
      </x:c>
      <x:c r="N967" s="21" t="str">
        <x:v>source_and_lexicon_matched</x:v>
      </x:c>
      <x:c r="O967" s="21" t="str">
        <x:v>rule_generated_from_official_table</x:v>
      </x:c>
      <x:c r="P967" s="21" t="n">
        <x:v>17</x:v>
      </x:c>
      <x:c r="Q967" s="21" t="str">
        <x:v>https://doxa.billmounce.com/Flashcards%20%28BBG%29.pdf</x:v>
      </x:c>
      <x:c r="R967" s="16" t="str"/>
    </x:row>
    <x:row r="968" ht="28" customHeight="1">
      <x:c r="A968" s="21" t="n">
        <x:v>964</x:v>
      </x:c>
      <x:c r="B968" s="21" t="n">
        <x:f>ROUNDUP(A968/50,0)</x:f>
        <x:v>20</x:v>
      </x:c>
      <x:c r="C968" s="21" t="n">
        <x:f>MOD(A968-1,50)+1</x:f>
        <x:v>14</x:v>
      </x:c>
      <x:c r="D968" s="29" t="str">
        <x:v>σαλπίζω</x:v>
      </x:c>
      <x:c r="E968" s="29" t="str">
        <x:v>σαλπίζω</x:v>
      </x:c>
      <x:c r="F968" s="27" t="str">
        <x:v>salpizō</x:v>
      </x:c>
      <x:c r="G968" s="20" t="str">
        <x:v>to trumpet, i.e. sound a blast (literally or figuratively)</x:v>
      </x:c>
      <x:c r="H968" s="20" t="str"/>
      <x:c r="I968" s="21"/>
      <x:c r="J968" s="21" t="str">
        <x:v>Mounce 頻率延伸</x:v>
      </x:c>
      <x:c r="K968" s="21" t="str">
        <x:v>G4537</x:v>
      </x:c>
      <x:c r="L968" s="21" t="str">
        <x:v>否</x:v>
      </x:c>
      <x:c r="M968" s="21" t="str"/>
      <x:c r="N968" s="21" t="str">
        <x:v>source_and_lexicon_matched</x:v>
      </x:c>
      <x:c r="O968" s="21" t="str">
        <x:v>rule_generated_from_official_table</x:v>
      </x:c>
      <x:c r="P968" s="21" t="n">
        <x:v>17</x:v>
      </x:c>
      <x:c r="Q968" s="21" t="str">
        <x:v>https://doxa.billmounce.com/Flashcards%20%28BBG%29.pdf</x:v>
      </x:c>
      <x:c r="R968" s="16" t="str"/>
    </x:row>
    <x:row r="969" ht="28" customHeight="1">
      <x:c r="A969" s="21" t="n">
        <x:v>965</x:v>
      </x:c>
      <x:c r="B969" s="21" t="n">
        <x:f>ROUNDUP(A969/50,0)</x:f>
        <x:v>20</x:v>
      </x:c>
      <x:c r="C969" s="21" t="n">
        <x:f>MOD(A969-1,50)+1</x:f>
        <x:v>15</x:v>
      </x:c>
      <x:c r="D969" s="29" t="str">
        <x:v>Σίλας, -ᾶ, ὁ</x:v>
      </x:c>
      <x:c r="E969" s="29" t="str">
        <x:v>Σίλας</x:v>
      </x:c>
      <x:c r="F969" s="27" t="str">
        <x:v>Silas</x:v>
      </x:c>
      <x:c r="G969" s="20" t="str">
        <x:v>Silas, a Christian</x:v>
      </x:c>
      <x:c r="H969" s="20" t="str"/>
      <x:c r="I969" s="21"/>
      <x:c r="J969" s="21" t="str">
        <x:v>Mounce 頻率延伸</x:v>
      </x:c>
      <x:c r="K969" s="21" t="str">
        <x:v>G4609</x:v>
      </x:c>
      <x:c r="L969" s="21" t="str">
        <x:v>是</x:v>
      </x:c>
      <x:c r="M969" s="21" t="str">
        <x:v>人名</x:v>
      </x:c>
      <x:c r="N969" s="21" t="str">
        <x:v>source_and_lexicon_matched</x:v>
      </x:c>
      <x:c r="O969" s="21" t="str">
        <x:v>rule_generated_from_official_table</x:v>
      </x:c>
      <x:c r="P969" s="21" t="n">
        <x:v>17</x:v>
      </x:c>
      <x:c r="Q969" s="21" t="str">
        <x:v>https://doxa.billmounce.com/Flashcards%20%28BBG%29.pdf</x:v>
      </x:c>
      <x:c r="R969" s="16" t="str"/>
    </x:row>
    <x:row r="970" ht="28" customHeight="1">
      <x:c r="A970" s="21" t="n">
        <x:v>966</x:v>
      </x:c>
      <x:c r="B970" s="21" t="n">
        <x:f>ROUNDUP(A970/50,0)</x:f>
        <x:v>20</x:v>
      </x:c>
      <x:c r="C970" s="21" t="n">
        <x:f>MOD(A970-1,50)+1</x:f>
        <x:v>16</x:v>
      </x:c>
      <x:c r="D970" s="29" t="str">
        <x:v>Σολομῶν, -ῶνος, ὁ</x:v>
      </x:c>
      <x:c r="E970" s="29" t="str">
        <x:v>Σολομῶν</x:v>
      </x:c>
      <x:c r="F970" s="27" t="str">
        <x:v>Solomōn</x:v>
      </x:c>
      <x:c r="G970" s="20" t="str">
        <x:v>Solomon (i.e. Shelomoh), the son of David</x:v>
      </x:c>
      <x:c r="H970" s="20" t="str"/>
      <x:c r="I970" s="21"/>
      <x:c r="J970" s="21" t="str">
        <x:v>Mounce 頻率延伸</x:v>
      </x:c>
      <x:c r="K970" s="21" t="str">
        <x:v>G4672</x:v>
      </x:c>
      <x:c r="L970" s="21" t="str">
        <x:v>是</x:v>
      </x:c>
      <x:c r="M970" s="21" t="str">
        <x:v>人名</x:v>
      </x:c>
      <x:c r="N970" s="21" t="str">
        <x:v>source_and_lexicon_matched</x:v>
      </x:c>
      <x:c r="O970" s="21" t="str">
        <x:v>rule_generated_from_official_table</x:v>
      </x:c>
      <x:c r="P970" s="21" t="n">
        <x:v>17</x:v>
      </x:c>
      <x:c r="Q970" s="21" t="str">
        <x:v>https://doxa.billmounce.com/Flashcards%20%28BBG%29.pdf</x:v>
      </x:c>
      <x:c r="R970" s="16" t="str"/>
    </x:row>
    <x:row r="971" ht="28" customHeight="1">
      <x:c r="A971" s="21" t="n">
        <x:v>967</x:v>
      </x:c>
      <x:c r="B971" s="21" t="n">
        <x:f>ROUNDUP(A971/50,0)</x:f>
        <x:v>20</x:v>
      </x:c>
      <x:c r="C971" s="21" t="n">
        <x:f>MOD(A971-1,50)+1</x:f>
        <x:v>17</x:v>
      </x:c>
      <x:c r="D971" s="29" t="str">
        <x:v>σπλαγχνίζομαι</x:v>
      </x:c>
      <x:c r="E971" s="29" t="str">
        <x:v>σπλαγχνίζομαι</x:v>
      </x:c>
      <x:c r="F971" s="27" t="str">
        <x:v>splanchnizomai</x:v>
      </x:c>
      <x:c r="G971" s="20" t="str">
        <x:v>to have the bowels yearn, i.e. (figuratively) feel sympathy, to pity</x:v>
      </x:c>
      <x:c r="H971" s="20" t="str"/>
      <x:c r="I971" s="21"/>
      <x:c r="J971" s="21" t="str">
        <x:v>Mounce 頻率延伸</x:v>
      </x:c>
      <x:c r="K971" s="21" t="str">
        <x:v>G4697</x:v>
      </x:c>
      <x:c r="L971" s="21" t="str">
        <x:v>否</x:v>
      </x:c>
      <x:c r="M971" s="21" t="str"/>
      <x:c r="N971" s="21" t="str">
        <x:v>source_and_lexicon_matched</x:v>
      </x:c>
      <x:c r="O971" s="21" t="str">
        <x:v>rule_generated_from_official_table</x:v>
      </x:c>
      <x:c r="P971" s="21" t="n">
        <x:v>17</x:v>
      </x:c>
      <x:c r="Q971" s="21" t="str">
        <x:v>https://doxa.billmounce.com/Flashcards%20%28BBG%29.pdf</x:v>
      </x:c>
      <x:c r="R971" s="16" t="str"/>
    </x:row>
    <x:row r="972" ht="28" customHeight="1">
      <x:c r="A972" s="21" t="n">
        <x:v>968</x:v>
      </x:c>
      <x:c r="B972" s="21" t="n">
        <x:f>ROUNDUP(A972/50,0)</x:f>
        <x:v>20</x:v>
      </x:c>
      <x:c r="C972" s="21" t="n">
        <x:f>MOD(A972-1,50)+1</x:f>
        <x:v>18</x:v>
      </x:c>
      <x:c r="D972" s="29" t="str">
        <x:v>σπουδή, -ῆς, ἡ</x:v>
      </x:c>
      <x:c r="E972" s="29" t="str">
        <x:v>σπουδή</x:v>
      </x:c>
      <x:c r="F972" s="27" t="str">
        <x:v>spoudē</x:v>
      </x:c>
      <x:c r="G972" s="20" t="str">
        <x:v>"speed", i.e. (by implication) despatch, eagerness, earnestness</x:v>
      </x:c>
      <x:c r="H972" s="20" t="str"/>
      <x:c r="I972" s="21"/>
      <x:c r="J972" s="21" t="str">
        <x:v>Mounce 頻率延伸</x:v>
      </x:c>
      <x:c r="K972" s="21" t="str">
        <x:v>G4710</x:v>
      </x:c>
      <x:c r="L972" s="21" t="str">
        <x:v>否</x:v>
      </x:c>
      <x:c r="M972" s="21" t="str"/>
      <x:c r="N972" s="21" t="str">
        <x:v>source_and_lexicon_matched</x:v>
      </x:c>
      <x:c r="O972" s="21" t="str">
        <x:v>rule_generated_from_official_table</x:v>
      </x:c>
      <x:c r="P972" s="21" t="n">
        <x:v>17</x:v>
      </x:c>
      <x:c r="Q972" s="21" t="str">
        <x:v>https://doxa.billmounce.com/Flashcards%20%28BBG%29.pdf</x:v>
      </x:c>
      <x:c r="R972" s="16" t="str"/>
    </x:row>
    <x:row r="973" ht="28" customHeight="1">
      <x:c r="A973" s="21" t="n">
        <x:v>969</x:v>
      </x:c>
      <x:c r="B973" s="21" t="n">
        <x:f>ROUNDUP(A973/50,0)</x:f>
        <x:v>20</x:v>
      </x:c>
      <x:c r="C973" s="21" t="n">
        <x:f>MOD(A973-1,50)+1</x:f>
        <x:v>19</x:v>
      </x:c>
      <x:c r="D973" s="29" t="str">
        <x:v>συνέχω</x:v>
      </x:c>
      <x:c r="E973" s="29" t="str">
        <x:v>συνέχω</x:v>
      </x:c>
      <x:c r="F973" s="27" t="str">
        <x:v>sunechō</x:v>
      </x:c>
      <x:c r="G973" s="20" t="str">
        <x:v>to hold together, i.e. to compress (the ears, with a crowd or siege) or arrest (a prisoner); figuratively, to compel, perplex, afflict, preoccupy</x:v>
      </x:c>
      <x:c r="H973" s="20" t="str"/>
      <x:c r="I973" s="21"/>
      <x:c r="J973" s="21" t="str">
        <x:v>Mounce 頻率延伸</x:v>
      </x:c>
      <x:c r="K973" s="21" t="str">
        <x:v>G4912</x:v>
      </x:c>
      <x:c r="L973" s="21" t="str">
        <x:v>否</x:v>
      </x:c>
      <x:c r="M973" s="21" t="str"/>
      <x:c r="N973" s="21" t="str">
        <x:v>source_and_lexicon_matched</x:v>
      </x:c>
      <x:c r="O973" s="21" t="str">
        <x:v>rule_generated_from_official_table</x:v>
      </x:c>
      <x:c r="P973" s="21" t="n">
        <x:v>17</x:v>
      </x:c>
      <x:c r="Q973" s="21" t="str">
        <x:v>https://doxa.billmounce.com/Flashcards%20%28BBG%29.pdf</x:v>
      </x:c>
      <x:c r="R973" s="16" t="str"/>
    </x:row>
    <x:row r="974" ht="28" customHeight="1">
      <x:c r="A974" s="21" t="n">
        <x:v>970</x:v>
      </x:c>
      <x:c r="B974" s="21" t="n">
        <x:f>ROUNDUP(A974/50,0)</x:f>
        <x:v>20</x:v>
      </x:c>
      <x:c r="C974" s="21" t="n">
        <x:f>MOD(A974-1,50)+1</x:f>
        <x:v>20</x:v>
      </x:c>
      <x:c r="D974" s="29" t="str">
        <x:v>τρίς</x:v>
      </x:c>
      <x:c r="E974" s="29" t="str">
        <x:v>τρίς</x:v>
      </x:c>
      <x:c r="F974" s="27" t="str">
        <x:v>tris</x:v>
      </x:c>
      <x:c r="G974" s="20" t="str">
        <x:v>three times</x:v>
      </x:c>
      <x:c r="H974" s="20" t="str"/>
      <x:c r="I974" s="21"/>
      <x:c r="J974" s="21" t="str">
        <x:v>Mounce 頻率延伸</x:v>
      </x:c>
      <x:c r="K974" s="21" t="str">
        <x:v>G5151</x:v>
      </x:c>
      <x:c r="L974" s="21" t="str">
        <x:v>否</x:v>
      </x:c>
      <x:c r="M974" s="21" t="str"/>
      <x:c r="N974" s="21" t="str">
        <x:v>source_and_lexicon_matched</x:v>
      </x:c>
      <x:c r="O974" s="21" t="str">
        <x:v>rule_generated_from_official_table</x:v>
      </x:c>
      <x:c r="P974" s="21" t="n">
        <x:v>17</x:v>
      </x:c>
      <x:c r="Q974" s="21" t="str">
        <x:v>https://doxa.billmounce.com/Flashcards%20%28BBG%29.pdf</x:v>
      </x:c>
      <x:c r="R974" s="16" t="str"/>
    </x:row>
    <x:row r="975" ht="28" customHeight="1">
      <x:c r="A975" s="21" t="n">
        <x:v>971</x:v>
      </x:c>
      <x:c r="B975" s="21" t="n">
        <x:f>ROUNDUP(A975/50,0)</x:f>
        <x:v>20</x:v>
      </x:c>
      <x:c r="C975" s="21" t="n">
        <x:f>MOD(A975-1,50)+1</x:f>
        <x:v>21</x:v>
      </x:c>
      <x:c r="D975" s="29" t="str">
        <x:v>τυγχάνω</x:v>
      </x:c>
      <x:c r="E975" s="29" t="str">
        <x:v>τυγχάνω</x:v>
      </x:c>
      <x:c r="F975" s="27" t="str">
        <x:v>tunchanō</x:v>
      </x:c>
      <x:c r="G975" s="20" t="str">
        <x:v>akin to the base of G5088 (τίκτω) through the idea of effecting; properly, to affect; or (specially), to hit or light upon (as a mark to be reached), i.e. (transitively) to attain or secure an object or end, or (intransitively) to happen (as if meeting with); but in the latter application only impersonal (with G1487 (εἰ)), i.e. perchance; or (present participle) as adjective, usual (as if commonly met with, with G3756 (οὐ), extraordinary), neuter (as adverb) perhaps; or (with another verb) as adverb, by accident (as it were)</x:v>
      </x:c>
      <x:c r="H975" s="20" t="str"/>
      <x:c r="I975" s="21"/>
      <x:c r="J975" s="21" t="str">
        <x:v>Mounce 頻率延伸</x:v>
      </x:c>
      <x:c r="K975" s="21" t="str">
        <x:v>G5177</x:v>
      </x:c>
      <x:c r="L975" s="21" t="str">
        <x:v>否</x:v>
      </x:c>
      <x:c r="M975" s="21" t="str"/>
      <x:c r="N975" s="21" t="str">
        <x:v>source_and_lexicon_matched</x:v>
      </x:c>
      <x:c r="O975" s="21" t="str">
        <x:v>rule_generated_from_official_table</x:v>
      </x:c>
      <x:c r="P975" s="21" t="n">
        <x:v>17</x:v>
      </x:c>
      <x:c r="Q975" s="21" t="str">
        <x:v>https://doxa.billmounce.com/Flashcards%20%28BBG%29.pdf</x:v>
      </x:c>
      <x:c r="R975" s="16" t="str"/>
    </x:row>
    <x:row r="976" ht="28" customHeight="1">
      <x:c r="A976" s="21" t="n">
        <x:v>972</x:v>
      </x:c>
      <x:c r="B976" s="21" t="n">
        <x:f>ROUNDUP(A976/50,0)</x:f>
        <x:v>20</x:v>
      </x:c>
      <x:c r="C976" s="21" t="n">
        <x:f>MOD(A976-1,50)+1</x:f>
        <x:v>22</x:v>
      </x:c>
      <x:c r="D976" s="29" t="str">
        <x:v>ὑγιαίνω</x:v>
      </x:c>
      <x:c r="E976" s="29" t="str">
        <x:v>ὑγιαίνω</x:v>
      </x:c>
      <x:c r="F976" s="27" t="str">
        <x:v>hugiainō</x:v>
      </x:c>
      <x:c r="G976" s="20" t="str">
        <x:v>to have sound health, i.e. be well (in body); figuratively, to be uncorrupt (true in doctrine)</x:v>
      </x:c>
      <x:c r="H976" s="20" t="str"/>
      <x:c r="I976" s="21"/>
      <x:c r="J976" s="21" t="str">
        <x:v>Mounce 頻率延伸</x:v>
      </x:c>
      <x:c r="K976" s="21" t="str">
        <x:v>G5198</x:v>
      </x:c>
      <x:c r="L976" s="21" t="str">
        <x:v>否</x:v>
      </x:c>
      <x:c r="M976" s="21" t="str"/>
      <x:c r="N976" s="21" t="str">
        <x:v>source_and_lexicon_matched</x:v>
      </x:c>
      <x:c r="O976" s="21" t="str">
        <x:v>rule_generated_from_official_table</x:v>
      </x:c>
      <x:c r="P976" s="21" t="n">
        <x:v>17</x:v>
      </x:c>
      <x:c r="Q976" s="21" t="str">
        <x:v>https://doxa.billmounce.com/Flashcards%20%28BBG%29.pdf</x:v>
      </x:c>
      <x:c r="R976" s="16" t="str"/>
    </x:row>
    <x:row r="977" ht="28" customHeight="1">
      <x:c r="A977" s="21" t="n">
        <x:v>973</x:v>
      </x:c>
      <x:c r="B977" s="21" t="n">
        <x:f>ROUNDUP(A977/50,0)</x:f>
        <x:v>20</x:v>
      </x:c>
      <x:c r="C977" s="21" t="n">
        <x:f>MOD(A977-1,50)+1</x:f>
        <x:v>23</x:v>
      </x:c>
      <x:c r="D977" s="29" t="str">
        <x:v>ὕστερος, -α, -ον</x:v>
      </x:c>
      <x:c r="E977" s="29" t="str">
        <x:v>ὕστερος</x:v>
      </x:c>
      <x:c r="F977" s="27" t="str">
        <x:v>husteros</x:v>
      </x:c>
      <x:c r="G977" s="20" t="str">
        <x:v>later</x:v>
      </x:c>
      <x:c r="H977" s="20" t="str"/>
      <x:c r="I977" s="21"/>
      <x:c r="J977" s="21" t="str">
        <x:v>Mounce 頻率延伸</x:v>
      </x:c>
      <x:c r="K977" s="21" t="str">
        <x:v>G5306</x:v>
      </x:c>
      <x:c r="L977" s="21" t="str">
        <x:v>否</x:v>
      </x:c>
      <x:c r="M977" s="21" t="str"/>
      <x:c r="N977" s="21" t="str">
        <x:v>source_and_lexicon_matched</x:v>
      </x:c>
      <x:c r="O977" s="21" t="str">
        <x:v>rule_generated_from_official_table</x:v>
      </x:c>
      <x:c r="P977" s="21" t="n">
        <x:v>17</x:v>
      </x:c>
      <x:c r="Q977" s="21" t="str">
        <x:v>https://doxa.billmounce.com/Flashcards%20%28BBG%29.pdf</x:v>
      </x:c>
      <x:c r="R977" s="16" t="str"/>
    </x:row>
    <x:row r="978" ht="28" customHeight="1">
      <x:c r="A978" s="21" t="n">
        <x:v>974</x:v>
      </x:c>
      <x:c r="B978" s="21" t="n">
        <x:f>ROUNDUP(A978/50,0)</x:f>
        <x:v>20</x:v>
      </x:c>
      <x:c r="C978" s="21" t="n">
        <x:f>MOD(A978-1,50)+1</x:f>
        <x:v>24</x:v>
      </x:c>
      <x:c r="D978" s="29" t="str">
        <x:v>φιάλη, -ης, ἡ</x:v>
      </x:c>
      <x:c r="E978" s="29" t="str">
        <x:v>φιάλη</x:v>
      </x:c>
      <x:c r="F978" s="27" t="str">
        <x:v>phialē</x:v>
      </x:c>
      <x:c r="G978" s="20" t="str">
        <x:v>a broad shallow cup ("phial")</x:v>
      </x:c>
      <x:c r="H978" s="20" t="str"/>
      <x:c r="I978" s="21"/>
      <x:c r="J978" s="21" t="str">
        <x:v>Mounce 頻率延伸</x:v>
      </x:c>
      <x:c r="K978" s="21" t="str">
        <x:v>G5357</x:v>
      </x:c>
      <x:c r="L978" s="21" t="str">
        <x:v>否</x:v>
      </x:c>
      <x:c r="M978" s="21" t="str"/>
      <x:c r="N978" s="21" t="str">
        <x:v>source_and_lexicon_matched</x:v>
      </x:c>
      <x:c r="O978" s="21" t="str">
        <x:v>rule_generated_from_official_table</x:v>
      </x:c>
      <x:c r="P978" s="21" t="n">
        <x:v>17</x:v>
      </x:c>
      <x:c r="Q978" s="21" t="str">
        <x:v>https://doxa.billmounce.com/Flashcards%20%28BBG%29.pdf</x:v>
      </x:c>
      <x:c r="R978" s="16" t="str"/>
    </x:row>
    <x:row r="979" ht="28" customHeight="1">
      <x:c r="A979" s="21" t="n">
        <x:v>975</x:v>
      </x:c>
      <x:c r="B979" s="21" t="n">
        <x:f>ROUNDUP(A979/50,0)</x:f>
        <x:v>20</x:v>
      </x:c>
      <x:c r="C979" s="21" t="n">
        <x:f>MOD(A979-1,50)+1</x:f>
        <x:v>25</x:v>
      </x:c>
      <x:c r="D979" s="29" t="str">
        <x:v>φονεύω</x:v>
      </x:c>
      <x:c r="E979" s="29" t="str">
        <x:v>φονεύω</x:v>
      </x:c>
      <x:c r="F979" s="27" t="str">
        <x:v>phoneuō</x:v>
      </x:c>
      <x:c r="G979" s="20" t="str">
        <x:v>to be a murderer (of)</x:v>
      </x:c>
      <x:c r="H979" s="20" t="str"/>
      <x:c r="I979" s="21"/>
      <x:c r="J979" s="21" t="str">
        <x:v>Mounce 頻率延伸</x:v>
      </x:c>
      <x:c r="K979" s="21" t="str">
        <x:v>G5407</x:v>
      </x:c>
      <x:c r="L979" s="21" t="str">
        <x:v>否</x:v>
      </x:c>
      <x:c r="M979" s="21" t="str"/>
      <x:c r="N979" s="21" t="str">
        <x:v>source_and_lexicon_matched</x:v>
      </x:c>
      <x:c r="O979" s="21" t="str">
        <x:v>rule_generated_from_official_table</x:v>
      </x:c>
      <x:c r="P979" s="21" t="n">
        <x:v>17</x:v>
      </x:c>
      <x:c r="Q979" s="21" t="str">
        <x:v>https://doxa.billmounce.com/Flashcards%20%28BBG%29.pdf</x:v>
      </x:c>
      <x:c r="R979" s="16" t="str"/>
    </x:row>
    <x:row r="980" ht="28" customHeight="1">
      <x:c r="A980" s="21" t="n">
        <x:v>976</x:v>
      </x:c>
      <x:c r="B980" s="21" t="n">
        <x:f>ROUNDUP(A980/50,0)</x:f>
        <x:v>20</x:v>
      </x:c>
      <x:c r="C980" s="21" t="n">
        <x:f>MOD(A980-1,50)+1</x:f>
        <x:v>26</x:v>
      </x:c>
      <x:c r="D980" s="29" t="str">
        <x:v>χοῖρος, -ου, ὁ</x:v>
      </x:c>
      <x:c r="E980" s="29" t="str">
        <x:v>χοῖρος</x:v>
      </x:c>
      <x:c r="F980" s="27" t="str">
        <x:v>choiros</x:v>
      </x:c>
      <x:c r="G980" s="20" t="str">
        <x:v>a hog</x:v>
      </x:c>
      <x:c r="H980" s="20" t="str"/>
      <x:c r="I980" s="21"/>
      <x:c r="J980" s="21" t="str">
        <x:v>Mounce 頻率延伸</x:v>
      </x:c>
      <x:c r="K980" s="21" t="str">
        <x:v>G5519</x:v>
      </x:c>
      <x:c r="L980" s="21" t="str">
        <x:v>否</x:v>
      </x:c>
      <x:c r="M980" s="21" t="str"/>
      <x:c r="N980" s="21" t="str">
        <x:v>source_and_lexicon_matched</x:v>
      </x:c>
      <x:c r="O980" s="21" t="str">
        <x:v>rule_generated_from_official_table</x:v>
      </x:c>
      <x:c r="P980" s="21" t="n">
        <x:v>17</x:v>
      </x:c>
      <x:c r="Q980" s="21" t="str">
        <x:v>https://doxa.billmounce.com/Flashcards%20%28BBG%29.pdf</x:v>
      </x:c>
      <x:c r="R980" s="16" t="str"/>
    </x:row>
    <x:row r="981" ht="28" customHeight="1">
      <x:c r="A981" s="21" t="n">
        <x:v>977</x:v>
      </x:c>
      <x:c r="B981" s="21" t="n">
        <x:f>ROUNDUP(A981/50,0)</x:f>
        <x:v>20</x:v>
      </x:c>
      <x:c r="C981" s="21" t="n">
        <x:f>MOD(A981-1,50)+1</x:f>
        <x:v>27</x:v>
      </x:c>
      <x:c r="D981" s="29" t="str">
        <x:v>χρυσίον, -ου, τό</x:v>
      </x:c>
      <x:c r="E981" s="29" t="str">
        <x:v>χρυσίον</x:v>
      </x:c>
      <x:c r="F981" s="27" t="str">
        <x:v>chrusion</x:v>
      </x:c>
      <x:c r="G981" s="20" t="str">
        <x:v>a golden article, i.e. gold plating, ornament, or coin</x:v>
      </x:c>
      <x:c r="H981" s="20" t="str"/>
      <x:c r="I981" s="21"/>
      <x:c r="J981" s="21" t="str">
        <x:v>Mounce 頻率延伸</x:v>
      </x:c>
      <x:c r="K981" s="21" t="str">
        <x:v>G5553</x:v>
      </x:c>
      <x:c r="L981" s="21" t="str">
        <x:v>否</x:v>
      </x:c>
      <x:c r="M981" s="21" t="str"/>
      <x:c r="N981" s="21" t="str">
        <x:v>source_and_lexicon_matched</x:v>
      </x:c>
      <x:c r="O981" s="21" t="str">
        <x:v>rule_generated_from_official_table</x:v>
      </x:c>
      <x:c r="P981" s="21" t="n">
        <x:v>17</x:v>
      </x:c>
      <x:c r="Q981" s="21" t="str">
        <x:v>https://doxa.billmounce.com/Flashcards%20%28BBG%29.pdf</x:v>
      </x:c>
      <x:c r="R981" s="16" t="str"/>
    </x:row>
    <x:row r="982" ht="28" customHeight="1">
      <x:c r="A982" s="21" t="n">
        <x:v>978</x:v>
      </x:c>
      <x:c r="B982" s="21" t="n">
        <x:f>ROUNDUP(A982/50,0)</x:f>
        <x:v>20</x:v>
      </x:c>
      <x:c r="C982" s="21" t="n">
        <x:f>MOD(A982-1,50)+1</x:f>
        <x:v>28</x:v>
      </x:c>
      <x:c r="D982" s="29" t="str">
        <x:v>ψεύδομαι</x:v>
      </x:c>
      <x:c r="E982" s="29" t="str">
        <x:v>ψεύδομαι</x:v>
      </x:c>
      <x:c r="F982" s="27" t="str">
        <x:v>pseudomai</x:v>
      </x:c>
      <x:c r="G982" s="20" t="str">
        <x:v>to utter an untruth or attempt to deceive by falsehood</x:v>
      </x:c>
      <x:c r="H982" s="20" t="str"/>
      <x:c r="I982" s="21"/>
      <x:c r="J982" s="21" t="str">
        <x:v>Mounce 頻率延伸</x:v>
      </x:c>
      <x:c r="K982" s="21" t="str">
        <x:v>G5574</x:v>
      </x:c>
      <x:c r="L982" s="21" t="str">
        <x:v>否</x:v>
      </x:c>
      <x:c r="M982" s="21" t="str"/>
      <x:c r="N982" s="21" t="str">
        <x:v>source_and_lexicon_matched</x:v>
      </x:c>
      <x:c r="O982" s="21" t="str">
        <x:v>rule_generated_from_official_table</x:v>
      </x:c>
      <x:c r="P982" s="21" t="n">
        <x:v>17</x:v>
      </x:c>
      <x:c r="Q982" s="21" t="str">
        <x:v>https://doxa.billmounce.com/Flashcards%20%28BBG%29.pdf</x:v>
      </x:c>
      <x:c r="R982" s="16" t="str"/>
    </x:row>
    <x:row r="983" ht="28" customHeight="1">
      <x:c r="A983" s="21" t="n">
        <x:v>979</x:v>
      </x:c>
      <x:c r="B983" s="21" t="n">
        <x:f>ROUNDUP(A983/50,0)</x:f>
        <x:v>20</x:v>
      </x:c>
      <x:c r="C983" s="21" t="n">
        <x:f>MOD(A983-1,50)+1</x:f>
        <x:v>29</x:v>
      </x:c>
      <x:c r="D983" s="29" t="str">
        <x:v>ἀγαλλιάω</x:v>
      </x:c>
      <x:c r="E983" s="29" t="str">
        <x:v>ἀγαλλιάω</x:v>
      </x:c>
      <x:c r="F983" s="27" t="str">
        <x:v>agalliaō</x:v>
      </x:c>
      <x:c r="G983" s="20" t="str">
        <x:v>properly, to jump for joy, i.e. exult</x:v>
      </x:c>
      <x:c r="H983" s="20" t="str"/>
      <x:c r="I983" s="21"/>
      <x:c r="J983" s="21" t="str">
        <x:v>Mounce 頻率延伸</x:v>
      </x:c>
      <x:c r="K983" s="21" t="str">
        <x:v>G21</x:v>
      </x:c>
      <x:c r="L983" s="21" t="str">
        <x:v>否</x:v>
      </x:c>
      <x:c r="M983" s="21" t="str"/>
      <x:c r="N983" s="21" t="str">
        <x:v>source_and_lexicon_matched</x:v>
      </x:c>
      <x:c r="O983" s="21" t="str">
        <x:v>rule_generated_from_official_table</x:v>
      </x:c>
      <x:c r="P983" s="21" t="n">
        <x:v>17</x:v>
      </x:c>
      <x:c r="Q983" s="21" t="str">
        <x:v>https://doxa.billmounce.com/Flashcards%20%28BBG%29.pdf</x:v>
      </x:c>
      <x:c r="R983" s="16" t="str"/>
    </x:row>
    <x:row r="984" ht="28" customHeight="1">
      <x:c r="A984" s="21" t="n">
        <x:v>980</x:v>
      </x:c>
      <x:c r="B984" s="21" t="n">
        <x:f>ROUNDUP(A984/50,0)</x:f>
        <x:v>20</x:v>
      </x:c>
      <x:c r="C984" s="21" t="n">
        <x:f>MOD(A984-1,50)+1</x:f>
        <x:v>30</x:v>
      </x:c>
      <x:c r="D984" s="29" t="str">
        <x:v>ἀπαρνέομαι</x:v>
      </x:c>
      <x:c r="E984" s="29" t="str">
        <x:v>ἀπαρνέομαι</x:v>
      </x:c>
      <x:c r="F984" s="27" t="str">
        <x:v>aparneomai</x:v>
      </x:c>
      <x:c r="G984" s="20" t="str">
        <x:v>to deny utterly, i.e. disown, abstain</x:v>
      </x:c>
      <x:c r="H984" s="20" t="str"/>
      <x:c r="I984" s="21"/>
      <x:c r="J984" s="21" t="str">
        <x:v>Mounce 頻率延伸</x:v>
      </x:c>
      <x:c r="K984" s="21" t="str">
        <x:v>G533</x:v>
      </x:c>
      <x:c r="L984" s="21" t="str">
        <x:v>否</x:v>
      </x:c>
      <x:c r="M984" s="21" t="str"/>
      <x:c r="N984" s="21" t="str">
        <x:v>source_and_lexicon_matched</x:v>
      </x:c>
      <x:c r="O984" s="21" t="str">
        <x:v>rule_generated_from_official_table</x:v>
      </x:c>
      <x:c r="P984" s="21" t="n">
        <x:v>17</x:v>
      </x:c>
      <x:c r="Q984" s="21" t="str">
        <x:v>https://doxa.billmounce.com/Flashcards%20%28BBG%29.pdf</x:v>
      </x:c>
      <x:c r="R984" s="16" t="str"/>
    </x:row>
    <x:row r="985" ht="28" customHeight="1">
      <x:c r="A985" s="21" t="n">
        <x:v>981</x:v>
      </x:c>
      <x:c r="B985" s="21" t="n">
        <x:f>ROUNDUP(A985/50,0)</x:f>
        <x:v>20</x:v>
      </x:c>
      <x:c r="C985" s="21" t="n">
        <x:f>MOD(A985-1,50)+1</x:f>
        <x:v>31</x:v>
      </x:c>
      <x:c r="D985" s="29" t="str">
        <x:v>ἐλευθερία, -ας, ἡ</x:v>
      </x:c>
      <x:c r="E985" s="29" t="str">
        <x:v>ἐλευθερία</x:v>
      </x:c>
      <x:c r="F985" s="27" t="str">
        <x:v>eleutheria</x:v>
      </x:c>
      <x:c r="G985" s="20" t="str">
        <x:v>freedom (legitimate or licentious, chiefly moral or ceremonial)</x:v>
      </x:c>
      <x:c r="H985" s="20" t="str"/>
      <x:c r="I985" s="21"/>
      <x:c r="J985" s="21" t="str">
        <x:v>Mounce 頻率延伸</x:v>
      </x:c>
      <x:c r="K985" s="21" t="str">
        <x:v>G1657</x:v>
      </x:c>
      <x:c r="L985" s="21" t="str">
        <x:v>否</x:v>
      </x:c>
      <x:c r="M985" s="21" t="str"/>
      <x:c r="N985" s="21" t="str">
        <x:v>source_and_lexicon_matched</x:v>
      </x:c>
      <x:c r="O985" s="21" t="str">
        <x:v>rule_generated_from_official_table</x:v>
      </x:c>
      <x:c r="P985" s="21" t="n">
        <x:v>17</x:v>
      </x:c>
      <x:c r="Q985" s="21" t="str">
        <x:v>https://doxa.billmounce.com/Flashcards%20%28BBG%29.pdf</x:v>
      </x:c>
      <x:c r="R985" s="16" t="str"/>
    </x:row>
    <x:row r="986" ht="28" customHeight="1">
      <x:c r="A986" s="21" t="n">
        <x:v>982</x:v>
      </x:c>
      <x:c r="B986" s="21" t="n">
        <x:f>ROUNDUP(A986/50,0)</x:f>
        <x:v>20</x:v>
      </x:c>
      <x:c r="C986" s="21" t="n">
        <x:f>MOD(A986-1,50)+1</x:f>
        <x:v>32</x:v>
      </x:c>
      <x:c r="D986" s="29" t="str">
        <x:v>ἔπαινος, -ου, ὁ</x:v>
      </x:c>
      <x:c r="E986" s="29" t="str">
        <x:v>ἔπαινος</x:v>
      </x:c>
      <x:c r="F986" s="27" t="str">
        <x:v>epainos</x:v>
      </x:c>
      <x:c r="G986" s="20" t="str">
        <x:v>laudation; concretely, a commendable thing</x:v>
      </x:c>
      <x:c r="H986" s="20" t="str"/>
      <x:c r="I986" s="21"/>
      <x:c r="J986" s="21" t="str">
        <x:v>Mounce 頻率延伸</x:v>
      </x:c>
      <x:c r="K986" s="21" t="str">
        <x:v>G1868</x:v>
      </x:c>
      <x:c r="L986" s="21" t="str">
        <x:v>否</x:v>
      </x:c>
      <x:c r="M986" s="21" t="str"/>
      <x:c r="N986" s="21" t="str">
        <x:v>source_and_lexicon_matched</x:v>
      </x:c>
      <x:c r="O986" s="21" t="str">
        <x:v>rule_generated_from_official_table</x:v>
      </x:c>
      <x:c r="P986" s="21" t="n">
        <x:v>17</x:v>
      </x:c>
      <x:c r="Q986" s="21" t="str">
        <x:v>https://doxa.billmounce.com/Flashcards%20%28BBG%29.pdf</x:v>
      </x:c>
      <x:c r="R986" s="16" t="str"/>
    </x:row>
    <x:row r="987" ht="28" customHeight="1">
      <x:c r="A987" s="21" t="n">
        <x:v>983</x:v>
      </x:c>
      <x:c r="B987" s="21" t="n">
        <x:f>ROUNDUP(A987/50,0)</x:f>
        <x:v>20</x:v>
      </x:c>
      <x:c r="C987" s="21" t="n">
        <x:f>MOD(A987-1,50)+1</x:f>
        <x:v>33</x:v>
      </x:c>
      <x:c r="D987" s="29" t="str">
        <x:v>ἐπαισχύνομαι</x:v>
      </x:c>
      <x:c r="E987" s="29" t="str">
        <x:v>ἐπαισχύνομαι</x:v>
      </x:c>
      <x:c r="F987" s="27" t="str">
        <x:v>epaischunomai</x:v>
      </x:c>
      <x:c r="G987" s="20" t="str">
        <x:v>to feel shame for something</x:v>
      </x:c>
      <x:c r="H987" s="20" t="str"/>
      <x:c r="I987" s="21"/>
      <x:c r="J987" s="21" t="str">
        <x:v>Mounce 頻率延伸</x:v>
      </x:c>
      <x:c r="K987" s="21" t="str">
        <x:v>G1870</x:v>
      </x:c>
      <x:c r="L987" s="21" t="str">
        <x:v>否</x:v>
      </x:c>
      <x:c r="M987" s="21" t="str"/>
      <x:c r="N987" s="21" t="str">
        <x:v>source_and_lexicon_matched</x:v>
      </x:c>
      <x:c r="O987" s="21" t="str">
        <x:v>rule_generated_from_official_table</x:v>
      </x:c>
      <x:c r="P987" s="21" t="n">
        <x:v>17</x:v>
      </x:c>
      <x:c r="Q987" s="21" t="str">
        <x:v>https://doxa.billmounce.com/Flashcards%20%28BBG%29.pdf</x:v>
      </x:c>
      <x:c r="R987" s="16" t="str"/>
    </x:row>
    <x:row r="988" ht="28" customHeight="1">
      <x:c r="A988" s="21" t="n">
        <x:v>984</x:v>
      </x:c>
      <x:c r="B988" s="21" t="n">
        <x:f>ROUNDUP(A988/50,0)</x:f>
        <x:v>20</x:v>
      </x:c>
      <x:c r="C988" s="21" t="n">
        <x:f>MOD(A988-1,50)+1</x:f>
        <x:v>34</x:v>
      </x:c>
      <x:c r="D988" s="29" t="str">
        <x:v>ζηλόω</x:v>
      </x:c>
      <x:c r="E988" s="29" t="str">
        <x:v>ζηλόω</x:v>
      </x:c>
      <x:c r="F988" s="27" t="str">
        <x:v>zēloō</x:v>
      </x:c>
      <x:c r="G988" s="20" t="str">
        <x:v>to have warmth of feeling for or against</x:v>
      </x:c>
      <x:c r="H988" s="20" t="str"/>
      <x:c r="I988" s="21"/>
      <x:c r="J988" s="21" t="str">
        <x:v>Mounce 頻率延伸</x:v>
      </x:c>
      <x:c r="K988" s="21" t="str">
        <x:v>G2206</x:v>
      </x:c>
      <x:c r="L988" s="21" t="str">
        <x:v>否</x:v>
      </x:c>
      <x:c r="M988" s="21" t="str"/>
      <x:c r="N988" s="21" t="str">
        <x:v>source_and_lexicon_matched</x:v>
      </x:c>
      <x:c r="O988" s="21" t="str">
        <x:v>rule_generated_from_official_table</x:v>
      </x:c>
      <x:c r="P988" s="21" t="n">
        <x:v>17</x:v>
      </x:c>
      <x:c r="Q988" s="21" t="str">
        <x:v>https://doxa.billmounce.com/Flashcards%20%28BBG%29.pdf</x:v>
      </x:c>
      <x:c r="R988" s="16" t="str"/>
    </x:row>
    <x:row r="989" ht="28" customHeight="1">
      <x:c r="A989" s="21" t="n">
        <x:v>985</x:v>
      </x:c>
      <x:c r="B989" s="21" t="n">
        <x:f>ROUNDUP(A989/50,0)</x:f>
        <x:v>20</x:v>
      </x:c>
      <x:c r="C989" s="21" t="n">
        <x:f>MOD(A989-1,50)+1</x:f>
        <x:v>35</x:v>
      </x:c>
      <x:c r="D989" s="29" t="str">
        <x:v>θανατόω</x:v>
      </x:c>
      <x:c r="E989" s="29" t="str">
        <x:v>θανατόω</x:v>
      </x:c>
      <x:c r="F989" s="27" t="str">
        <x:v>thanatoō</x:v>
      </x:c>
      <x:c r="G989" s="20" t="str"/>
      <x:c r="H989" s="20" t="str"/>
      <x:c r="I989" s="21"/>
      <x:c r="J989" s="21" t="str">
        <x:v>Mounce 頻率延伸</x:v>
      </x:c>
      <x:c r="K989" s="21" t="str">
        <x:v>G2289</x:v>
      </x:c>
      <x:c r="L989" s="21" t="str">
        <x:v>否</x:v>
      </x:c>
      <x:c r="M989" s="21" t="str"/>
      <x:c r="N989" s="21" t="str">
        <x:v>source_and_lexicon_matched</x:v>
      </x:c>
      <x:c r="O989" s="21" t="str">
        <x:v>rule_generated_from_official_table</x:v>
      </x:c>
      <x:c r="P989" s="21" t="n">
        <x:v>17</x:v>
      </x:c>
      <x:c r="Q989" s="21" t="str">
        <x:v>https://doxa.billmounce.com/Flashcards%20%28BBG%29.pdf</x:v>
      </x:c>
      <x:c r="R989" s="16" t="str"/>
    </x:row>
    <x:row r="990" ht="28" customHeight="1">
      <x:c r="A990" s="21" t="n">
        <x:v>986</x:v>
      </x:c>
      <x:c r="B990" s="21" t="n">
        <x:f>ROUNDUP(A990/50,0)</x:f>
        <x:v>20</x:v>
      </x:c>
      <x:c r="C990" s="21" t="n">
        <x:f>MOD(A990-1,50)+1</x:f>
        <x:v>36</x:v>
      </x:c>
      <x:c r="D990" s="29" t="str">
        <x:v>καταβολή, -ῆς, ἡ</x:v>
      </x:c>
      <x:c r="E990" s="29" t="str">
        <x:v>καταβολή</x:v>
      </x:c>
      <x:c r="F990" s="27" t="str">
        <x:v>katabolē</x:v>
      </x:c>
      <x:c r="G990" s="20" t="str">
        <x:v>a deposition, i.e. founding; figuratively, conception</x:v>
      </x:c>
      <x:c r="H990" s="20" t="str"/>
      <x:c r="I990" s="21"/>
      <x:c r="J990" s="21" t="str">
        <x:v>Mounce 頻率延伸</x:v>
      </x:c>
      <x:c r="K990" s="21" t="str">
        <x:v>G2602</x:v>
      </x:c>
      <x:c r="L990" s="21" t="str">
        <x:v>否</x:v>
      </x:c>
      <x:c r="M990" s="21" t="str"/>
      <x:c r="N990" s="21" t="str">
        <x:v>source_and_lexicon_matched</x:v>
      </x:c>
      <x:c r="O990" s="21" t="str">
        <x:v>rule_generated_from_official_table</x:v>
      </x:c>
      <x:c r="P990" s="21" t="n">
        <x:v>17</x:v>
      </x:c>
      <x:c r="Q990" s="21" t="str">
        <x:v>https://doxa.billmounce.com/Flashcards%20%28BBG%29.pdf</x:v>
      </x:c>
      <x:c r="R990" s="16" t="str"/>
    </x:row>
    <x:row r="991" ht="28" customHeight="1">
      <x:c r="A991" s="21" t="n">
        <x:v>987</x:v>
      </x:c>
      <x:c r="B991" s="21" t="n">
        <x:f>ROUNDUP(A991/50,0)</x:f>
        <x:v>20</x:v>
      </x:c>
      <x:c r="C991" s="21" t="n">
        <x:f>MOD(A991-1,50)+1</x:f>
        <x:v>37</x:v>
      </x:c>
      <x:c r="D991" s="29" t="str">
        <x:v>καύχημα, -ατος, τό</x:v>
      </x:c>
      <x:c r="E991" s="29" t="str">
        <x:v>καύχημα</x:v>
      </x:c>
      <x:c r="F991" s="27" t="str">
        <x:v>kauchēma</x:v>
      </x:c>
      <x:c r="G991" s="20" t="str">
        <x:v>a boast (properly, the object; by implication, the act) in a good or a bad sense</x:v>
      </x:c>
      <x:c r="H991" s="20" t="str"/>
      <x:c r="I991" s="21"/>
      <x:c r="J991" s="21" t="str">
        <x:v>Mounce 頻率延伸</x:v>
      </x:c>
      <x:c r="K991" s="21" t="str">
        <x:v>G2745</x:v>
      </x:c>
      <x:c r="L991" s="21" t="str">
        <x:v>否</x:v>
      </x:c>
      <x:c r="M991" s="21" t="str"/>
      <x:c r="N991" s="21" t="str">
        <x:v>source_and_lexicon_matched</x:v>
      </x:c>
      <x:c r="O991" s="21" t="str">
        <x:v>rule_generated_from_official_table</x:v>
      </x:c>
      <x:c r="P991" s="21" t="n">
        <x:v>17</x:v>
      </x:c>
      <x:c r="Q991" s="21" t="str">
        <x:v>https://doxa.billmounce.com/Flashcards%20%28BBG%29.pdf</x:v>
      </x:c>
      <x:c r="R991" s="16" t="str"/>
    </x:row>
    <x:row r="992" ht="28" customHeight="1">
      <x:c r="A992" s="21" t="n">
        <x:v>988</x:v>
      </x:c>
      <x:c r="B992" s="21" t="n">
        <x:f>ROUNDUP(A992/50,0)</x:f>
        <x:v>20</x:v>
      </x:c>
      <x:c r="C992" s="21" t="n">
        <x:f>MOD(A992-1,50)+1</x:f>
        <x:v>38</x:v>
      </x:c>
      <x:c r="D992" s="29" t="str">
        <x:v>καύχησις, -εως, ἡ</x:v>
      </x:c>
      <x:c r="E992" s="29" t="str">
        <x:v>καύχησις</x:v>
      </x:c>
      <x:c r="F992" s="27" t="str">
        <x:v>kauchēsis</x:v>
      </x:c>
      <x:c r="G992" s="20" t="str">
        <x:v>boasting (properly, the act; by implication, the object), in a good or a bad sense</x:v>
      </x:c>
      <x:c r="H992" s="20" t="str"/>
      <x:c r="I992" s="21"/>
      <x:c r="J992" s="21" t="str">
        <x:v>Mounce 頻率延伸</x:v>
      </x:c>
      <x:c r="K992" s="21" t="str">
        <x:v>G2746</x:v>
      </x:c>
      <x:c r="L992" s="21" t="str">
        <x:v>否</x:v>
      </x:c>
      <x:c r="M992" s="21" t="str"/>
      <x:c r="N992" s="21" t="str">
        <x:v>source_and_lexicon_matched</x:v>
      </x:c>
      <x:c r="O992" s="21" t="str">
        <x:v>rule_generated_from_official_table</x:v>
      </x:c>
      <x:c r="P992" s="21" t="n">
        <x:v>17</x:v>
      </x:c>
      <x:c r="Q992" s="21" t="str">
        <x:v>https://doxa.billmounce.com/Flashcards%20%28BBG%29.pdf</x:v>
      </x:c>
      <x:c r="R992" s="16" t="str"/>
    </x:row>
    <x:row r="993" ht="28" customHeight="1">
      <x:c r="A993" s="21" t="n">
        <x:v>989</x:v>
      </x:c>
      <x:c r="B993" s="21" t="n">
        <x:f>ROUNDUP(A993/50,0)</x:f>
        <x:v>20</x:v>
      </x:c>
      <x:c r="C993" s="21" t="n">
        <x:f>MOD(A993-1,50)+1</x:f>
        <x:v>39</x:v>
      </x:c>
      <x:c r="D993" s="29" t="str">
        <x:v>κλῆσις, εως, ἡ</x:v>
      </x:c>
      <x:c r="E993" s="29" t="str">
        <x:v>κλῆσις</x:v>
      </x:c>
      <x:c r="F993" s="27" t="str">
        <x:v>klēsis</x:v>
      </x:c>
      <x:c r="G993" s="20" t="str">
        <x:v>an invitation (figuratively)</x:v>
      </x:c>
      <x:c r="H993" s="20" t="str"/>
      <x:c r="I993" s="21"/>
      <x:c r="J993" s="21" t="str">
        <x:v>Mounce 頻率延伸</x:v>
      </x:c>
      <x:c r="K993" s="21" t="str">
        <x:v>G2821</x:v>
      </x:c>
      <x:c r="L993" s="21" t="str">
        <x:v>否</x:v>
      </x:c>
      <x:c r="M993" s="21" t="str"/>
      <x:c r="N993" s="21" t="str">
        <x:v>source_and_lexicon_matched</x:v>
      </x:c>
      <x:c r="O993" s="21" t="str">
        <x:v>rule_generated_from_official_table</x:v>
      </x:c>
      <x:c r="P993" s="21" t="n">
        <x:v>17</x:v>
      </x:c>
      <x:c r="Q993" s="21" t="str">
        <x:v>https://doxa.billmounce.com/Flashcards%20%28BBG%29.pdf</x:v>
      </x:c>
      <x:c r="R993" s="16" t="str"/>
    </x:row>
    <x:row r="994" ht="28" customHeight="1">
      <x:c r="A994" s="21" t="n">
        <x:v>990</x:v>
      </x:c>
      <x:c r="B994" s="21" t="n">
        <x:f>ROUNDUP(A994/50,0)</x:f>
        <x:v>20</x:v>
      </x:c>
      <x:c r="C994" s="21" t="n">
        <x:f>MOD(A994-1,50)+1</x:f>
        <x:v>40</x:v>
      </x:c>
      <x:c r="D994" s="29" t="str">
        <x:v>πραΰτης, -ῆτος, ἡ</x:v>
      </x:c>
      <x:c r="E994" s="29" t="str">
        <x:v>πραΰτης</x:v>
      </x:c>
      <x:c r="F994" s="27" t="str">
        <x:v>prautēs</x:v>
      </x:c>
      <x:c r="G994" s="20" t="str">
        <x:v>mildness, i.e. (by implication) humility</x:v>
      </x:c>
      <x:c r="H994" s="20" t="str"/>
      <x:c r="I994" s="21"/>
      <x:c r="J994" s="21" t="str">
        <x:v>Mounce 頻率延伸</x:v>
      </x:c>
      <x:c r="K994" s="21" t="str">
        <x:v>G4240</x:v>
      </x:c>
      <x:c r="L994" s="21" t="str">
        <x:v>否</x:v>
      </x:c>
      <x:c r="M994" s="21" t="str"/>
      <x:c r="N994" s="21" t="str">
        <x:v>source_and_lexicon_matched</x:v>
      </x:c>
      <x:c r="O994" s="21" t="str">
        <x:v>rule_generated_from_official_table</x:v>
      </x:c>
      <x:c r="P994" s="21" t="n">
        <x:v>17</x:v>
      </x:c>
      <x:c r="Q994" s="21" t="str">
        <x:v>https://doxa.billmounce.com/Flashcards%20%28BBG%29.pdf</x:v>
      </x:c>
      <x:c r="R994" s="16" t="str"/>
    </x:row>
    <x:row r="995" ht="28" customHeight="1">
      <x:c r="A995" s="21" t="n">
        <x:v>991</x:v>
      </x:c>
      <x:c r="B995" s="21" t="n">
        <x:f>ROUNDUP(A995/50,0)</x:f>
        <x:v>20</x:v>
      </x:c>
      <x:c r="C995" s="21" t="n">
        <x:f>MOD(A995-1,50)+1</x:f>
        <x:v>41</x:v>
      </x:c>
      <x:c r="D995" s="29" t="str">
        <x:v>σπλάγχνον, -ου, τό</x:v>
      </x:c>
      <x:c r="E995" s="29" t="str">
        <x:v>σπλάγχνον</x:v>
      </x:c>
      <x:c r="F995" s="27" t="str">
        <x:v>splanchnon</x:v>
      </x:c>
      <x:c r="G995" s="20" t="str">
        <x:v>an intestine (plural); figuratively, pity or sympathy</x:v>
      </x:c>
      <x:c r="H995" s="20" t="str"/>
      <x:c r="I995" s="21"/>
      <x:c r="J995" s="21" t="str">
        <x:v>Mounce 頻率延伸</x:v>
      </x:c>
      <x:c r="K995" s="21" t="str">
        <x:v>G4698</x:v>
      </x:c>
      <x:c r="L995" s="21" t="str">
        <x:v>否</x:v>
      </x:c>
      <x:c r="M995" s="21" t="str"/>
      <x:c r="N995" s="21" t="str">
        <x:v>source_and_lexicon_matched</x:v>
      </x:c>
      <x:c r="O995" s="21" t="str">
        <x:v>rule_generated_from_official_table</x:v>
      </x:c>
      <x:c r="P995" s="21" t="n">
        <x:v>17</x:v>
      </x:c>
      <x:c r="Q995" s="21" t="str">
        <x:v>https://doxa.billmounce.com/Flashcards%20%28BBG%29.pdf</x:v>
      </x:c>
      <x:c r="R995" s="16" t="str"/>
    </x:row>
    <x:row r="996" ht="28" customHeight="1">
      <x:c r="A996" s="21" t="n">
        <x:v>992</x:v>
      </x:c>
      <x:c r="B996" s="21" t="n">
        <x:f>ROUNDUP(A996/50,0)</x:f>
        <x:v>20</x:v>
      </x:c>
      <x:c r="C996" s="21" t="n">
        <x:f>MOD(A996-1,50)+1</x:f>
        <x:v>42</x:v>
      </x:c>
      <x:c r="D996" s="29" t="str">
        <x:v>σχίζω</x:v>
      </x:c>
      <x:c r="E996" s="29" t="str">
        <x:v>σχίζω</x:v>
      </x:c>
      <x:c r="F996" s="27" t="str">
        <x:v>schizō</x:v>
      </x:c>
      <x:c r="G996" s="20" t="str">
        <x:v>to split or sever (literally or figuratively)</x:v>
      </x:c>
      <x:c r="H996" s="20" t="str"/>
      <x:c r="I996" s="21"/>
      <x:c r="J996" s="21" t="str">
        <x:v>Mounce 頻率延伸</x:v>
      </x:c>
      <x:c r="K996" s="21" t="str">
        <x:v>G4977</x:v>
      </x:c>
      <x:c r="L996" s="21" t="str">
        <x:v>否</x:v>
      </x:c>
      <x:c r="M996" s="21" t="str"/>
      <x:c r="N996" s="21" t="str">
        <x:v>source_and_lexicon_matched</x:v>
      </x:c>
      <x:c r="O996" s="21" t="str">
        <x:v>rule_generated_from_official_table</x:v>
      </x:c>
      <x:c r="P996" s="21" t="n">
        <x:v>17</x:v>
      </x:c>
      <x:c r="Q996" s="21" t="str">
        <x:v>https://doxa.billmounce.com/Flashcards%20%28BBG%29.pdf</x:v>
      </x:c>
      <x:c r="R996" s="16" t="str"/>
    </x:row>
    <x:row r="997" ht="28" customHeight="1">
      <x:c r="A997" s="21" t="n">
        <x:v>993</x:v>
      </x:c>
      <x:c r="B997" s="21" t="n">
        <x:f>ROUNDUP(A997/50,0)</x:f>
        <x:v>20</x:v>
      </x:c>
      <x:c r="C997" s="21" t="n">
        <x:f>MOD(A997-1,50)+1</x:f>
        <x:v>43</x:v>
      </x:c>
      <x:c r="D997" s="29" t="str">
        <x:v>ἁγιασμός, -οῦ, ὁ</x:v>
      </x:c>
      <x:c r="E997" s="29" t="str">
        <x:v>ἁγιασμός</x:v>
      </x:c>
      <x:c r="F997" s="27" t="str">
        <x:v>hagiasmos</x:v>
      </x:c>
      <x:c r="G997" s="20" t="str">
        <x:v>properly, purification, i.e. (the state) purity; concretely (by Hebraism) a purifier</x:v>
      </x:c>
      <x:c r="H997" s="20" t="str"/>
      <x:c r="I997" s="21"/>
      <x:c r="J997" s="21" t="str">
        <x:v>Mounce 頻率延伸</x:v>
      </x:c>
      <x:c r="K997" s="21" t="str">
        <x:v>G38</x:v>
      </x:c>
      <x:c r="L997" s="21" t="str">
        <x:v>否</x:v>
      </x:c>
      <x:c r="M997" s="21" t="str"/>
      <x:c r="N997" s="21" t="str">
        <x:v>source_and_lexicon_matched</x:v>
      </x:c>
      <x:c r="O997" s="21" t="str">
        <x:v>rule_generated_from_official_table</x:v>
      </x:c>
      <x:c r="P997" s="21" t="n">
        <x:v>17</x:v>
      </x:c>
      <x:c r="Q997" s="21" t="str">
        <x:v>https://doxa.billmounce.com/Flashcards%20%28BBG%29.pdf</x:v>
      </x:c>
      <x:c r="R997" s="16" t="str"/>
    </x:row>
    <x:row r="998" ht="28" customHeight="1">
      <x:c r="A998" s="21" t="n">
        <x:v>994</x:v>
      </x:c>
      <x:c r="B998" s="21" t="n">
        <x:f>ROUNDUP(A998/50,0)</x:f>
        <x:v>20</x:v>
      </x:c>
      <x:c r="C998" s="21" t="n">
        <x:f>MOD(A998-1,50)+1</x:f>
        <x:v>44</x:v>
      </x:c>
      <x:c r="D998" s="29" t="str">
        <x:v>ἀπολύτρωσις, -εως, ἡ</x:v>
      </x:c>
      <x:c r="E998" s="29" t="str">
        <x:v>ἀπολύτρωσις</x:v>
      </x:c>
      <x:c r="F998" s="27" t="str">
        <x:v>apolutrōsis</x:v>
      </x:c>
      <x:c r="G998" s="20" t="str">
        <x:v>(the act) ransom in full, i.e. (figuratively) riddance, or (specially) Christian salvation</x:v>
      </x:c>
      <x:c r="H998" s="20" t="str"/>
      <x:c r="I998" s="21"/>
      <x:c r="J998" s="21" t="str">
        <x:v>Mounce 頻率延伸</x:v>
      </x:c>
      <x:c r="K998" s="21" t="str">
        <x:v>G629</x:v>
      </x:c>
      <x:c r="L998" s="21" t="str">
        <x:v>否</x:v>
      </x:c>
      <x:c r="M998" s="21" t="str"/>
      <x:c r="N998" s="21" t="str">
        <x:v>source_and_lexicon_matched</x:v>
      </x:c>
      <x:c r="O998" s="21" t="str">
        <x:v>rule_generated_from_official_table</x:v>
      </x:c>
      <x:c r="P998" s="21" t="n">
        <x:v>17</x:v>
      </x:c>
      <x:c r="Q998" s="21" t="str">
        <x:v>https://doxa.billmounce.com/Flashcards%20%28BBG%29.pdf</x:v>
      </x:c>
      <x:c r="R998" s="16" t="str"/>
    </x:row>
    <x:row r="999" ht="28" customHeight="1">
      <x:c r="A999" s="21" t="n">
        <x:v>995</x:v>
      </x:c>
      <x:c r="B999" s="21" t="n">
        <x:f>ROUNDUP(A999/50,0)</x:f>
        <x:v>20</x:v>
      </x:c>
      <x:c r="C999" s="21" t="n">
        <x:f>MOD(A999-1,50)+1</x:f>
        <x:v>45</x:v>
      </x:c>
      <x:c r="D999" s="29" t="str">
        <x:v>βίβλος, -ου, ἡ</x:v>
      </x:c>
      <x:c r="E999" s="29" t="str">
        <x:v>βίβλος</x:v>
      </x:c>
      <x:c r="F999" s="27" t="str">
        <x:v>biblos</x:v>
      </x:c>
      <x:c r="G999" s="20" t="str"/>
      <x:c r="H999" s="20" t="str"/>
      <x:c r="I999" s="21"/>
      <x:c r="J999" s="21" t="str">
        <x:v>Mounce 頻率延伸</x:v>
      </x:c>
      <x:c r="K999" s="21" t="str">
        <x:v>G976</x:v>
      </x:c>
      <x:c r="L999" s="21" t="str">
        <x:v>否</x:v>
      </x:c>
      <x:c r="M999" s="21" t="str"/>
      <x:c r="N999" s="21" t="str">
        <x:v>source_and_lexicon_matched</x:v>
      </x:c>
      <x:c r="O999" s="21" t="str">
        <x:v>rule_generated_from_official_table</x:v>
      </x:c>
      <x:c r="P999" s="21" t="n">
        <x:v>17</x:v>
      </x:c>
      <x:c r="Q999" s="21" t="str">
        <x:v>https://doxa.billmounce.com/Flashcards%20%28BBG%29.pdf</x:v>
      </x:c>
      <x:c r="R999" s="16" t="str"/>
    </x:row>
    <x:row r="1000" ht="28" customHeight="1">
      <x:c r="A1000" s="21" t="n">
        <x:v>996</x:v>
      </x:c>
      <x:c r="B1000" s="21" t="n">
        <x:f>ROUNDUP(A1000/50,0)</x:f>
        <x:v>20</x:v>
      </x:c>
      <x:c r="C1000" s="21" t="n">
        <x:f>MOD(A1000-1,50)+1</x:f>
        <x:v>46</x:v>
      </x:c>
      <x:c r="D1000" s="29" t="str">
        <x:v>βίος, -ου, ὁ</x:v>
      </x:c>
      <x:c r="E1000" s="29" t="str">
        <x:v>βίος</x:v>
      </x:c>
      <x:c r="F1000" s="27" t="str">
        <x:v>bios</x:v>
      </x:c>
      <x:c r="G1000" s="20" t="str">
        <x:v>life, i.e. (literally) the present state of existence; by implication, the means of livelihood</x:v>
      </x:c>
      <x:c r="H1000" s="20" t="str"/>
      <x:c r="I1000" s="21"/>
      <x:c r="J1000" s="21" t="str">
        <x:v>Mounce 頻率延伸</x:v>
      </x:c>
      <x:c r="K1000" s="21" t="str">
        <x:v>G979</x:v>
      </x:c>
      <x:c r="L1000" s="21" t="str">
        <x:v>否</x:v>
      </x:c>
      <x:c r="M1000" s="21" t="str"/>
      <x:c r="N1000" s="21" t="str">
        <x:v>source_and_lexicon_matched</x:v>
      </x:c>
      <x:c r="O1000" s="21" t="str">
        <x:v>rule_generated_from_official_table</x:v>
      </x:c>
      <x:c r="P1000" s="21" t="n">
        <x:v>17</x:v>
      </x:c>
      <x:c r="Q1000" s="21" t="str">
        <x:v>https://doxa.billmounce.com/Flashcards%20%28BBG%29.pdf</x:v>
      </x:c>
      <x:c r="R1000" s="16" t="str"/>
    </x:row>
    <x:row r="1001" ht="28" customHeight="1">
      <x:c r="A1001" s="21" t="n">
        <x:v>997</x:v>
      </x:c>
      <x:c r="B1001" s="21" t="n">
        <x:f>ROUNDUP(A1001/50,0)</x:f>
        <x:v>20</x:v>
      </x:c>
      <x:c r="C1001" s="21" t="n">
        <x:f>MOD(A1001-1,50)+1</x:f>
        <x:v>47</x:v>
      </x:c>
      <x:c r="D1001" s="29" t="str">
        <x:v>δικαίωμα, -ατος, τό</x:v>
      </x:c>
      <x:c r="E1001" s="29" t="str">
        <x:v>δικαίωμα</x:v>
      </x:c>
      <x:c r="F1001" s="27" t="str">
        <x:v>dikaiōma</x:v>
      </x:c>
      <x:c r="G1001" s="20" t="str">
        <x:v>an equitable deed; by implication, a statute or decision</x:v>
      </x:c>
      <x:c r="H1001" s="20" t="str"/>
      <x:c r="I1001" s="21"/>
      <x:c r="J1001" s="21" t="str">
        <x:v>Mounce 頻率延伸</x:v>
      </x:c>
      <x:c r="K1001" s="21" t="str">
        <x:v>G1345</x:v>
      </x:c>
      <x:c r="L1001" s="21" t="str">
        <x:v>否</x:v>
      </x:c>
      <x:c r="M1001" s="21" t="str"/>
      <x:c r="N1001" s="21" t="str">
        <x:v>source_and_lexicon_matched</x:v>
      </x:c>
      <x:c r="O1001" s="21" t="str">
        <x:v>rule_generated_from_official_table</x:v>
      </x:c>
      <x:c r="P1001" s="21" t="n">
        <x:v>17</x:v>
      </x:c>
      <x:c r="Q1001" s="21" t="str">
        <x:v>https://doxa.billmounce.com/Flashcards%20%28BBG%29.pdf</x:v>
      </x:c>
      <x:c r="R1001" s="16" t="str"/>
    </x:row>
    <x:row r="1002" ht="28" customHeight="1">
      <x:c r="A1002" s="21" t="n">
        <x:v>998</x:v>
      </x:c>
      <x:c r="B1002" s="21" t="n">
        <x:f>ROUNDUP(A1002/50,0)</x:f>
        <x:v>20</x:v>
      </x:c>
      <x:c r="C1002" s="21" t="n">
        <x:f>MOD(A1002-1,50)+1</x:f>
        <x:v>48</x:v>
      </x:c>
      <x:c r="D1002" s="29" t="str">
        <x:v>ἐξομολογέω</x:v>
      </x:c>
      <x:c r="E1002" s="29" t="str">
        <x:v>ἐξομολογέω</x:v>
      </x:c>
      <x:c r="F1002" s="27" t="str">
        <x:v>exomologeō</x:v>
      </x:c>
      <x:c r="G1002" s="20" t="str">
        <x:v>to acknowledge or (by implication, of assent) agree fully</x:v>
      </x:c>
      <x:c r="H1002" s="20" t="str"/>
      <x:c r="I1002" s="21"/>
      <x:c r="J1002" s="21" t="str">
        <x:v>Mounce 頻率延伸</x:v>
      </x:c>
      <x:c r="K1002" s="21" t="str">
        <x:v>G1843</x:v>
      </x:c>
      <x:c r="L1002" s="21" t="str">
        <x:v>否</x:v>
      </x:c>
      <x:c r="M1002" s="21" t="str"/>
      <x:c r="N1002" s="21" t="str">
        <x:v>source_and_lexicon_matched</x:v>
      </x:c>
      <x:c r="O1002" s="21" t="str">
        <x:v>rule_generated_from_official_table</x:v>
      </x:c>
      <x:c r="P1002" s="21" t="n">
        <x:v>17</x:v>
      </x:c>
      <x:c r="Q1002" s="21" t="str">
        <x:v>https://doxa.billmounce.com/Flashcards%20%28BBG%29.pdf</x:v>
      </x:c>
      <x:c r="R1002" s="16" t="str"/>
    </x:row>
    <x:row r="1003" ht="28" customHeight="1">
      <x:c r="A1003" s="21" t="n">
        <x:v>999</x:v>
      </x:c>
      <x:c r="B1003" s="21" t="n">
        <x:f>ROUNDUP(A1003/50,0)</x:f>
        <x:v>20</x:v>
      </x:c>
      <x:c r="C1003" s="21" t="n">
        <x:f>MOD(A1003-1,50)+1</x:f>
        <x:v>49</x:v>
      </x:c>
      <x:c r="D1003" s="29" t="str">
        <x:v>κλητός, -ή, -όν</x:v>
      </x:c>
      <x:c r="E1003" s="29" t="str">
        <x:v>κλητός</x:v>
      </x:c>
      <x:c r="F1003" s="27" t="str">
        <x:v>klētos</x:v>
      </x:c>
      <x:c r="G1003" s="20" t="str">
        <x:v>invited, i.e. appointed, or (specially), a saint</x:v>
      </x:c>
      <x:c r="H1003" s="20" t="str"/>
      <x:c r="I1003" s="21"/>
      <x:c r="J1003" s="21" t="str">
        <x:v>Mounce 頻率延伸</x:v>
      </x:c>
      <x:c r="K1003" s="21" t="str">
        <x:v>G2822</x:v>
      </x:c>
      <x:c r="L1003" s="21" t="str">
        <x:v>否</x:v>
      </x:c>
      <x:c r="M1003" s="21" t="str"/>
      <x:c r="N1003" s="21" t="str">
        <x:v>source_and_lexicon_matched</x:v>
      </x:c>
      <x:c r="O1003" s="21" t="str">
        <x:v>rule_generated_from_official_table</x:v>
      </x:c>
      <x:c r="P1003" s="21" t="n">
        <x:v>17</x:v>
      </x:c>
      <x:c r="Q1003" s="21" t="str">
        <x:v>https://doxa.billmounce.com/Flashcards%20%28BBG%29.pdf</x:v>
      </x:c>
      <x:c r="R1003" s="16" t="str"/>
    </x:row>
    <x:row r="1004" ht="28" customHeight="1">
      <x:c r="A1004" s="21" t="n">
        <x:v>1000</x:v>
      </x:c>
      <x:c r="B1004" s="21" t="n">
        <x:f>ROUNDUP(A1004/50,0)</x:f>
        <x:v>20</x:v>
      </x:c>
      <x:c r="C1004" s="21" t="n">
        <x:f>MOD(A1004-1,50)+1</x:f>
        <x:v>50</x:v>
      </x:c>
      <x:c r="D1004" s="29" t="str">
        <x:v>μακροθυμέω</x:v>
      </x:c>
      <x:c r="E1004" s="29" t="str">
        <x:v>μακροθυμέω</x:v>
      </x:c>
      <x:c r="F1004" s="27" t="str">
        <x:v>makrothumeō</x:v>
      </x:c>
      <x:c r="G1004" s="20" t="str">
        <x:v>to be long-spirited, i.e. (objectively) forbearing or (subjectively) patient</x:v>
      </x:c>
      <x:c r="H1004" s="20" t="str"/>
      <x:c r="I1004" s="21"/>
      <x:c r="J1004" s="21" t="str">
        <x:v>Mounce 頻率延伸</x:v>
      </x:c>
      <x:c r="K1004" s="21" t="str">
        <x:v>G3114</x:v>
      </x:c>
      <x:c r="L1004" s="21" t="str">
        <x:v>否</x:v>
      </x:c>
      <x:c r="M1004" s="21" t="str"/>
      <x:c r="N1004" s="21" t="str">
        <x:v>source_and_lexicon_matched</x:v>
      </x:c>
      <x:c r="O1004" s="21" t="str">
        <x:v>rule_generated_from_official_table</x:v>
      </x:c>
      <x:c r="P1004" s="21" t="n">
        <x:v>17</x:v>
      </x:c>
      <x:c r="Q1004" s="21" t="str">
        <x:v>https://doxa.billmounce.com/Flashcards%20%28BBG%29.pdf</x:v>
      </x:c>
      <x:c r="R1004" s="16" t="str"/>
    </x:row>
  </x:sheetData>
  <x:mergeCells>
    <x:mergeCell ref="A1:R1"/>
    <x:mergeCell ref="A2:R2"/>
  </x:mergeCells>
  <x:conditionalFormatting sqref="J5:J1004">
    <x:cfRule type="containsText" dxfId="3" priority="1" operator="containsText" text="頻率延伸"/>
  </x:conditionalFormatting>
  <x:conditionalFormatting sqref="L5:L1004">
    <x:cfRule type="containsText" dxfId="4" priority="2" operator="containsText" text="是"/>
  </x:conditionalFormatting>
  <x:conditionalFormatting sqref="N5:N1004">
    <x:cfRule type="containsText" dxfId="5" priority="3" operator="containsText" text="pending"/>
  </x:conditionalFormatting>
  <x:pageMargins left="0.7" right="0.7" top="0.75" bottom="0.75" header="0.3" footer="0.3"/>
  <x:tableParts count="1">
    <x:tablePart xmlns:r="http://schemas.openxmlformats.org/officeDocument/2006/relationships" r:id="Rd87f8df02cce457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8" hidden="0" customWidth="1"/>
    <x:col min="2" max="2" width="16" hidden="0" customWidth="1"/>
    <x:col min="3" max="3" width="13" hidden="0" customWidth="1"/>
    <x:col min="4" max="4" width="14" hidden="0" customWidth="1"/>
    <x:col min="5" max="5" width="13" hidden="0" customWidth="1"/>
    <x:col min="6" max="6" width="10" hidden="0" customWidth="1"/>
    <x:col min="7" max="7" width="42" hidden="0" customWidth="1"/>
    <x:col min="8" max="8" width="42" hidden="0" customWidth="1"/>
  </x:cols>
  <x:sheetData>
    <x:row r="1" ht="34" customHeight="1">
      <x:c r="A1" s="4" t="str">
        <x:v>希臘文 20 組製作表</x:v>
      </x:c>
      <x:c r="B1" s="4" t="str">
        <x:v>希臘文 20 組製作表</x:v>
      </x:c>
      <x:c r="C1" s="4" t="str">
        <x:v>希臘文 20 組製作表</x:v>
      </x:c>
      <x:c r="D1" s="4" t="str">
        <x:v>希臘文 20 組製作表</x:v>
      </x:c>
      <x:c r="E1" s="4" t="str">
        <x:v>希臘文 20 組製作表</x:v>
      </x:c>
      <x:c r="F1" s="4" t="str">
        <x:v>希臘文 20 組製作表</x:v>
      </x:c>
      <x:c r="G1" s="4" t="str">
        <x:v>希臘文 20 組製作表</x:v>
      </x:c>
      <x:c r="H1" s="4" t="str">
        <x:v>希臘文 20 組製作表</x:v>
      </x:c>
    </x:row>
    <x:row r="2" ht="28" customHeight="1">
      <x:c r="A2" s="7" t="str">
        <x:v>每組 50 詞；BBG 課序與 Mounce 官方頻率延伸保持原始順序。</x:v>
      </x:c>
      <x:c r="B2" s="7" t="str">
        <x:v>每組 50 詞；BBG 課序與 Mounce 官方頻率延伸保持原始順序。</x:v>
      </x:c>
      <x:c r="C2" s="7" t="str">
        <x:v>每組 50 詞；BBG 課序與 Mounce 官方頻率延伸保持原始順序。</x:v>
      </x:c>
      <x:c r="D2" s="7" t="str">
        <x:v>每組 50 詞；BBG 課序與 Mounce 官方頻率延伸保持原始順序。</x:v>
      </x:c>
      <x:c r="E2" s="7" t="str">
        <x:v>每組 50 詞；BBG 課序與 Mounce 官方頻率延伸保持原始順序。</x:v>
      </x:c>
      <x:c r="F2" s="7" t="str">
        <x:v>每組 50 詞；BBG 課序與 Mounce 官方頻率延伸保持原始順序。</x:v>
      </x:c>
      <x:c r="G2" s="7" t="str">
        <x:v>每組 50 詞；BBG 課序與 Mounce 官方頻率延伸保持原始順序。</x:v>
      </x:c>
      <x:c r="H2" s="7" t="str">
        <x:v>每組 50 詞；BBG 課序與 Mounce 官方頻率延伸保持原始順序。</x:v>
      </x:c>
    </x:row>
    <x:row r="4" ht="30" customHeight="1">
      <x:c r="A4" s="13" t="str">
        <x:v>組次</x:v>
      </x:c>
      <x:c r="B4" s="13" t="str">
        <x:v>序號範圍</x:v>
      </x:c>
      <x:c r="C4" s="13" t="str">
        <x:v>BBG 課序詞</x:v>
      </x:c>
      <x:c r="D4" s="13" t="str">
        <x:v>頻率延伸詞</x:v>
      </x:c>
      <x:c r="E4" s="13" t="str">
        <x:v>專名／族名</x:v>
      </x:c>
      <x:c r="F4" s="13" t="str">
        <x:v>完整性</x:v>
      </x:c>
      <x:c r="G4" s="13" t="str">
        <x:v>前 25 詞</x:v>
      </x:c>
      <x:c r="H4" s="13" t="str">
        <x:v>後 25 詞</x:v>
      </x:c>
    </x:row>
    <x:row r="5" ht="390" customHeight="1">
      <x:c r="A5" s="21" t="n">
        <x:v>1</x:v>
      </x:c>
      <x:c r="B5" s="21" t="str">
        <x:f>"第 "&amp;((A5-1)*50+1)&amp;"–"&amp;(A5*50)&amp;" 詞"</x:f>
        <x:v>第 1–50 詞</x:v>
      </x:c>
      <x:c r="C5" s="21" t="n">
        <x:f>COUNTIFS('希臘文1000詞'!$B$5:$B$1004,A5,'希臘文1000詞'!$J$5:$J$1004,"BBG 課序")</x:f>
        <x:v>50</x:v>
      </x:c>
      <x:c r="D5" s="21" t="n">
        <x:f>COUNTIFS('希臘文1000詞'!$B$5:$B$1004,A5,'希臘文1000詞'!$J$5:$J$1004,"Mounce 頻率延伸")</x:f>
        <x:v>0</x:v>
      </x:c>
      <x:c r="E5" s="21" t="n">
        <x:f>COUNTIFS('希臘文1000詞'!$B$5:$B$1004,A5,'希臘文1000詞'!$L$5:$L$1004,"是")</x:f>
        <x:v>9</x:v>
      </x:c>
      <x:c r="F5" s="21" t="str">
        <x:f>IF(C5+D5=50,"完整","檢查")</x:f>
        <x:v>完整</x:v>
      </x:c>
      <x:c r="G5" s="32" t="str">
        <x:v>01. ἄγγελος  /  angelos
02. ἀμήν  /  amēn
03. ἄνθρωπος  /  anthrōpos
04. ἀπόστολος  /  apostolos
05. Γαλιλαία  /  Galilaia
06. γραφή  /  graphē
07. δόξα  /  doxa
08. ἐγώ  /  egō
09. ἔσχατος  /  eschatos
10. ζωή  /  zōē
11. θεός  /  theos
12. καί  /  kai
13. καρδία  /  kardia
14. κόσμος  /  kosmos
15. λόγος  /  logos
16. πνεῦμα  /  pneuma
17. προφήτης  /  prophētēs
18. σάββατον  /  sabbaton
19. φωνή  /  phōnē
20. Χριστός  /  Christos
21. Ἀβραάμ  /  Abraam
22. Δαυίδ  /  Dauid
23. Παῦλος  /  Paulos
24. Πέτρος  /  Petros
25. Πιλᾶτος  /  Pilatos</x:v>
      </x:c>
      <x:c r="H5" s="32" t="str">
        <x:v>26. Σίμων  /  Simōn
27. ἀγάπη  /  agapē
28. ἄλλος  /  allos
29. αὐτός  /  autos
30. βασιλεία  /  basileia
31. δέ  /  de
32. ἐν  /  en
33. ἔργον  /  ergon
34. καιρός  /  kairos
35. νῦν  /  nun
36. ὁ  /  ho
37. ὅτι  /  hoti
38. οὐ (οὐκ  /  ououk
39. ὥρα  /  hōra
40. ἁμαρτία  /  hamartia
41. ἀρχή  /  archē
42. γάρ  /  gar
43. εἶπεν  /  eipen
44. εἰς  /  eis
45. ἐξουσία  /  exousia
46. εὐαγγέλιον  /  euangelion
47. Ἰησοῦς  /  Iēsous
48. κύριος  /  kurios
49. μή  /  mē
50. οὐρανός  /  ouranos</x:v>
      </x:c>
    </x:row>
    <x:row r="6" ht="390" customHeight="1">
      <x:c r="A6" s="21" t="n">
        <x:v>2</x:v>
      </x:c>
      <x:c r="B6" s="21" t="str">
        <x:f>"第 "&amp;((A6-1)*50+1)&amp;"–"&amp;(A6*50)&amp;" 詞"</x:f>
        <x:v>第 51–100 詞</x:v>
      </x:c>
      <x:c r="C6" s="21" t="n">
        <x:f>COUNTIFS('希臘文1000詞'!$B$5:$B$1004,A6,'希臘文1000詞'!$J$5:$J$1004,"BBG 課序")</x:f>
        <x:v>50</x:v>
      </x:c>
      <x:c r="D6" s="21" t="n">
        <x:f>COUNTIFS('希臘文1000詞'!$B$5:$B$1004,A6,'希臘文1000詞'!$J$5:$J$1004,"Mounce 頻率延伸")</x:f>
        <x:v>0</x:v>
      </x:c>
      <x:c r="E6" s="21" t="n">
        <x:f>COUNTIFS('希臘文1000詞'!$B$5:$B$1004,A6,'希臘文1000詞'!$L$5:$L$1004,"是")</x:f>
        <x:v>1</x:v>
      </x:c>
      <x:c r="F6" s="21" t="str">
        <x:f>IF(C6+D6=50,"完整","檢查")</x:f>
        <x:v>完整</x:v>
      </x:c>
      <x:c r="G6" s="32" t="str">
        <x:v>01. οὗτος  /  houtos
02. σύ  /  su
03. υἱός  /  huios
04. ὥστε  /  hōste
05. ἀλλά  /  alla
06. ἀπό  /  apo
07. διά  /  dia
08. εἰμί  /  eimi
09. ἐκ (ἐξ)  /  ekex
10. ἡμέρα  /  hēmera
11. ἦν  /  ēn
12. θάλασσα  /  thalassa
13. θάνατος  /  thanatos
14. ἵνα  /  hina
15. Ἰωάννης  /  Iōannēs
16. λέγω  /  legō
17. μετά  /  meta
18. οἰκία  /  oikia
19. οἶκος  /  oikos
20. ὄχλος  /  ochlos
21. παρά  /  para
22. παραβολή  /  parabolē
23. πρός  /  pros
24. ὑπό  /  hupo
25. ἀγαθός  /  agathos</x:v>
      </x:c>
      <x:c r="H6" s="32" t="str">
        <x:v>26. ἅγιος  /  hagios
27. ἀγαπητός  /  agapētos
28. αἰώνιος  /  aiōnios
29. ἀλλήλων  /  allēlōn
30. ἀπεκρίθη  /  apekrithē
31. δοῦλος  /  doulos
32. ἐάν  /  ean
33. ἐμός  /  emos
34. ἐντολή  /  entolē
35. καθώς  /  kathōs
36. κακός  /  kakos
37. μου  /  mou
38. νεκρός  /  nekros
39. πιστός  /  pistos
40. πονηρός  /  ponēros
41. πρῶτος  /  prōtos
42. τρίτος  /  tritos
43. εἰ  /  ei
44. εἰ μή  /  eimē
45. εἷς  /  heis
46. ἤδη  /  ēdē
47. ὄνομα  /  onoma
48. οὐδείς  /  oudeis
49. πᾶς  /  pas
50. περί  /  peri</x:v>
      </x:c>
    </x:row>
    <x:row r="7" ht="390" customHeight="1">
      <x:c r="A7" s="21" t="n">
        <x:v>3</x:v>
      </x:c>
      <x:c r="B7" s="21" t="str">
        <x:f>"第 "&amp;((A7-1)*50+1)&amp;"–"&amp;(A7*50)&amp;" 詞"</x:f>
        <x:v>第 101–150 詞</x:v>
      </x:c>
      <x:c r="C7" s="21" t="n">
        <x:f>COUNTIFS('希臘文1000詞'!$B$5:$B$1004,A7,'希臘文1000詞'!$J$5:$J$1004,"BBG 課序")</x:f>
        <x:v>50</x:v>
      </x:c>
      <x:c r="D7" s="21" t="n">
        <x:f>COUNTIFS('希臘文1000詞'!$B$5:$B$1004,A7,'希臘文1000詞'!$J$5:$J$1004,"Mounce 頻率延伸")</x:f>
        <x:v>0</x:v>
      </x:c>
      <x:c r="E7" s="21" t="n">
        <x:f>COUNTIFS('希臘文1000詞'!$B$5:$B$1004,A7,'希臘文1000詞'!$L$5:$L$1004,"是")</x:f>
        <x:v>0</x:v>
      </x:c>
      <x:c r="F7" s="21" t="str">
        <x:f>IF(C7+D7=50,"完整","檢查")</x:f>
        <x:v>完整</x:v>
      </x:c>
      <x:c r="G7" s="32" t="str">
        <x:v>01. σάρξ  /  sarx
02. σύν  /  sun
03. σῶμα  /  sōma
04. τέκνον  /  teknon
05. τίς  /  tis
06. τις  /  tis
07. ἀδελφός  /  adelphos
08. ἄν  /  an
09. ἀνήρ  /  anēr
10. ἐκκλησία  /  ekklēsia
11. ἐλπίς  /  elpis
12. ἔξω  /  exō
13. ἐπί  /  epi
14. ἡμεῖς  /  hēmeis
15. θέλημα  /  thelēma
16. ἴδε  /  ide
17. ἰδού  /  idou
18. καλός  /  kalos
19. μήτηρ  /  mētēr
20. οὐδέ  /  oude
21. πατήρ  /  patēr
22. πίστις  /  pistis
23. ὕδωρ  /  hudōr
24. ὑμεῖς  /  humeis
25. φῶς  /  phōs</x:v>
      </x:c>
      <x:c r="H7" s="32" t="str">
        <x:v>26. χάρις  /  charis
27. ὧδε  /  hōde
28. αἰών  /  aiōn
29. διδάσκαλος  /  didaskalos
30. εὐθύς  /  euthus
31. ἕως  /  heōs
32. μαθητής  /  mathētēs
33. μέν  /  men
34. μηδείς  /  mēdeis
35. μόνος  /  monos
36. ὅπως  /  hopōs
37. ὅσος  /  hosos
38. οὖν  /  oun
39. ὀφθαλμός  /  ophthalmos
40. πάλιν  /  palin
41. πούς  /  pous
42. ὑπέρ  /  huper
43. γυνή  /  gunē
44. δικαιοσύνη  /  dikaiosunē
45. δώδεκα  /  dōdeka
46. ἑαυτοῦ  /  heautou
47. ἐκεῖνος  /  ekeinos
48. ἤ  /  ē
49. κἀγώ  /  kagō
50. μακάριος  /  makarios</x:v>
      </x:c>
    </x:row>
    <x:row r="8" ht="390" customHeight="1">
      <x:c r="A8" s="21" t="n">
        <x:v>4</x:v>
      </x:c>
      <x:c r="B8" s="21" t="str">
        <x:f>"第 "&amp;((A8-1)*50+1)&amp;"–"&amp;(A8*50)&amp;" 詞"</x:f>
        <x:v>第 151–200 詞</x:v>
      </x:c>
      <x:c r="C8" s="21" t="n">
        <x:f>COUNTIFS('希臘文1000詞'!$B$5:$B$1004,A8,'希臘文1000詞'!$J$5:$J$1004,"BBG 課序")</x:f>
        <x:v>50</x:v>
      </x:c>
      <x:c r="D8" s="21" t="n">
        <x:f>COUNTIFS('希臘文1000詞'!$B$5:$B$1004,A8,'希臘文1000詞'!$J$5:$J$1004,"Mounce 頻率延伸")</x:f>
        <x:v>0</x:v>
      </x:c>
      <x:c r="E8" s="21" t="n">
        <x:f>COUNTIFS('希臘文1000詞'!$B$5:$B$1004,A8,'希臘文1000詞'!$L$5:$L$1004,"是")</x:f>
        <x:v>1</x:v>
      </x:c>
      <x:c r="F8" s="21" t="str">
        <x:f>IF(C8+D8=50,"完整","檢查")</x:f>
        <x:v>完整</x:v>
      </x:c>
      <x:c r="G8" s="32" t="str">
        <x:v>01. μέγας  /  megas
02. πόλις  /  polis
03. πολύς  /  polus
04. πῶς  /  pōs
05. σημεῖον  /  sēmeion
06. ἀλήθεια  /  alētheia
07. εἰρήνη  /  eirēnē
08. ἐνώπιον  /  enōpion
09. ἐπαγγελία  /  epangelia
10. ἑπτά  /  hepta
11. θρόνος  /  thronos
12. Ἰερουσαλήμ  /  Ierousalēm
13. κατά  /  kata
14. κεφαλή  /  kephalē
15. ὁδός  /  hodos
16. ὅς  /  hos
17. ὅτε  /  hote
18. οὕτως  /  houtōs
19. πλοῖον  /  ploion
20. ῥῆμα  /  rhēma
21. τέ  /  te
22. χείρ  /  cheir
23. ψυχή  /  psuchē
24. ἀκούω  /  akouō
25. βλέπω  /  blepō</x:v>
      </x:c>
      <x:c r="H8" s="32" t="str">
        <x:v>26. ἔχω  /  echō
27. λύω  /  luō
28. νόμος  /  nomos
29. ὅπου  /  hopou
30. πιστεύω  /  pisteuō
31. πρόσωπον  /  prosōpon
32. τότε  /  tote
33. τυφλός  /  tuphlos
34. χαρά  /  chara
35. ἀγαπάω  /  agapaō
36. δαιμόνιον  /  daimonion
37. ζητέω  /  zēteō
38. καλέω  /  kaleō
39. λαλέω  /  laleō
40. οἶδα  /  oida
41. ὅταν  /  hotan
42. πλείων  /  pleiōn
43. πληρόω  /  plēroō
44. ποιέω  /  poieō
45. τηρέω  /  tēreō
46. ἀποκρίνομαι  /  apokrinomai
47. δεῖ  /  dei
48. δύναμαι  /  dunamai
49. ἔρχομαι  /  erchomai
50. νύξ  /  nux</x:v>
      </x:c>
    </x:row>
    <x:row r="9" ht="390" customHeight="1">
      <x:c r="A9" s="21" t="n">
        <x:v>5</x:v>
      </x:c>
      <x:c r="B9" s="21" t="str">
        <x:f>"第 "&amp;((A9-1)*50+1)&amp;"–"&amp;(A9*50)&amp;" 詞"</x:f>
        <x:v>第 201–250 詞</x:v>
      </x:c>
      <x:c r="C9" s="21" t="n">
        <x:f>COUNTIFS('希臘文1000詞'!$B$5:$B$1004,A9,'希臘文1000詞'!$J$5:$J$1004,"BBG 課序")</x:f>
        <x:v>50</x:v>
      </x:c>
      <x:c r="D9" s="21" t="n">
        <x:f>COUNTIFS('希臘文1000詞'!$B$5:$B$1004,A9,'希臘文1000詞'!$J$5:$J$1004,"Mounce 頻率延伸")</x:f>
        <x:v>0</x:v>
      </x:c>
      <x:c r="E9" s="21" t="n">
        <x:f>COUNTIFS('希臘文1000詞'!$B$5:$B$1004,A9,'希臘文1000詞'!$L$5:$L$1004,"是")</x:f>
        <x:v>4</x:v>
      </x:c>
      <x:c r="F9" s="21" t="str">
        <x:f>IF(C9+D9=50,"完整","檢查")</x:f>
        <x:v>完整</x:v>
      </x:c>
      <x:c r="G9" s="32" t="str">
        <x:v>01. ὅστις  /  hostis
02. πορεύομαι  /  poreuomai
03. συνάγω  /  sunagō
04. τόπος  /  topos
05. ὡς  /  hōs
06. βασιλεύς  /  basileus
07. γεννάω  /  gennaō
08. ζάω  /  zaō
09. Ἰουδαία  /  Ioudaia
10. Ἰουδαῖος  /  Ioudaios
11. Ἰσραήλ  /  Israēl
12. καρπός  /  karpos
13. μείζων  /  meizōn
14. ὅλος  /  holos
15. προσκυνέω  /  proskuneō
16. αἴρω  /  airō
17. ἀποκτείνω  /  apokteinō
18. ἀποστέλλω  /  apostellō
19. βαπτίζω  /  baptizō
20. γινώσκω  /  ginōskō
21. γλῶσσα  /  glōssa
22. ἐγείρω  /  egeirō
23. ἐκβάλλω  /  ekballō
24. ἐκεῖ  /  ekei
25. κρίνω  /  krinō</x:v>
      </x:c>
      <x:c r="H9" s="32" t="str">
        <x:v>26. λαός  /  laos
27. μένω  /  menō
28. ὁράω  /  horaō
29. σοφία  /  sophia
30. στόμα  /  stoma
31. σῴζω  /  sōizō
32. ἀκολουθέω  /  akoloutheō
33. διδάσκω  /  didaskō
34. ἐπερωτάω  /  eperōtaō
35. ἐρωτάω  /  erōtaō
36. θέλω  /  thelō
37. περιπατέω  /  peripateō
38. συναγωγή  /  sunagōgē
39. Φαρισαῖος  /  Pharisaios
40. χρόνος  /  chronos
41. ἀποθνῄσκω  /  apothnēiskō
42. ἄρτος  /  artos
43. βάλλω  /  ballō
44. γῆ  /  gē
45. γίνομαι  /  ginomai
46. εἰσέρχομαι  /  eiserchomai
47. ἐξέρχομαι  /  exerchomai
48. ἔτι  /  eti
49. εὑρίσκω  /  heuriskō
50. λαμβάνω  /  lambanō</x:v>
      </x:c>
    </x:row>
    <x:row r="10" ht="390" customHeight="1">
      <x:c r="A10" s="21" t="n">
        <x:v>6</x:v>
      </x:c>
      <x:c r="B10" s="21" t="str">
        <x:f>"第 "&amp;((A10-1)*50+1)&amp;"–"&amp;(A10*50)&amp;" 詞"</x:f>
        <x:v>第 251–300 詞</x:v>
      </x:c>
      <x:c r="C10" s="21" t="n">
        <x:f>COUNTIFS('希臘文1000詞'!$B$5:$B$1004,A10,'希臘文1000詞'!$J$5:$J$1004,"BBG 課序")</x:f>
        <x:v>50</x:v>
      </x:c>
      <x:c r="D10" s="21" t="n">
        <x:f>COUNTIFS('希臘文1000詞'!$B$5:$B$1004,A10,'希臘文1000詞'!$J$5:$J$1004,"Mounce 頻率延伸")</x:f>
        <x:v>0</x:v>
      </x:c>
      <x:c r="E10" s="21" t="n">
        <x:f>COUNTIFS('希臘文1000詞'!$B$5:$B$1004,A10,'希臘文1000詞'!$L$5:$L$1004,"是")</x:f>
        <x:v>1</x:v>
      </x:c>
      <x:c r="F10" s="21" t="str">
        <x:f>IF(C10+D10=50,"完整","檢查")</x:f>
        <x:v>完整</x:v>
      </x:c>
      <x:c r="G10" s="32" t="str">
        <x:v>01. οὔτε  /  oute
02. προσέρχομαι  /  proserchomai
03. προσεύχομαι  /  proseuchomai
04. πῦρ  /  pur
05. ἀπέρχομαι  /  aperchomai
06. ἄρχομαι  /  archomai
07. γράφω  /  graphō
08. διό  /  dio
09. δοξάζω  /  doxazō
10. δύναμις  /  dunamis
11. κηρύσσω  /  kērussō
12. πίνω  /  pinō
13. ἄγω  /  agō
14. αἷμα  /  haima
15. ἕκαστος  /  hekastos
16. ἱμάτιον  /  himation
17. ὄρος  /  oros
18. ὑπάγω  /  hupagō
19. φοβέομαι  /  phobeomai
20. χαίρω  /  chairō
21. αἰτέω  /  aiteō
22. μᾶλλον  /  mallon
23. μαρτυρέω  /  martureō
24. ἀναβαίνω  /  anabainō
25. ἀρχιερεύς  /  archiereus</x:v>
      </x:c>
      <x:c r="H10" s="32" t="str">
        <x:v>26. δεξιός  /  dexios
27. δύο  /  duo
28. ἕτερος  /  heteros
29. εὐαγγελίζω  /  euangelizō
30. θεωρέω  /  theōreō
31. Ἱεροσόλυμα  /  Hierosoluma
32. κάθημαι  /  kathēmai
33. καταβαίνω  /  katabainō
34. οὗ  /  hou
35. παρακαλέω  /  parakaleō
36. πείθω  /  peithō
37. τρεῖς  /  treis
38. ἀσπάζομαι  /  aspazomai
39. γραμματεύς  /  grammateus
40. ἔφη  /  ephē
41. ἱερόν  /  hieron
42. κράζω  /  krazō
43. οὐχί  /  ouchi
44. παιδίον  /  paidion
45. σπείρω  /  speirō
46. δέχομαι  /  dechomai
47. δοκέω  /  dokeō
48. ἐσθίω  /  esthiō
49. πέμπω  /  pempō
50. φέρω  /  pherō</x:v>
      </x:c>
    </x:row>
    <x:row r="11" ht="390" customHeight="1">
      <x:c r="A11" s="21" t="n">
        <x:v>7</x:v>
      </x:c>
      <x:c r="B11" s="21" t="str">
        <x:f>"第 "&amp;((A11-1)*50+1)&amp;"–"&amp;(A11*50)&amp;" 詞"</x:f>
        <x:v>第 301–350 詞</x:v>
      </x:c>
      <x:c r="C11" s="21" t="n">
        <x:f>COUNTIFS('希臘文1000詞'!$B$5:$B$1004,A11,'希臘文1000詞'!$J$5:$J$1004,"BBG 課序")</x:f>
        <x:v>40</x:v>
      </x:c>
      <x:c r="D11" s="21" t="n">
        <x:f>COUNTIFS('希臘文1000詞'!$B$5:$B$1004,A11,'希臘文1000詞'!$J$5:$J$1004,"Mounce 頻率延伸")</x:f>
        <x:v>10</x:v>
      </x:c>
      <x:c r="E11" s="21" t="n">
        <x:f>COUNTIFS('希臘文1000詞'!$B$5:$B$1004,A11,'希臘文1000詞'!$L$5:$L$1004,"是")</x:f>
        <x:v>1</x:v>
      </x:c>
      <x:c r="F11" s="21" t="str">
        <x:f>IF(C11+D11=50,"完整","檢查")</x:f>
        <x:v>完整</x:v>
      </x:c>
      <x:c r="G11" s="32" t="str">
        <x:v>01. μηδέ  /  mēde
02. πρεσβύτερος  /  presbuteros
03. λίθος  /  lithos
04. τοιοῦτος  /  toioutos
05. δίκαιος  /  dikaios
06. μέλλω  /  mellō
07. ἀπόλλυμι  /  apollumi
08. ἀπολύω  /  apoluō
09. εἴτε  /  eite
10. δίδωμι  /  didōmi
11. ἔθνος  /  ethnos
12. λοιπός  /  loipos
13. Μωϋσῆς  /  Mōusēs
14. παραδίδωμι  /  paradidōmi
15. πίπτω  /  piptō
16. ὑπάρχω  /  huparchō
17. ἁγιάζω  /  hagiazō
18. ἁμαρτάνω  /  hamartanō
19. ἁμαρτωλός  /  hamartōlos
20. ἀνάστασις  /  anastasis
21. ἀπαγγέλλω  /  apangellō
22. διακονέω  /  diakoneō
23. διακονία  /  diakonia
24. δικαιόω  /  dikaioō
25. θλῖψις  /  thlipsis</x:v>
      </x:c>
      <x:c r="H11" s="32" t="str">
        <x:v>26. ἱλαστήριον  /  hilastērion
27. σταυρόω  /  stauroō
28. σωτήρ  /  sōtēr
29. σωτηρία  /  sōtēria
30. φανερόω  /  phaneroō
31. φόβος  /  phobos
32. ἀνίστημι  /  anistēmi
33. ἀνοίγω  /  anoigō
34. ἀφίημι  /  aphiēmi
35. δείκνυμι  /  deiknumi
36. ἴδιος  /  idios
37. ἵστημι  /  histēmi
38. μέσος  /  mesos
39. τίθημι  /  tithēmi
40. φημί  /  phēmi
41. ἄρα  /  ara
42. ἄχρι  /  achri
43. ἔτος  /  etos
44. παραλαμβάνω  /  paralambanō
45. χρεία  /  chreia
46. ἀποδίδωμι  /  apodidōmi
47. ἔμπροσθεν  /  emprosthen
48. ἔρημος  /  erēmos
49. ποῦ  /  pou
50. κρατέω  /  krateō</x:v>
      </x:c>
    </x:row>
    <x:row r="12" ht="390" customHeight="1">
      <x:c r="A12" s="21" t="n">
        <x:v>8</x:v>
      </x:c>
      <x:c r="B12" s="21" t="str">
        <x:f>"第 "&amp;((A12-1)*50+1)&amp;"–"&amp;(A12*50)&amp;" 詞"</x:f>
        <x:v>第 351–400 詞</x:v>
      </x:c>
      <x:c r="C12" s="21" t="n">
        <x:f>COUNTIFS('希臘文1000詞'!$B$5:$B$1004,A12,'希臘文1000詞'!$J$5:$J$1004,"BBG 課序")</x:f>
        <x:v>0</x:v>
      </x:c>
      <x:c r="D12" s="21" t="n">
        <x:f>COUNTIFS('希臘文1000詞'!$B$5:$B$1004,A12,'希臘文1000詞'!$J$5:$J$1004,"Mounce 頻率延伸")</x:f>
        <x:v>50</x:v>
      </x:c>
      <x:c r="E12" s="21" t="n">
        <x:f>COUNTIFS('希臘文1000詞'!$B$5:$B$1004,A12,'希臘文1000詞'!$L$5:$L$1004,"是")</x:f>
        <x:v>3</x:v>
      </x:c>
      <x:c r="F12" s="21" t="str">
        <x:f>IF(C12+D12=50,"完整","檢查")</x:f>
        <x:v>完整</x:v>
      </x:c>
      <x:c r="G12" s="32" t="str">
        <x:v>01. κρίσις  /  krisis
02. οὐκέτι  /  ouketi
03. πρό  /  pro
04. προσφέρω  /  prospherō
05. φυλακή  /  phulakē
06. θηρίον  /  thērion
07. καθίζω  /  kathizō
08. μικρός  /  mikros
09. οὐαί  /  ouai
10. διώκω  /  diōkō
11. ναός  /  naos
12. ὅμοιος  /  homoios
13. ἐπιγινώσκω  /  epiginōskō
14. Ἰούδας  /  Ioudas
15. κατοικέω  /  katoikeō
16. γενεά  /  genea
17. δεύτερος  /  deuteros
18. δέω  /  deō
19. διέρχομαι  /  dierchomai
20. Ἡρῴδης  /  Hērōidēs
21. θαυμάζω  /  thaumazō
22. θεραπεύω  /  therapeuō
23. σεαυτοῦ  /  seautou
24. σπέρμα  /  sperma
25. φωνέω  /  phōneō</x:v>
      </x:c>
      <x:c r="H12" s="32" t="str">
        <x:v>26. ἐγγίζω  /  engizō
27. Ἰάκωβος  /  Iakōbos
28. καινός  /  kainos
29. μέρος  /  meros
30. πάσχω  /  paschō
31. ἄξιος  /  axios
32. ἐργάζομαι  /  ergazomai
33. εὐλογέω  /  eulogeō
34. πάντοτε  /  pantote
35. παρίστημι  /  paristēmi
36. σήμερον  /  sēmeron
37. τέσσαρες  /  tessares
38. τιμή  /  timē
39. χωρίς  /  chōris
40. ἑτοιμάζω  /  hetoimazō
41. κλαίω  /  klaiō
42. λογίζομαι  /  logizomai
43. μισέω  /  miseō
44. μνημεῖον  /  mnēmeion
45. οἰκοδομέω  /  oikodomeō
46. ὀλίγος  /  oligos
47. τέλος  /  telos
48. ἅπτω  /  haptō
49. ἐπιτίθημι  /  epitithēmi
50. θύρα  /  thura</x:v>
      </x:c>
    </x:row>
    <x:row r="13" ht="390" customHeight="1">
      <x:c r="A13" s="21" t="n">
        <x:v>9</x:v>
      </x:c>
      <x:c r="B13" s="21" t="str">
        <x:f>"第 "&amp;((A13-1)*50+1)&amp;"–"&amp;(A13*50)&amp;" 詞"</x:f>
        <x:v>第 401–450 詞</x:v>
      </x:c>
      <x:c r="C13" s="21" t="n">
        <x:f>COUNTIFS('希臘文1000詞'!$B$5:$B$1004,A13,'希臘文1000詞'!$J$5:$J$1004,"BBG 課序")</x:f>
        <x:v>0</x:v>
      </x:c>
      <x:c r="D13" s="21" t="n">
        <x:f>COUNTIFS('希臘文1000詞'!$B$5:$B$1004,A13,'希臘文1000詞'!$J$5:$J$1004,"Mounce 頻率延伸")</x:f>
        <x:v>50</x:v>
      </x:c>
      <x:c r="E13" s="21" t="n">
        <x:f>COUNTIFS('希臘文1000詞'!$B$5:$B$1004,A13,'希臘文1000詞'!$L$5:$L$1004,"是")</x:f>
        <x:v>2</x:v>
      </x:c>
      <x:c r="F13" s="21" t="str">
        <x:f>IF(C13+D13=50,"完整","檢查")</x:f>
        <x:v>完整</x:v>
      </x:c>
      <x:c r="G13" s="32" t="str">
        <x:v>01. ἱκανός  /  hikanos
02. περισσεύω  /  perisseuō
03. πλανάω  /  planaō
04. πράσσω  /  prassō
05. πρόβατον  /  probaton
06. ἐπιθυμία  /  epithumia
07. εὐχαριστέω  /  eucharisteō
08. πειράζω  /  peirazō
09. πέντε  /  pente
10. ὑποτάσσω  /  hupotassō
11. ἄρχων  /  archōn
12. βούλομαι  /  boulomai
13. διάβολος  /  diabolos
14. ἐκεῖθεν  /  ekeithen
15. καλῶς  /  kalōs
16. καυχάομαι  /  kauchaomai
17. μαρτυρία  /  marturia
18. παραγίνομαι  /  paraginomai
19. ἀγρός  /  agros
20. ἄρτι  /  arti
21. ἐπιστρέφω  /  epistrephō
22. εὐθέως  /  eutheōs
23. ὀργή  /  orgē
24. οὖς  /  ous
25. περιτομή  /  peritomē</x:v>
      </x:c>
      <x:c r="H13" s="32" t="str">
        <x:v>26. προσευχή  /  proseuchē
27. σατανᾶς  /  satanas
28. Φίλιππος  /  Philippos
29. ὥσπερ  /  hōsper
30. Ἰωσήφ  /  Iōsēph
31. μάρτυς  /  martus
32. ὀπίσω  /  opisō
33. ὀφείλω  /  opheilō
34. ὑποστρέφω  /  hupostrephō
35. ἅπας  /  hapas
36. βιβλίον  /  biblion
37. βλασφημέω  /  blasphēmeō
38. μέλος  /  melos
39. μετανοέω  /  metanoeō
40. μήτε  /  mēte
41. οἶνος  /  oinos
42. πτωχός  /  ptōchos
43. ἀρνέομαι  /  arneomai
44. ἀσθενέω  /  astheneō
45. διαθήκη  /  diathēkē
46. ἐκπορεύομαι  /  ekporeuomai
47. ναί  /  nai
48. ποῖος  /  poios
49. ἀκάθαρτος  /  akathartos
50. ἀναγινώσκω  /  anaginōskō</x:v>
      </x:c>
    </x:row>
    <x:row r="14" ht="390" customHeight="1">
      <x:c r="A14" s="21" t="n">
        <x:v>10</x:v>
      </x:c>
      <x:c r="B14" s="21" t="str">
        <x:f>"第 "&amp;((A14-1)*50+1)&amp;"–"&amp;(A14*50)&amp;" 詞"</x:f>
        <x:v>第 451–500 詞</x:v>
      </x:c>
      <x:c r="C14" s="21" t="n">
        <x:f>COUNTIFS('希臘文1000詞'!$B$5:$B$1004,A14,'希臘文1000詞'!$J$5:$J$1004,"BBG 課序")</x:f>
        <x:v>0</x:v>
      </x:c>
      <x:c r="D14" s="21" t="n">
        <x:f>COUNTIFS('希臘文1000詞'!$B$5:$B$1004,A14,'希臘文1000詞'!$J$5:$J$1004,"Mounce 頻率延伸")</x:f>
        <x:v>50</x:v>
      </x:c>
      <x:c r="E14" s="21" t="n">
        <x:f>COUNTIFS('希臘文1000詞'!$B$5:$B$1004,A14,'希臘文1000詞'!$L$5:$L$1004,"是")</x:f>
        <x:v>3</x:v>
      </x:c>
      <x:c r="F14" s="21" t="str">
        <x:f>IF(C14+D14=50,"完整","檢查")</x:f>
        <x:v>完整</x:v>
      </x:c>
      <x:c r="G14" s="32" t="str">
        <x:v>01. δυνατός  /  dunatos
02. ἐχθρός  /  echthros
03. ἥλιος  /  hēlios
04. παραγγέλλω  /  parangellō
05. ὑπομονή  /  hupomonē
06. ἄνεμος  /  anemos
07. ἐγγύς  /  engus
08. ἐλπίζω  /  elpizō
09. ἔξεστιν  /  exestin
10. ἱερεύς  /  hiereus
11. καθαρίζω  /  katharizō
12. παρρησία  /  parrēsia
13. πλῆθος  /  plēthos
14. πλήν  /  plēn
15. ποτήριον  /  potērion
16. σκότος  /  skotos
17. φαίνω  /  phainō
18. φυλάσσω  /  phulassō
19. φυλή  /  phulē
20. ἀγοράζω  /  agorazō
21. ἀρνίον  /  arnion
22. διδαχή  /  didachē
23. ἐπικαλέω  /  epikaleō
24. ὁμοίως  /  homoiōs
25. συνείδησις  /  suneidēsis</x:v>
      </x:c>
      <x:c r="H14" s="32" t="str">
        <x:v>26. συνέρχομαι  /  sunerchomai
27. γνῶσις  /  gnōsis
28. διάκονος  /  diakonos
29. ἐπιτιμάω  /  epitimaō
30. Ἠλίας  /  Ēlias
31. ἰσχυρός  /  ischuros
32. Καῖσαρ  /  Kaisar
33. μάχαιρα  /  machaira
34. μισθός  /  misthos
35. παράκλησις  /  paraklēsis
36. παρέρχομαι  /  parerchomai
37. πάσχα  /  pascha
38. πόθεν  /  pothen
39. ποτέ  /  pote
40. προσκαλέω  /  proskaleō
41. σκανδαλίζω  /  skandalizō
42. φεύγω  /  pheugō
43. φίλος  /  philos
44. ἀδικέω  /  adikeō
45. ἀληθινός  /  alēthinos
46. Βαρναβᾶς  /  Barnabas
47. γαμέω  /  gameō
48. ἐλεέω  /  eleeō
49. ἡγέομαι  /  hēgeomai
50. θυγάτηρ  /  thugatēr</x:v>
      </x:c>
    </x:row>
    <x:row r="15" ht="390" customHeight="1">
      <x:c r="A15" s="21" t="n">
        <x:v>11</x:v>
      </x:c>
      <x:c r="B15" s="21" t="str">
        <x:f>"第 "&amp;((A15-1)*50+1)&amp;"–"&amp;(A15*50)&amp;" 詞"</x:f>
        <x:v>第 501–550 詞</x:v>
      </x:c>
      <x:c r="C15" s="21" t="n">
        <x:f>COUNTIFS('希臘文1000詞'!$B$5:$B$1004,A15,'希臘文1000詞'!$J$5:$J$1004,"BBG 課序")</x:f>
        <x:v>0</x:v>
      </x:c>
      <x:c r="D15" s="21" t="n">
        <x:f>COUNTIFS('希臘文1000詞'!$B$5:$B$1004,A15,'希臘文1000詞'!$J$5:$J$1004,"Mounce 頻率延伸")</x:f>
        <x:v>50</x:v>
      </x:c>
      <x:c r="E15" s="21" t="n">
        <x:f>COUNTIFS('希臘文1000詞'!$B$5:$B$1004,A15,'希臘文1000詞'!$L$5:$L$1004,"是")</x:f>
        <x:v>5</x:v>
      </x:c>
      <x:c r="F15" s="21" t="str">
        <x:f>IF(C15+D15=50,"完整","檢查")</x:f>
        <x:v>完整</x:v>
      </x:c>
      <x:c r="G15" s="32" t="str">
        <x:v>01. θυσία  /  thusia
02. ἰσχύω  /  ischuō
03. μυστήριον  /  mustērion
04. νικάω  /  nikaō
05. πλούσιος  /  plousios
06. προφητεύω  /  prophēteuō
07. τελέω  /  teleō
08. χώρα  /  chōra
09. βαστάζω  /  bastazō
10. ἔλεος  /  eleos
11. ἐνδύω  /  enduō
12. Ἰακώβ  /  Iakōb
13. καθαρός  /  katharos
14. καταργέω  /  katargeō
15. κρίμα  /  krima
16. κώμη  /  kōmē
17. Μαρία  /  Maria
18. Μαριάμ  /  Mariam
19. πόσος  /  posos
20. σταυρός  /  stauros
21. ἀδελφή  /  adelphē
22. ἀληθής  /  alēthēs
23. ἀποκαλύπτω  /  apokaluptō
24. ἀσθενής  /  asthenēs
25. γε  /  ge</x:v>
      </x:c>
      <x:c r="H15" s="32" t="str">
        <x:v>26. ἐπεί  /  epei
27. ἥκω  /  hēkō
28. ἰάομαι  /  iaomai
29. λυπέω  /  lupeō
30. ὁμολογέω  /  homologeō
31. οὔπω  /  oupō
32. πνευματικός  /  pneumatikos
33. στρατιώτης  /  stratiōtēs
34. συνίημι  /  suniēmi
35. φρονέω  /  phroneō
36. χήρα  /  chēra
37. ἀδικία  /  adikia
38. Αἴγυπτος  /  Aiguptos
39. ἀναβλέπω  /  anablepō
40. γνωρίζω  /  gnōrizō
41. δέκα  /  deka
42. δένδρον  /  dendron
43. δουλεύω  /  douleuō
44. Ἕλλην  /  Hellēn
45. ἑορτή  /  heortē
46. κελεύω  /  keleuō
47. λευκός  /  leukos
48. μανθάνω  /  manthanō
49. μήποτε  /  mēpote
50. νεφέλη  /  nephelē</x:v>
      </x:c>
    </x:row>
    <x:row r="16" ht="390" customHeight="1">
      <x:c r="A16" s="21" t="n">
        <x:v>12</x:v>
      </x:c>
      <x:c r="B16" s="21" t="str">
        <x:f>"第 "&amp;((A16-1)*50+1)&amp;"–"&amp;(A16*50)&amp;" 詞"</x:f>
        <x:v>第 551–600 詞</x:v>
      </x:c>
      <x:c r="C16" s="21" t="n">
        <x:f>COUNTIFS('希臘文1000詞'!$B$5:$B$1004,A16,'希臘文1000詞'!$J$5:$J$1004,"BBG 課序")</x:f>
        <x:v>0</x:v>
      </x:c>
      <x:c r="D16" s="21" t="n">
        <x:f>COUNTIFS('希臘文1000詞'!$B$5:$B$1004,A16,'希臘文1000詞'!$J$5:$J$1004,"Mounce 頻率延伸")</x:f>
        <x:v>50</x:v>
      </x:c>
      <x:c r="E16" s="21" t="n">
        <x:f>COUNTIFS('希臘文1000詞'!$B$5:$B$1004,A16,'希臘文1000詞'!$L$5:$L$1004,"是")</x:f>
        <x:v>2</x:v>
      </x:c>
      <x:c r="F16" s="21" t="str">
        <x:f>IF(C16+D16=50,"完整","檢查")</x:f>
        <x:v>完整</x:v>
      </x:c>
      <x:c r="G16" s="32" t="str">
        <x:v>01. ὀμνύω  /  omnuō
02. πορνεία  /  porneia
03. σός  /  sos
04. φιλέω  /  phileō
05. ἀκοή  /  akoē
06. ἀναιρέω  /  anaireō
07. ἀσθένεια  /  astheneia
08. ἀστήρ  /  astēr
09. ἕνεκα or ἕνεκεν  /  henekaeneken
10. ἐπιστολή  /  epistolē
11. καταλείπω  /  kataleipō
12. κεῖμαι  /  keimai
13. νέος  /  neos
14. νοῦς  /  nous
15. παῖς  /  pais
16. πάρειμι  /  pareimi
17. παρουσία  /  parousia
18. πίμπλημι  /  pimplēmi
19. προσέχω  /  prosechō
20. Τιμόθεος  /  Timotheos
21. ἀμπελών  /  ampelōn
22. ἀνάγω  /  anagō
23. ἄπιστος  /  apistos
24. διότι  /  dioti
25. εἰκών  /  eikōn</x:v>
      </x:c>
      <x:c r="H16" s="32" t="str">
        <x:v>26. ἐλεύθερος  /  eleutheros
27. ζῷον  /  zōion
28. θυσιαστήριον  /  thusiastērion
29. κατηγορέω  /  katēgoreō
30. κοπιάω  /  kopiaō
31. κωλύω  /  kōluō
32. μιμνῄσκομαι  /  mimnēiskomai
33. πεινάω  /  peinaō
34. πέραν  /  peran
35. περιβάλλω  /  periballō
36. σκεῦος  /  skeuos
37. τελειόω  /  teleioō
38. χαρίζομαι  /  charizomai
39. χιλιάς  /  chilias
40. ἀγνοέω  /  agnoeō
41. ἀντί  /  anti
42. γρηγορέω  /  grēgoreō
43. δέομαι  /  deomai
44. δοκιμάζω  /  dokimazō
45. ἐκλέγομαι  /  eklegomai
46. ἐκλεκτός  /  eklektos
47. Ἠσαΐας  /  Ēsaias
48. θεάομαι  /  theaomai
49. καθεύδω  /  katheudō
50. κἀκεῖνος  /  kakeinos</x:v>
      </x:c>
    </x:row>
    <x:row r="17" ht="390" customHeight="1">
      <x:c r="A17" s="21" t="n">
        <x:v>13</x:v>
      </x:c>
      <x:c r="B17" s="21" t="str">
        <x:f>"第 "&amp;((A17-1)*50+1)&amp;"–"&amp;(A17*50)&amp;" 詞"</x:f>
        <x:v>第 601–650 詞</x:v>
      </x:c>
      <x:c r="C17" s="21" t="n">
        <x:f>COUNTIFS('希臘文1000詞'!$B$5:$B$1004,A17,'希臘文1000詞'!$J$5:$J$1004,"BBG 課序")</x:f>
        <x:v>0</x:v>
      </x:c>
      <x:c r="D17" s="21" t="n">
        <x:f>COUNTIFS('希臘文1000詞'!$B$5:$B$1004,A17,'希臘文1000詞'!$J$5:$J$1004,"Mounce 頻率延伸")</x:f>
        <x:v>50</x:v>
      </x:c>
      <x:c r="E17" s="21" t="n">
        <x:f>COUNTIFS('希臘文1000詞'!$B$5:$B$1004,A17,'希臘文1000詞'!$L$5:$L$1004,"是")</x:f>
        <x:v>2</x:v>
      </x:c>
      <x:c r="F17" s="21" t="str">
        <x:f>IF(C17+D17=50,"完整","檢查")</x:f>
        <x:v>完整</x:v>
      </x:c>
      <x:c r="G17" s="32" t="str">
        <x:v>01. κατεργάζομαι  /  katergazomai
02. κοιλία  /  koilia
03. Μακεδονία  /  Makedonia
04. μετάνοια  /  metanoia
05. μηκέτι  /  mēketi
06. πληγή  /  plēgē
07. πλοῦτος  /  ploutos
08. πωλέω  /  pōleō
09. συνέδριον  /  sunedrion
10. τεσσεράκοντα  /  tesserakonta
11. αὐξάνω  /  auxanō
12. βασιλεύω  /  basileuō
13. διδασκαλία  /  didaskalia
14. ἐνεργέω  /  energeō
15. εὐδοκέω  /  eudokeō
16. ἐφίστημι  /  ephistēmi
17. θερίζω  /  therizō
18. καθίστημι  /  kathistēmi
19. λατρεύω  /  latreuō
20. μνημονεύω  /  mnēmoneuō
21. πειρασμός  /  peirasmos
22. στρέφω  /  strephō
23. τελώνης  /  telōnēs
24. τιμάω  /  timaō
25. ὑπακούω  /  hupakouō</x:v>
      </x:c>
      <x:c r="H17" s="32" t="str">
        <x:v>26. χιλίαρχος  /  chiliarchos
27. ὡσεί  /  hōsei
28. αἰτία  /  aitia
29. ἀκροβυστία  /  akrobustia
30. ἀργύριον  /  argurion
31. γένος  /  genos
32. γονεύς  /  goneus
33. ἑκατοντάρχης  /  hekatontarchēs
34. ἐπίγνωσις  /  epignōsis
35. ἡγεμών  /  hēgemōn
36. Ἰσαάκ  /  Isaak
37. ἰχθύς  /  ichthus
38. νηστεύω  /  nēsteuō
39. νυνί  /  nuni
40. ξύλον  /  xulon
41. προάγω  /  proagō
42. σκηνή  /  skēnē
43. σοφός  /  sophos
44. τοσοῦτος  /  tosoutos
45. τρέχω  /  trechō
46. ὑπηρέτης  /  hupēretēs
47. ὑψόω  /  hupsoō
48. ἀπέχω  /  apechō
49. βάπτισμα  /  baptisma
50. γεωργός  /  geōrgos</x:v>
      </x:c>
    </x:row>
    <x:row r="18" ht="390" customHeight="1">
      <x:c r="A18" s="21" t="n">
        <x:v>14</x:v>
      </x:c>
      <x:c r="B18" s="21" t="str">
        <x:f>"第 "&amp;((A18-1)*50+1)&amp;"–"&amp;(A18*50)&amp;" 詞"</x:f>
        <x:v>第 651–700 詞</x:v>
      </x:c>
      <x:c r="C18" s="21" t="n">
        <x:f>COUNTIFS('希臘文1000詞'!$B$5:$B$1004,A18,'希臘文1000詞'!$J$5:$J$1004,"BBG 課序")</x:f>
        <x:v>0</x:v>
      </x:c>
      <x:c r="D18" s="21" t="n">
        <x:f>COUNTIFS('希臘文1000詞'!$B$5:$B$1004,A18,'希臘文1000詞'!$J$5:$J$1004,"Mounce 頻率延伸")</x:f>
        <x:v>50</x:v>
      </x:c>
      <x:c r="E18" s="21" t="n">
        <x:f>COUNTIFS('希臘文1000詞'!$B$5:$B$1004,A18,'希臘文1000詞'!$L$5:$L$1004,"是")</x:f>
        <x:v>2</x:v>
      </x:c>
      <x:c r="F18" s="21" t="str">
        <x:f>IF(C18+D18=50,"完整","檢查")</x:f>
        <x:v>完整</x:v>
      </x:c>
      <x:c r="G18" s="32" t="str">
        <x:v>01. διακρίνω  /  diakrinō
02. δῶρον  /  dōron
03. ἐπαίρω  /  epairō
04. ἐπάνω  /  epanō
05. ἐπιλαμβάνομαι  /  epilambanomai
06. ἐπουράνιος  /  epouranios
07. κοινωνία  /  koinōnia
08. κρείσσων  /  kreissōn
09. κριτής  /  kritēs
10. κτίσις  /  ktisis
11. μαρτύριον  /  marturion
12. μεριμνάω  /  merimnaō
13. παλαιός  /  palaios
14. παράπτωμα  /  paraptōma
15. παρατίθημι  /  paratithēmi
16. πότε  /  pote
17. προφητεία  /  prophēteia
18. τέλειος  /  teleios
19. ἀληθῶς  /  alēthōs
20. Ἀντιόχεια  /  Antiocheia
21. ἀποκάλυψις  /  apokalupsis
22. ἀπώλεια  /  apōleia
23. ἀριθμός  /  arithmos
24. Ἀσία  /  Asia
25. βλασφημία  /  blasphēmia</x:v>
      </x:c>
      <x:c r="H18" s="32" t="str">
        <x:v>26. δέησις  /  deēsis
27. δεσμός  /  desmos
28. εἰσπορεύομαι  /  eisporeuomai
29. ἐπιβάλλω  /  epiballō
30. ἐπιτρέπω  /  epitrepō
31. θυμός  /  thumos
32. καταγγέλλω  /  katangellō
33. κατακρίνω  /  katakrinō
34. κενός  /  kenos
35. κληρονομέω  /  klēronomeō
36. κοιμάω  /  koimaō
37. κόπος  /  kopos
38. κρύπτω  /  kruptō
39. μήν  /  mēn
40. μήτι  /  mēti
41. οἰκοδομή  /  oikodomē
42. παραχρῆμα  /  parachrēma
43. ποιμήν  /  poimēn
44. πόλεμος  /  polemos
45. πολλάκις  /  pollakis
46. προστίθημι  /  prostithēmi
47. πυλών  /  pulōn
48. στέφανος  /  stephanos
49. τίκτω  /  tiktō
50. φανερός  /  phaneros</x:v>
      </x:c>
    </x:row>
    <x:row r="19" ht="390" customHeight="1">
      <x:c r="A19" s="21" t="n">
        <x:v>15</x:v>
      </x:c>
      <x:c r="B19" s="21" t="str">
        <x:f>"第 "&amp;((A19-1)*50+1)&amp;"–"&amp;(A19*50)&amp;" 詞"</x:f>
        <x:v>第 701–750 詞</x:v>
      </x:c>
      <x:c r="C19" s="21" t="n">
        <x:f>COUNTIFS('希臘文1000詞'!$B$5:$B$1004,A19,'希臘文1000詞'!$J$5:$J$1004,"BBG 課序")</x:f>
        <x:v>0</x:v>
      </x:c>
      <x:c r="D19" s="21" t="n">
        <x:f>COUNTIFS('希臘文1000詞'!$B$5:$B$1004,A19,'希臘文1000詞'!$J$5:$J$1004,"Mounce 頻率延伸")</x:f>
        <x:v>50</x:v>
      </x:c>
      <x:c r="E19" s="21" t="n">
        <x:f>COUNTIFS('希臘文1000詞'!$B$5:$B$1004,A19,'希臘文1000詞'!$L$5:$L$1004,"是")</x:f>
        <x:v>1</x:v>
      </x:c>
      <x:c r="F19" s="21" t="str">
        <x:f>IF(C19+D19=50,"完整","檢查")</x:f>
        <x:v>完整</x:v>
      </x:c>
      <x:c r="G19" s="32" t="str">
        <x:v>01. χρύσοῦς  /  chrusous
02. ἀνάγκη  /  anankē
03. ἀρέσκω  /  areskō
04. ἄφεσις  /  aphesis
05. βρῶμα  /  brōma
06. ἑκατόν  /  hekaton
07. ἐλέγχω  /  elenchō
08. ἐξίστημι  /  existēmi
09. ἐπαύριον  /  epaurion
10. ἕτοιμος  /  hetoimos
11. θησαυρός  /  thēsauros
12. ἵππος  /  hippos
13. Καισάρεια  /  Kaisareia
14. κἄν  /  kan
15. καταλύω  /  kataluō
16. κατέχω  /  katechō
17. κερδαίνω  /  kerdainō
18. κρυπτός  /  kruptos
19. μέχρι or μέχρις  /  mechrimechris
20. νίπτω  /  niptō
21. περιτέμνω  /  peritemnō
22. πλήρης  /  plērēs
23. πλήρωμα  /  plērōma
24. πλησίον  /  plēsion
25. ποταμός  /  potamos</x:v>
      </x:c>
      <x:c r="H19" s="32" t="str">
        <x:v>26. ῥίζα  /  rhiza
27. ῥύομαι  /  rhuomai
28. ταράσσω  /  tarassō
29. ὑποκριτής  /  hupokritēs
30. ὑπομένω  /  hupomenō
31. χάρισμα  /  charisma
32. ὦ  /  ō
33. ὡσαύτως  /  hōsautōs
34. ἀθετέω  /  atheteō
35. ἀνακρίνω  /  anakrinō
36. γάμος  /  gamos
37. δεῖπνον  /  deipnon
38. δέσμιος  /  desmios
39. δηνάριον  /  dēnarion
40. διαλογίζομαι  /  dialogizomai
41. διατάσσω  /  diatassō
42. διψάω  /  dipsaō
43. ἐκτείνω  /  ekteinō
44. ἐκχέω  /  ekcheō
45. ἐμβαίνω  /  embainō
46. ἔπειτα  /  epeita
47. ἐπιθυμέω  /  epithumeō
48. ἐπιμένω  /  epimenō
49. ἐργάτης  /  ergatēs
50. εὐλογία  /  eulogia</x:v>
      </x:c>
    </x:row>
    <x:row r="20" ht="390" customHeight="1">
      <x:c r="A20" s="21" t="n">
        <x:v>16</x:v>
      </x:c>
      <x:c r="B20" s="21" t="str">
        <x:f>"第 "&amp;((A20-1)*50+1)&amp;"–"&amp;(A20*50)&amp;" 詞"</x:f>
        <x:v>第 751–800 詞</x:v>
      </x:c>
      <x:c r="C20" s="21" t="n">
        <x:f>COUNTIFS('希臘文1000詞'!$B$5:$B$1004,A20,'希臘文1000詞'!$J$5:$J$1004,"BBG 課序")</x:f>
        <x:v>0</x:v>
      </x:c>
      <x:c r="D20" s="21" t="n">
        <x:f>COUNTIFS('希臘文1000詞'!$B$5:$B$1004,A20,'希臘文1000詞'!$J$5:$J$1004,"Mounce 頻率延伸")</x:f>
        <x:v>50</x:v>
      </x:c>
      <x:c r="E20" s="21" t="n">
        <x:f>COUNTIFS('希臘文1000詞'!$B$5:$B$1004,A20,'希臘文1000詞'!$L$5:$L$1004,"是")</x:f>
        <x:v>5</x:v>
      </x:c>
      <x:c r="F20" s="21" t="str">
        <x:f>IF(C20+D20=50,"完整","檢查")</x:f>
        <x:v>完整</x:v>
      </x:c>
      <x:c r="G20" s="32" t="str">
        <x:v>01. Ἔφεσος  /  Ephesos
02. ζῆλος  /  zēlos
03. κακῶς  /  kakōs
04. κατέρχομαι  /  katerchomai
05. Καφαρναούμ  /  Kapharnaoum
06. κλείω  /  kleiō
07. κλέπτης  /  kleptēs
08. λύπη  /  lupē
09. νυμφίος  /  numphios
10. οὐδέποτε  /  oudepote
11. πάθημα  /  pathēma
12. παρέχω  /  parechō
13. περισσότερος  /  perissoteros
14. προσδοκάω  /  prosdokaō
15. σκοτία  /  skotia
16. συκῆ  /  sukē
17. συλλαμβάνω  /  sullambanō
18. συνίστημι  /  sunistēmi
19. σφραγίς  /  sphragis
20. τέρας  /  teras
21. τολμάω  /  tolmaō
22. τροφή  /  trophē
23. ὑστερέω  /  hustereō
24. χορτάζω  /  chortazō
25. ἀνέχομαι  /  anechomai</x:v>
      </x:c>
      <x:c r="H20" s="32" t="str">
        <x:v>26. ἀνομία  /  anomia
27. ἀπάγω  /  apagō
28. γεύομαι  /  geuomai
29. γνωστός  /  gnōstos
30. γυμνός  /  gumnos
31. Δαμασκός  /  Damaskos
32. δέρω  /  derō
33. διαμαρτύρομαι  /  diamarturomai
34. εἶτα  /  eita
35. ἐλαία  /  elaia
36. ἐντέλλω  /  entellō
37. ἐπαγγέλλομαι  /  epangellomai
38. εὐσέβεια  /  eusebeia
39. εὐχαριστία  /  eucharistia
40. θεμέλιος  /  themelios
41. θρίξ  /  thrix
42. Ἰορδάνης  /  Iordanēs
43. καταλαμβάνω  /  katalambanō
44. κληρονόμος  /  klēronomos
45. κτίζω  /  ktizō
46. Λάζαρος  /  Lazaros
47. λῃστής  /  lēistēs
48. μοιχεύω  /  moicheuō
49. νήπιος  /  nēpios
50. νομίζω  /  nomizō</x:v>
      </x:c>
    </x:row>
    <x:row r="21" ht="390" customHeight="1">
      <x:c r="A21" s="21" t="n">
        <x:v>17</x:v>
      </x:c>
      <x:c r="B21" s="21" t="str">
        <x:f>"第 "&amp;((A21-1)*50+1)&amp;"–"&amp;(A21*50)&amp;" 詞"</x:f>
        <x:v>第 801–850 詞</x:v>
      </x:c>
      <x:c r="C21" s="21" t="n">
        <x:f>COUNTIFS('希臘文1000詞'!$B$5:$B$1004,A21,'希臘文1000詞'!$J$5:$J$1004,"BBG 課序")</x:f>
        <x:v>0</x:v>
      </x:c>
      <x:c r="D21" s="21" t="n">
        <x:f>COUNTIFS('希臘文1000詞'!$B$5:$B$1004,A21,'希臘文1000詞'!$J$5:$J$1004,"Mounce 頻率延伸")</x:f>
        <x:v>50</x:v>
      </x:c>
      <x:c r="E21" s="21" t="n">
        <x:f>COUNTIFS('希臘文1000詞'!$B$5:$B$1004,A21,'希臘文1000詞'!$L$5:$L$1004,"是")</x:f>
        <x:v>1</x:v>
      </x:c>
      <x:c r="F21" s="21" t="str">
        <x:f>IF(C21+D21=50,"完整","檢查")</x:f>
        <x:v>完整</x:v>
      </x:c>
      <x:c r="G21" s="32" t="str">
        <x:v>01. ξηραίνω  /  xērainō
02. ὅθεν  /  hothen
03. οἰκουμένη  /  oikoumenē
04. ὁμοιόω  /  homoioō
05. ὄψιος  /  opsios
06. παρθένος  /  parthenos
07. παύω  /  pauō
08. πέτρα  /  petra
09. ποτίζω  /  potizō
10. προλέγω  /  prolegō
11. πώς  /  pōs
12. ῥαββί  /  rhabbi
13. σαλεύω  /  saleuō
14. Σαῦλος  /  Saulos
15. σκάνδαλον  /  skandalon
16. συμφέρω  /  sumpherō
17. σφραγίζω  /  sphragizō
18. ταχέως  /  tacheōs
19. τράπεζα  /  trapeza
20. τύπος  /  tupos
21. ὑπακοή  /  hupakoē
22. χόρτος  /  chortos
23. ὠφελέω  /  ōpheleō
24. ἄκανθα  /  akantha
25. ἀλλότριος  /  allotrios</x:v>
      </x:c>
      <x:c r="H21" s="32" t="str">
        <x:v>26. ἀμφότεροι  /  amphoteroi
27. ἀναγγέλλω  /  anangellō
28. ἀνάκειμαι  /  anakeimai
29. ἀναχωρέω  /  anachōreō
30. ἀνθίστημι  /  anthistēmi
31. ἅπαξ  /  hapax
32. ἀπειθέω  /  apeitheō
33. ἁρπάζω  /  harpazō
34. ἀτενίζω  /  atenizō
35. αὔριον  /  aurion
36. ἀφίστημι  /  aphistēmi
37. γράμμα  /  gramma
38. διαλογισμός  /  dialogismos
39. ἕκτος  /  hektos
40. ἐλάχιστος  /  elachistos
41. ἐνιαυτός  /  eniautos
42. ἐπίσταμαι  /  epistamai
43. εὐφραίνω  /  euphrainō
44. θύω  /  thuō
45. κατανοέω  /  katanoeō
46. κατεσθίω  /  katesthiō
47. κλάω  /  klaō
48. κληρονομία  /  klēronomia
49. κοινός  /  koinos
50. κοινόω  /  koinoō</x:v>
      </x:c>
    </x:row>
    <x:row r="22" ht="390" customHeight="1">
      <x:c r="A22" s="21" t="n">
        <x:v>18</x:v>
      </x:c>
      <x:c r="B22" s="21" t="str">
        <x:f>"第 "&amp;((A22-1)*50+1)&amp;"–"&amp;(A22*50)&amp;" 詞"</x:f>
        <x:v>第 851–900 詞</x:v>
      </x:c>
      <x:c r="C22" s="21" t="n">
        <x:f>COUNTIFS('希臘文1000詞'!$B$5:$B$1004,A22,'希臘文1000詞'!$J$5:$J$1004,"BBG 課序")</x:f>
        <x:v>0</x:v>
      </x:c>
      <x:c r="D22" s="21" t="n">
        <x:f>COUNTIFS('希臘文1000詞'!$B$5:$B$1004,A22,'希臘文1000詞'!$J$5:$J$1004,"Mounce 頻率延伸")</x:f>
        <x:v>50</x:v>
      </x:c>
      <x:c r="E22" s="21" t="n">
        <x:f>COUNTIFS('希臘文1000詞'!$B$5:$B$1004,A22,'希臘文1000詞'!$L$5:$L$1004,"是")</x:f>
        <x:v>4</x:v>
      </x:c>
      <x:c r="F22" s="21" t="str">
        <x:f>IF(C22+D22=50,"完整","檢查")</x:f>
        <x:v>完整</x:v>
      </x:c>
      <x:c r="G22" s="32" t="str">
        <x:v>01. κωφός  /  kōphos
02. λύχνος  /  luchnos
03. μακρόθεν  /  makrothen
04. μακροθυμία  /  makrothumia
05. μερίζω  /  merizō
06. μέτρον  /  metron
07. μύρον  /  muron
08. νοέω  /  noeō
09. ξένος  /  xenos
10. οἷος  /  hoios
11. ὄφις  /  ophis
12. πετεινόν  /  peteinon
13. προσδέχομαι  /  prosdechomai
14. Σαδδουκαῖος  /  Saddoukaios
15. σεισμός  /  seismos
16. σῖτος  /  sitos
17. τάλαντον  /  talanton
18. ταπεινόω  /  tapeinoō
19. φρόνιμος  /  phronimos
20. φύσις  /  phusis
21. χωλός  /  chōlos
22. ἀνά  /  ana
23. ἀναλαμβάνω  /  analambanō
24. ἀναστροφή  /  anastrophē
25. Ἀνδρέας  /  Andreas</x:v>
      </x:c>
      <x:c r="H22" s="32" t="str">
        <x:v>26. ἄνωθεν  /  anōthen
27. δαιμονίζομαι  /  daimonizomai
28. διαλέγομαι  /  dialegomai
29. διαφέρω  /  diapherō
30. δράκων  /  drakōn
31. ἐκπλήσσω  /  ekplēssō
32. ἐλεημοσύνη  /  eleēmosunē
33. ἐμπαίζω  /  empaizō
34. ἕξ  /  hex
35. ἐξαποστέλλω  /  exapostellō
36. ἔξωθεν  /  exōthen
37. ἐπιζητέω  /  epizēteō
38. ζύμη  /  zumē
39. θερισμός  /  therismos
40. καθάπερ  /  kathaper
41. καπνός  /  kapnos
42. καταισχύνω  /  kataischunō
43. καταντάω  /  katantaō
44. καταρτίζω  /  katartizō
45. κλέπτω  /  kleptō
46. Μάρθα  /  Martha
47. Ναζωραῖος  /  Nazōraios
48. παιδεύω  /  paideuō
49. παιδίσκη  /  paidiskē
50. παράδοσις  /  paradosis</x:v>
      </x:c>
    </x:row>
    <x:row r="23" ht="390" customHeight="1">
      <x:c r="A23" s="21" t="n">
        <x:v>19</x:v>
      </x:c>
      <x:c r="B23" s="21" t="str">
        <x:f>"第 "&amp;((A23-1)*50+1)&amp;"–"&amp;(A23*50)&amp;" 詞"</x:f>
        <x:v>第 901–950 詞</x:v>
      </x:c>
      <x:c r="C23" s="21" t="n">
        <x:f>COUNTIFS('希臘文1000詞'!$B$5:$B$1004,A23,'希臘文1000詞'!$J$5:$J$1004,"BBG 課序")</x:f>
        <x:v>0</x:v>
      </x:c>
      <x:c r="D23" s="21" t="n">
        <x:f>COUNTIFS('希臘文1000詞'!$B$5:$B$1004,A23,'希臘文1000詞'!$J$5:$J$1004,"Mounce 頻率延伸")</x:f>
        <x:v>50</x:v>
      </x:c>
      <x:c r="E23" s="21" t="n">
        <x:f>COUNTIFS('希臘文1000詞'!$B$5:$B$1004,A23,'希臘文1000詞'!$L$5:$L$1004,"是")</x:f>
        <x:v>6</x:v>
      </x:c>
      <x:c r="F23" s="21" t="str">
        <x:f>IF(C23+D23=50,"完整","檢查")</x:f>
        <x:v>完整</x:v>
      </x:c>
      <x:c r="G23" s="32" t="str">
        <x:v>01. πρίν  /  prin
02. στηρίζω  /  stērizō
03. συνεργός  /  sunergos
04. ταχύς  /  tachus
05. τίμιος  /  timios
06. Τίτος  /  Titos
07. τρόπος  /  tropos
08. τύπτω  /  tuptō
09. ὕψιστος  /  hupsistos
10. Φῆστος  /  Phēstos
11. χωρίζω  /  chōrizō
12. ἄδικος  /  adikos
13. ἀλέκτωρ  /  alektōr
14. ἀναπαύω  /  anapauō
15. ἀναπίπτω  /  anapiptō
16. ἀσκός  /  askos
17. αὐλή  /  aulē
18. Βαβυλών  /  Babulōn
19. βαπτιστής  /  baptistēs
20. βασανίζω  /  basanizō
21. Βηθανία  /  Bēthania
22. βῆμα  /  bēma
23. βοάω  /  boaō
24. βουλή  /  boulē
25. βροντή  /  brontē</x:v>
      </x:c>
      <x:c r="H23" s="32" t="str">
        <x:v>26. γέεννα  /  geenna
27. γόνυ  /  gonu
28. δεῦτε  /  deute
29. διάνοια  /  dianoia
30. δίκτυον  /  diktuon
31. ἔθος  /  ethos
32. ἐξάγω  /  exagō
33. ἔσωθεν  /  esōthen
34. Ζεβεδαῖος  /  Zebedaios
35. κάλαμος  /  kalamos
36. κατακαίω  /  katakaiō
37. κατάκειμαι  /  katakeimai
38. κολλάω  /  kollaō
39. κράτος  /  kratos
40. λίαν  /  lian
41. λιμός  /  limos
42. λυχνία  /  luchnia
43. Μαγδαληνή  /  Magdalēnē
44. μάλιστα  /  malista
45. μεταβαίνω  /  metabainō
46. μωρός  /  mōros
47. ὀδούς  /  odous
48. οἰκοδεσπότης  /  oikodespotēs
49. ὅραμα  /  horama
50. ὅριον  /  horion</x:v>
      </x:c>
    </x:row>
    <x:row r="24" ht="390" customHeight="1">
      <x:c r="A24" s="21" t="n">
        <x:v>20</x:v>
      </x:c>
      <x:c r="B24" s="21" t="str">
        <x:f>"第 "&amp;((A24-1)*50+1)&amp;"–"&amp;(A24*50)&amp;" 詞"</x:f>
        <x:v>第 951–1000 詞</x:v>
      </x:c>
      <x:c r="C24" s="21" t="n">
        <x:f>COUNTIFS('希臘文1000詞'!$B$5:$B$1004,A24,'希臘文1000詞'!$J$5:$J$1004,"BBG 課序")</x:f>
        <x:v>0</x:v>
      </x:c>
      <x:c r="D24" s="21" t="n">
        <x:f>COUNTIFS('希臘文1000詞'!$B$5:$B$1004,A24,'希臘文1000詞'!$J$5:$J$1004,"Mounce 頻率延伸")</x:f>
        <x:v>50</x:v>
      </x:c>
      <x:c r="E24" s="21" t="n">
        <x:f>COUNTIFS('希臘文1000詞'!$B$5:$B$1004,A24,'希臘文1000詞'!$L$5:$L$1004,"是")</x:f>
        <x:v>3</x:v>
      </x:c>
      <x:c r="F24" s="21" t="str">
        <x:f>IF(C24+D24=50,"完整","檢查")</x:f>
        <x:v>完整</x:v>
      </x:c>
      <x:c r="G24" s="32" t="str">
        <x:v>01. παραιτέομαι  /  paraiteomai
02. περισσοτέρως  /  perissoterōs
03. πιάζω  /  piazō
04. πληθύνω  /  plēthunō
05. πλουτέω  /  plouteō
06. πόρνη  /  pornē
07. πρόθεσις  /  prothesis
08. προσλαμβάνω  /  proslambanō
09. πρωΐ  /  prōi
10. πυνθάνομαι  /  punthanomai
11. πῶλος  /  pōlos
12. ῥάβδος  /  rhabdos
13. Ῥωμαῖος  /  Rhōmaios
14. σαλπίζω  /  salpizō
15. Σίλας  /  Silas
16. Σολομῶν  /  Solomōn
17. σπλαγχνίζομαι  /  splanchnizomai
18. σπουδή  /  spoudē
19. συνέχω  /  sunechō
20. τρίς  /  tris
21. τυγχάνω  /  tunchanō
22. ὑγιαίνω  /  hugiainō
23. ὕστερος  /  husteros
24. φιάλη  /  phialē
25. φονεύω  /  phoneuō</x:v>
      </x:c>
      <x:c r="H24" s="32" t="str">
        <x:v>26. χοῖρος  /  choiros
27. χρυσίον  /  chrusion
28. ψεύδομαι  /  pseudomai
29. ἀγαλλιάω  /  agalliaō
30. ἀπαρνέομαι  /  aparneomai
31. ἐλευθερία  /  eleutheria
32. ἔπαινος  /  epainos
33. ἐπαισχύνομαι  /  epaischunomai
34. ζηλόω  /  zēloō
35. θανατόω  /  thanatoō
36. καταβολή  /  katabolē
37. καύχημα  /  kauchēma
38. καύχησις  /  kauchēsis
39. κλῆσις  /  klēsis
40. πραΰτης  /  prautēs
41. σπλάγχνον  /  splanchnon
42. σχίζω  /  schizō
43. ἁγιασμός  /  hagiasmos
44. ἀπολύτρωσις  /  apolutrōsis
45. βίβλος  /  biblos
46. βίος  /  bios
47. δικαίωμα  /  dikaiōma
48. ἐξομολογέω  /  exomologeō
49. κλητός  /  klētos
50. μακροθυμέω  /  makrothumeō</x:v>
      </x:c>
    </x:row>
  </x:sheetData>
  <x:mergeCells>
    <x:mergeCell ref="A1:H1"/>
    <x:mergeCell ref="A2:H2"/>
  </x:mergeCells>
  <x:conditionalFormatting sqref="E5:E24">
    <x:cfRule type="dataBar" priority="1">
      <x:dataBar>
        <x:cfvo type="min"/>
        <x:cfvo type="max"/>
        <x:color rgb="FFD9A441"/>
      </x:dataBar>
    </x:cfRule>
  </x:conditionalFormatting>
  <x:pageMargins left="0.7" right="0.7" top="0.75" bottom="0.75" header="0.3" footer="0.3"/>
  <x:tableParts count="1">
    <x:tablePart xmlns:r="http://schemas.openxmlformats.org/officeDocument/2006/relationships" r:id="R466b8b1543bc458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8" hidden="0" customWidth="1"/>
    <x:col min="2" max="2" width="8" hidden="0" customWidth="1"/>
    <x:col min="3" max="3" width="20" hidden="0" customWidth="1"/>
    <x:col min="4" max="4" width="22" hidden="0" customWidth="1"/>
    <x:col min="5" max="5" width="42" hidden="0" customWidth="1"/>
    <x:col min="6" max="6" width="22" hidden="0" customWidth="1"/>
    <x:col min="7" max="7" width="15" hidden="0" customWidth="1"/>
    <x:col min="8" max="8" width="11" hidden="0" customWidth="1"/>
    <x:col min="9" max="9" width="20" hidden="0" customWidth="1"/>
  </x:cols>
  <x:sheetData>
    <x:row r="1" ht="34" customHeight="1">
      <x:c r="A1" s="4" t="str">
        <x:v>希臘文專名／族名複習表</x:v>
      </x:c>
      <x:c r="B1" s="4" t="str">
        <x:v>希臘文專名／族名複習表</x:v>
      </x:c>
      <x:c r="C1" s="4" t="str">
        <x:v>希臘文專名／族名複習表</x:v>
      </x:c>
      <x:c r="D1" s="4" t="str">
        <x:v>希臘文專名／族名複習表</x:v>
      </x:c>
      <x:c r="E1" s="4" t="str">
        <x:v>希臘文專名／族名複習表</x:v>
      </x:c>
      <x:c r="F1" s="4" t="str">
        <x:v>希臘文專名／族名複習表</x:v>
      </x:c>
      <x:c r="G1" s="4" t="str">
        <x:v>希臘文專名／族名複習表</x:v>
      </x:c>
      <x:c r="H1" s="4" t="str">
        <x:v>希臘文專名／族名複習表</x:v>
      </x:c>
      <x:c r="I1" s="4" t="str">
        <x:v>希臘文專名／族名複習表</x:v>
      </x:c>
    </x:row>
    <x:row r="2" ht="28" customHeight="1">
      <x:c r="A2" s="7" t="str">
        <x:v>專名不排除於 1000 詞之外；本表另作集中複習與音訊製作索引。</x:v>
      </x:c>
      <x:c r="B2" s="7" t="str">
        <x:v>專名不排除於 1000 詞之外；本表另作集中複習與音訊製作索引。</x:v>
      </x:c>
      <x:c r="C2" s="7" t="str">
        <x:v>專名不排除於 1000 詞之外；本表另作集中複習與音訊製作索引。</x:v>
      </x:c>
      <x:c r="D2" s="7" t="str">
        <x:v>專名不排除於 1000 詞之外；本表另作集中複習與音訊製作索引。</x:v>
      </x:c>
      <x:c r="E2" s="7" t="str">
        <x:v>專名不排除於 1000 詞之外；本表另作集中複習與音訊製作索引。</x:v>
      </x:c>
      <x:c r="F2" s="7" t="str">
        <x:v>專名不排除於 1000 詞之外；本表另作集中複習與音訊製作索引。</x:v>
      </x:c>
      <x:c r="G2" s="7" t="str">
        <x:v>專名不排除於 1000 詞之外；本表另作集中複習與音訊製作索引。</x:v>
      </x:c>
      <x:c r="H2" s="7" t="str">
        <x:v>專名不排除於 1000 詞之外；本表另作集中複習與音訊製作索引。</x:v>
      </x:c>
      <x:c r="I2" s="7" t="str">
        <x:v>專名不排除於 1000 詞之外；本表另作集中複習與音訊製作索引。</x:v>
      </x:c>
    </x:row>
    <x:row r="4" ht="30" customHeight="1">
      <x:c r="A4" s="13" t="str">
        <x:v>總序</x:v>
      </x:c>
      <x:c r="B4" s="13" t="str">
        <x:v>組</x:v>
      </x:c>
      <x:c r="C4" s="13" t="str">
        <x:v>原文</x:v>
      </x:c>
      <x:c r="D4" s="13" t="str">
        <x:v>課本式音標／音譯</x:v>
      </x:c>
      <x:c r="E4" s="13" t="str">
        <x:v>英文義</x:v>
      </x:c>
      <x:c r="F4" s="13" t="str">
        <x:v>類型</x:v>
      </x:c>
      <x:c r="G4" s="13" t="str">
        <x:v>詞頻／BBG 章</x:v>
      </x:c>
      <x:c r="H4" s="13" t="str">
        <x:v>Strong</x:v>
      </x:c>
      <x:c r="I4" s="13" t="str">
        <x:v>來源區</x:v>
      </x:c>
    </x:row>
    <x:row r="5" ht="30" customHeight="1">
      <x:c r="A5" s="21" t="n">
        <x:v>5</x:v>
      </x:c>
      <x:c r="B5" s="21" t="n">
        <x:v>1</x:v>
      </x:c>
      <x:c r="C5" s="29" t="str">
        <x:v>Γαλιλαία</x:v>
      </x:c>
      <x:c r="D5" s="27" t="str">
        <x:v>Galilaia</x:v>
      </x:c>
      <x:c r="E5" s="20" t="str">
        <x:v>Galilæa (i.e. the heathen circle), a region of Palestine</x:v>
      </x:c>
      <x:c r="F5" s="20" t="str">
        <x:v>地名</x:v>
      </x:c>
      <x:c r="G5" s="21" t="n">
        <x:v>4</x:v>
      </x:c>
      <x:c r="H5" s="21" t="str">
        <x:v>G1056</x:v>
      </x:c>
      <x:c r="I5" s="21" t="str">
        <x:v>BBG 課序</x:v>
      </x:c>
    </x:row>
    <x:row r="6" ht="30" customHeight="1">
      <x:c r="A6" s="21" t="n">
        <x:v>20</x:v>
      </x:c>
      <x:c r="B6" s="21" t="n">
        <x:v>1</x:v>
      </x:c>
      <x:c r="C6" s="29" t="str">
        <x:v>Χριστός</x:v>
      </x:c>
      <x:c r="D6" s="27" t="str">
        <x:v>Christos</x:v>
      </x:c>
      <x:c r="E6" s="20" t="str">
        <x:v>anointed, i.e. the Messiah, an epithet of Jesus</x:v>
      </x:c>
      <x:c r="F6" s="20" t="str">
        <x:v>神名／稱號</x:v>
      </x:c>
      <x:c r="G6" s="21" t="n">
        <x:v>4</x:v>
      </x:c>
      <x:c r="H6" s="21" t="str">
        <x:v>G5547</x:v>
      </x:c>
      <x:c r="I6" s="21" t="str">
        <x:v>BBG 課序</x:v>
      </x:c>
    </x:row>
    <x:row r="7" ht="30" customHeight="1">
      <x:c r="A7" s="21" t="n">
        <x:v>21</x:v>
      </x:c>
      <x:c r="B7" s="21" t="n">
        <x:v>1</x:v>
      </x:c>
      <x:c r="C7" s="29" t="str">
        <x:v>Ἀβραάμ</x:v>
      </x:c>
      <x:c r="D7" s="27" t="str">
        <x:v>Abraam</x:v>
      </x:c>
      <x:c r="E7" s="20" t="str">
        <x:v>Abraham, the Hebrew patriarch</x:v>
      </x:c>
      <x:c r="F7" s="20" t="str">
        <x:v>人名</x:v>
      </x:c>
      <x:c r="G7" s="21" t="n">
        <x:v>4</x:v>
      </x:c>
      <x:c r="H7" s="21" t="str">
        <x:v>G11</x:v>
      </x:c>
      <x:c r="I7" s="21" t="str">
        <x:v>BBG 課序</x:v>
      </x:c>
    </x:row>
    <x:row r="8" ht="30" customHeight="1">
      <x:c r="A8" s="21" t="n">
        <x:v>22</x:v>
      </x:c>
      <x:c r="B8" s="21" t="n">
        <x:v>1</x:v>
      </x:c>
      <x:c r="C8" s="29" t="str">
        <x:v>Δαυίδ</x:v>
      </x:c>
      <x:c r="D8" s="27" t="str">
        <x:v>Dauid</x:v>
      </x:c>
      <x:c r="E8" s="20" t="str"/>
      <x:c r="F8" s="20" t="str">
        <x:v>人名</x:v>
      </x:c>
      <x:c r="G8" s="21" t="n">
        <x:v>4</x:v>
      </x:c>
      <x:c r="H8" s="21" t="str"/>
      <x:c r="I8" s="21" t="str">
        <x:v>BBG 課序</x:v>
      </x:c>
    </x:row>
    <x:row r="9" ht="30" customHeight="1">
      <x:c r="A9" s="21" t="n">
        <x:v>23</x:v>
      </x:c>
      <x:c r="B9" s="21" t="n">
        <x:v>1</x:v>
      </x:c>
      <x:c r="C9" s="29" t="str">
        <x:v>Παῦλος</x:v>
      </x:c>
      <x:c r="D9" s="27" t="str">
        <x:v>Paulos</x:v>
      </x:c>
      <x:c r="E9" s="20" t="str">
        <x:v>(little; but remotely from a derivative of G3973 (παύω), meaning the same); Paulus, the name of a Roman and of an apostle</x:v>
      </x:c>
      <x:c r="F9" s="20" t="str">
        <x:v>人名</x:v>
      </x:c>
      <x:c r="G9" s="21" t="n">
        <x:v>4</x:v>
      </x:c>
      <x:c r="H9" s="21" t="str">
        <x:v>G3972</x:v>
      </x:c>
      <x:c r="I9" s="21" t="str">
        <x:v>BBG 課序</x:v>
      </x:c>
    </x:row>
    <x:row r="10" ht="30" customHeight="1">
      <x:c r="A10" s="21" t="n">
        <x:v>24</x:v>
      </x:c>
      <x:c r="B10" s="21" t="n">
        <x:v>1</x:v>
      </x:c>
      <x:c r="C10" s="29" t="str">
        <x:v>Πέτρος</x:v>
      </x:c>
      <x:c r="D10" s="27" t="str">
        <x:v>Petros</x:v>
      </x:c>
      <x:c r="E10" s="20" t="str">
        <x:v>a (piece of) rock (larger than G3037 (λίθος)); as a name, Petrus, an apostle</x:v>
      </x:c>
      <x:c r="F10" s="20" t="str">
        <x:v>人名</x:v>
      </x:c>
      <x:c r="G10" s="21" t="n">
        <x:v>4</x:v>
      </x:c>
      <x:c r="H10" s="21" t="str">
        <x:v>G4074</x:v>
      </x:c>
      <x:c r="I10" s="21" t="str">
        <x:v>BBG 課序</x:v>
      </x:c>
    </x:row>
    <x:row r="11" ht="30" customHeight="1">
      <x:c r="A11" s="21" t="n">
        <x:v>25</x:v>
      </x:c>
      <x:c r="B11" s="21" t="n">
        <x:v>1</x:v>
      </x:c>
      <x:c r="C11" s="29" t="str">
        <x:v>Πιλᾶτος</x:v>
      </x:c>
      <x:c r="D11" s="27" t="str">
        <x:v>Pilatos</x:v>
      </x:c>
      <x:c r="E11" s="20" t="str">
        <x:v>close-pressed, i.e. firm; Pilatus, a Roman</x:v>
      </x:c>
      <x:c r="F11" s="20" t="str">
        <x:v>人名</x:v>
      </x:c>
      <x:c r="G11" s="21" t="n">
        <x:v>4</x:v>
      </x:c>
      <x:c r="H11" s="21" t="str">
        <x:v>G4091</x:v>
      </x:c>
      <x:c r="I11" s="21" t="str">
        <x:v>BBG 課序</x:v>
      </x:c>
    </x:row>
    <x:row r="12" ht="30" customHeight="1">
      <x:c r="A12" s="21" t="n">
        <x:v>26</x:v>
      </x:c>
      <x:c r="B12" s="21" t="n">
        <x:v>1</x:v>
      </x:c>
      <x:c r="C12" s="29" t="str">
        <x:v>Σίμων</x:v>
      </x:c>
      <x:c r="D12" s="27" t="str">
        <x:v>Simōn</x:v>
      </x:c>
      <x:c r="E12" s="20" t="str">
        <x:v>Simon (i.e. Shimon), the name of nine Israelites</x:v>
      </x:c>
      <x:c r="F12" s="20" t="str">
        <x:v>人名</x:v>
      </x:c>
      <x:c r="G12" s="21" t="n">
        <x:v>4</x:v>
      </x:c>
      <x:c r="H12" s="21" t="str">
        <x:v>G4613</x:v>
      </x:c>
      <x:c r="I12" s="21" t="str">
        <x:v>BBG 課序</x:v>
      </x:c>
    </x:row>
    <x:row r="13" ht="30" customHeight="1">
      <x:c r="A13" s="21" t="n">
        <x:v>47</x:v>
      </x:c>
      <x:c r="B13" s="21" t="n">
        <x:v>1</x:v>
      </x:c>
      <x:c r="C13" s="29" t="str">
        <x:v>Ἰησοῦς</x:v>
      </x:c>
      <x:c r="D13" s="27" t="str">
        <x:v>Iēsous</x:v>
      </x:c>
      <x:c r="E13" s="20" t="str">
        <x:v>Jesus (i.e. Jehoshua), the name of our Lord and two (three) other Israelites</x:v>
      </x:c>
      <x:c r="F13" s="20" t="str">
        <x:v>人名、神名／稱號</x:v>
      </x:c>
      <x:c r="G13" s="21" t="n">
        <x:v>7</x:v>
      </x:c>
      <x:c r="H13" s="21" t="str">
        <x:v>G2424</x:v>
      </x:c>
      <x:c r="I13" s="21" t="str">
        <x:v>BBG 課序</x:v>
      </x:c>
    </x:row>
    <x:row r="14" ht="30" customHeight="1">
      <x:c r="A14" s="21" t="n">
        <x:v>65</x:v>
      </x:c>
      <x:c r="B14" s="21" t="n">
        <x:v>2</x:v>
      </x:c>
      <x:c r="C14" s="29" t="str">
        <x:v>Ἰωάννης</x:v>
      </x:c>
      <x:c r="D14" s="27" t="str">
        <x:v>Iōannēs</x:v>
      </x:c>
      <x:c r="E14" s="20" t="str">
        <x:v>Joannes (i.e. Jochanan), the name of four Israelites</x:v>
      </x:c>
      <x:c r="F14" s="20" t="str">
        <x:v>人名</x:v>
      </x:c>
      <x:c r="G14" s="21" t="n">
        <x:v>8</x:v>
      </x:c>
      <x:c r="H14" s="21" t="str">
        <x:v>G2491</x:v>
      </x:c>
      <x:c r="I14" s="21" t="str">
        <x:v>BBG 課序</x:v>
      </x:c>
    </x:row>
    <x:row r="15" ht="30" customHeight="1">
      <x:c r="A15" s="21" t="n">
        <x:v>162</x:v>
      </x:c>
      <x:c r="B15" s="21" t="n">
        <x:v>4</x:v>
      </x:c>
      <x:c r="C15" s="29" t="str">
        <x:v>Ἰερουσαλήμ</x:v>
      </x:c>
      <x:c r="D15" s="27" t="str">
        <x:v>Ierousalēm</x:v>
      </x:c>
      <x:c r="E15" s="20" t="str">
        <x:v>Hierusalem (i.e. Jerushalem), the capitol of Palestine</x:v>
      </x:c>
      <x:c r="F15" s="20" t="str">
        <x:v>地名</x:v>
      </x:c>
      <x:c r="G15" s="21" t="n">
        <x:v>14</x:v>
      </x:c>
      <x:c r="H15" s="21" t="str">
        <x:v>G2419</x:v>
      </x:c>
      <x:c r="I15" s="21" t="str">
        <x:v>BBG 課序</x:v>
      </x:c>
    </x:row>
    <x:row r="16" ht="30" customHeight="1">
      <x:c r="A16" s="21" t="n">
        <x:v>209</x:v>
      </x:c>
      <x:c r="B16" s="21" t="n">
        <x:v>5</x:v>
      </x:c>
      <x:c r="C16" s="29" t="str">
        <x:v>Ἰουδαία</x:v>
      </x:c>
      <x:c r="D16" s="27" t="str">
        <x:v>Ioudaia</x:v>
      </x:c>
      <x:c r="E16" s="20" t="str">
        <x:v>the Judæan land (i.e. Judæa), a region of Palestine</x:v>
      </x:c>
      <x:c r="F16" s="20" t="str">
        <x:v>地名</x:v>
      </x:c>
      <x:c r="G16" s="21" t="n">
        <x:v>19</x:v>
      </x:c>
      <x:c r="H16" s="21" t="str">
        <x:v>G2449</x:v>
      </x:c>
      <x:c r="I16" s="21" t="str">
        <x:v>BBG 課序</x:v>
      </x:c>
    </x:row>
    <x:row r="17" ht="30" customHeight="1">
      <x:c r="A17" s="21" t="n">
        <x:v>210</x:v>
      </x:c>
      <x:c r="B17" s="21" t="n">
        <x:v>5</x:v>
      </x:c>
      <x:c r="C17" s="29" t="str">
        <x:v>Ἰουδαῖος</x:v>
      </x:c>
      <x:c r="D17" s="27" t="str">
        <x:v>Ioudaios</x:v>
      </x:c>
      <x:c r="E17" s="20" t="str">
        <x:v>Judæan, i.e. belonging to Jehudah</x:v>
      </x:c>
      <x:c r="F17" s="20" t="str">
        <x:v>民族／國族</x:v>
      </x:c>
      <x:c r="G17" s="21" t="n">
        <x:v>19</x:v>
      </x:c>
      <x:c r="H17" s="21" t="str">
        <x:v>G2453</x:v>
      </x:c>
      <x:c r="I17" s="21" t="str">
        <x:v>BBG 課序</x:v>
      </x:c>
    </x:row>
    <x:row r="18" ht="30" customHeight="1">
      <x:c r="A18" s="21" t="n">
        <x:v>211</x:v>
      </x:c>
      <x:c r="B18" s="21" t="n">
        <x:v>5</x:v>
      </x:c>
      <x:c r="C18" s="29" t="str">
        <x:v>Ἰσραήλ</x:v>
      </x:c>
      <x:c r="D18" s="27" t="str">
        <x:v>Israēl</x:v>
      </x:c>
      <x:c r="E18" s="20" t="str">
        <x:v>Israel (i.e. Jisrael), the adopted name of Jacob, including his descendants (literally or figuratively)</x:v>
      </x:c>
      <x:c r="F18" s="20" t="str">
        <x:v>人名、民族／國族</x:v>
      </x:c>
      <x:c r="G18" s="21" t="n">
        <x:v>19</x:v>
      </x:c>
      <x:c r="H18" s="21" t="str">
        <x:v>G2474</x:v>
      </x:c>
      <x:c r="I18" s="21" t="str">
        <x:v>BBG 課序</x:v>
      </x:c>
    </x:row>
    <x:row r="19" ht="30" customHeight="1">
      <x:c r="A19" s="21" t="n">
        <x:v>239</x:v>
      </x:c>
      <x:c r="B19" s="21" t="n">
        <x:v>5</x:v>
      </x:c>
      <x:c r="C19" s="29" t="str">
        <x:v>Φαρισαῖος</x:v>
      </x:c>
      <x:c r="D19" s="27" t="str">
        <x:v>Pharisaios</x:v>
      </x:c>
      <x:c r="E19" s="20" t="str">
        <x:v>a separatist, i.e. exclusively religious; a Pharisean, i.e. Jewish sectary</x:v>
      </x:c>
      <x:c r="F19" s="20" t="str">
        <x:v>民族／國族</x:v>
      </x:c>
      <x:c r="G19" s="21" t="n">
        <x:v>21</x:v>
      </x:c>
      <x:c r="H19" s="21" t="str">
        <x:v>G5330</x:v>
      </x:c>
      <x:c r="I19" s="21" t="str">
        <x:v>BBG 課序</x:v>
      </x:c>
    </x:row>
    <x:row r="20" ht="30" customHeight="1">
      <x:c r="A20" s="21" t="n">
        <x:v>281</x:v>
      </x:c>
      <x:c r="B20" s="21" t="n">
        <x:v>6</x:v>
      </x:c>
      <x:c r="C20" s="29" t="str">
        <x:v>Ἱεροσόλυμα</x:v>
      </x:c>
      <x:c r="D20" s="27" t="str">
        <x:v>Hierosoluma</x:v>
      </x:c>
      <x:c r="E20" s="20" t="str">
        <x:v>Hierosolyma (i.e. Jerushalaim), the capitol of Palestine</x:v>
      </x:c>
      <x:c r="F20" s="20" t="str">
        <x:v>地名</x:v>
      </x:c>
      <x:c r="G20" s="21" t="n">
        <x:v>27</x:v>
      </x:c>
      <x:c r="H20" s="21" t="str">
        <x:v>G2414</x:v>
      </x:c>
      <x:c r="I20" s="21" t="str">
        <x:v>BBG 課序</x:v>
      </x:c>
    </x:row>
    <x:row r="21" ht="30" customHeight="1">
      <x:c r="A21" s="21" t="n">
        <x:v>313</x:v>
      </x:c>
      <x:c r="B21" s="21" t="n">
        <x:v>7</x:v>
      </x:c>
      <x:c r="C21" s="29" t="str">
        <x:v>Μωϋσῆς</x:v>
      </x:c>
      <x:c r="D21" s="27" t="str">
        <x:v>Mōusēs</x:v>
      </x:c>
      <x:c r="E21" s="20" t="str"/>
      <x:c r="F21" s="20" t="str">
        <x:v>人名</x:v>
      </x:c>
      <x:c r="G21" s="21" t="n">
        <x:v>34</x:v>
      </x:c>
      <x:c r="H21" s="21" t="str"/>
      <x:c r="I21" s="21" t="str">
        <x:v>BBG 課序</x:v>
      </x:c>
    </x:row>
    <x:row r="22" ht="30" customHeight="1">
      <x:c r="A22" s="21" t="n">
        <x:v>364</x:v>
      </x:c>
      <x:c r="B22" s="21" t="n">
        <x:v>8</x:v>
      </x:c>
      <x:c r="C22" s="29" t="str">
        <x:v>Ἰούδας</x:v>
      </x:c>
      <x:c r="D22" s="27" t="str">
        <x:v>Ioudas</x:v>
      </x:c>
      <x:c r="E22" s="20" t="str">
        <x:v>Judas (i.e. Jehudah), the name of ten Israelites; also of the posterity of one of them and its region</x:v>
      </x:c>
      <x:c r="F22" s="20" t="str">
        <x:v>人名、地名、民族／國族</x:v>
      </x:c>
      <x:c r="G22" s="21"/>
      <x:c r="H22" s="21" t="str">
        <x:v>G2455</x:v>
      </x:c>
      <x:c r="I22" s="21" t="str">
        <x:v>Mounce 頻率延伸</x:v>
      </x:c>
    </x:row>
    <x:row r="23" ht="30" customHeight="1">
      <x:c r="A23" s="21" t="n">
        <x:v>370</x:v>
      </x:c>
      <x:c r="B23" s="21" t="n">
        <x:v>8</x:v>
      </x:c>
      <x:c r="C23" s="29" t="str">
        <x:v>Ἡρῴδης</x:v>
      </x:c>
      <x:c r="D23" s="27" t="str">
        <x:v>Hērōidēs</x:v>
      </x:c>
      <x:c r="E23" s="20" t="str"/>
      <x:c r="F23" s="20" t="str">
        <x:v>人名</x:v>
      </x:c>
      <x:c r="G23" s="21"/>
      <x:c r="H23" s="21" t="str"/>
      <x:c r="I23" s="21" t="str">
        <x:v>Mounce 頻率延伸</x:v>
      </x:c>
    </x:row>
    <x:row r="24" ht="30" customHeight="1">
      <x:c r="A24" s="21" t="n">
        <x:v>377</x:v>
      </x:c>
      <x:c r="B24" s="21" t="n">
        <x:v>8</x:v>
      </x:c>
      <x:c r="C24" s="29" t="str">
        <x:v>Ἰάκωβος</x:v>
      </x:c>
      <x:c r="D24" s="27" t="str">
        <x:v>Iakōbos</x:v>
      </x:c>
      <x:c r="E24" s="20" t="str">
        <x:v>Jacobus, the name of three Israelites</x:v>
      </x:c>
      <x:c r="F24" s="20" t="str">
        <x:v>人名</x:v>
      </x:c>
      <x:c r="G24" s="21"/>
      <x:c r="H24" s="21" t="str">
        <x:v>G2385</x:v>
      </x:c>
      <x:c r="I24" s="21" t="str">
        <x:v>Mounce 頻率延伸</x:v>
      </x:c>
    </x:row>
    <x:row r="25" ht="30" customHeight="1">
      <x:c r="A25" s="21" t="n">
        <x:v>428</x:v>
      </x:c>
      <x:c r="B25" s="21" t="n">
        <x:v>9</x:v>
      </x:c>
      <x:c r="C25" s="29" t="str">
        <x:v>Φίλιππος</x:v>
      </x:c>
      <x:c r="D25" s="27" t="str">
        <x:v>Philippos</x:v>
      </x:c>
      <x:c r="E25" s="20" t="str">
        <x:v>fond of horses; Philippus, the name of four Israelites</x:v>
      </x:c>
      <x:c r="F25" s="20" t="str">
        <x:v>人名</x:v>
      </x:c>
      <x:c r="G25" s="21"/>
      <x:c r="H25" s="21" t="str">
        <x:v>G5376</x:v>
      </x:c>
      <x:c r="I25" s="21" t="str">
        <x:v>Mounce 頻率延伸</x:v>
      </x:c>
    </x:row>
    <x:row r="26" ht="30" customHeight="1">
      <x:c r="A26" s="21" t="n">
        <x:v>430</x:v>
      </x:c>
      <x:c r="B26" s="21" t="n">
        <x:v>9</x:v>
      </x:c>
      <x:c r="C26" s="29" t="str">
        <x:v>Ἰωσήφ</x:v>
      </x:c>
      <x:c r="D26" s="27" t="str">
        <x:v>Iōsēph</x:v>
      </x:c>
      <x:c r="E26" s="20" t="str">
        <x:v>Joseph, the name of seven Israelites</x:v>
      </x:c>
      <x:c r="F26" s="20" t="str">
        <x:v>人名</x:v>
      </x:c>
      <x:c r="G26" s="21"/>
      <x:c r="H26" s="21" t="str">
        <x:v>G2501</x:v>
      </x:c>
      <x:c r="I26" s="21" t="str">
        <x:v>Mounce 頻率延伸</x:v>
      </x:c>
    </x:row>
    <x:row r="27" ht="30" customHeight="1">
      <x:c r="A27" s="21" t="n">
        <x:v>480</x:v>
      </x:c>
      <x:c r="B27" s="21" t="n">
        <x:v>10</x:v>
      </x:c>
      <x:c r="C27" s="29" t="str">
        <x:v>Ἠλίας</x:v>
      </x:c>
      <x:c r="D27" s="27" t="str">
        <x:v>Ēlias</x:v>
      </x:c>
      <x:c r="E27" s="20" t="str">
        <x:v>Helias (i.e. Elijah), an Israelite</x:v>
      </x:c>
      <x:c r="F27" s="20" t="str">
        <x:v>人名</x:v>
      </x:c>
      <x:c r="G27" s="21"/>
      <x:c r="H27" s="21" t="str">
        <x:v>G2243</x:v>
      </x:c>
      <x:c r="I27" s="21" t="str">
        <x:v>Mounce 頻率延伸</x:v>
      </x:c>
    </x:row>
    <x:row r="28" ht="30" customHeight="1">
      <x:c r="A28" s="21" t="n">
        <x:v>482</x:v>
      </x:c>
      <x:c r="B28" s="21" t="n">
        <x:v>10</x:v>
      </x:c>
      <x:c r="C28" s="29" t="str">
        <x:v>Καῖσαρ</x:v>
      </x:c>
      <x:c r="D28" s="27" t="str">
        <x:v>Kaisar</x:v>
      </x:c>
      <x:c r="E28" s="20" t="str">
        <x:v>Cæsar, a title of the Roman emperor</x:v>
      </x:c>
      <x:c r="F28" s="20" t="str">
        <x:v>人名</x:v>
      </x:c>
      <x:c r="G28" s="21"/>
      <x:c r="H28" s="21" t="str">
        <x:v>G2541</x:v>
      </x:c>
      <x:c r="I28" s="21" t="str">
        <x:v>Mounce 頻率延伸</x:v>
      </x:c>
    </x:row>
    <x:row r="29" ht="30" customHeight="1">
      <x:c r="A29" s="21" t="n">
        <x:v>496</x:v>
      </x:c>
      <x:c r="B29" s="21" t="n">
        <x:v>10</x:v>
      </x:c>
      <x:c r="C29" s="29" t="str">
        <x:v>Βαρναβᾶς</x:v>
      </x:c>
      <x:c r="D29" s="27" t="str">
        <x:v>Barnabas</x:v>
      </x:c>
      <x:c r="E29" s="20" t="str">
        <x:v>son of Nabas (i.e. prophecy); Barnabas, an Israelite</x:v>
      </x:c>
      <x:c r="F29" s="20" t="str">
        <x:v>人名</x:v>
      </x:c>
      <x:c r="G29" s="21"/>
      <x:c r="H29" s="21" t="str">
        <x:v>G921</x:v>
      </x:c>
      <x:c r="I29" s="21" t="str">
        <x:v>Mounce 頻率延伸</x:v>
      </x:c>
    </x:row>
    <x:row r="30" ht="30" customHeight="1">
      <x:c r="A30" s="21" t="n">
        <x:v>512</x:v>
      </x:c>
      <x:c r="B30" s="21" t="n">
        <x:v>11</x:v>
      </x:c>
      <x:c r="C30" s="29" t="str">
        <x:v>Ἰακώβ</x:v>
      </x:c>
      <x:c r="D30" s="27" t="str">
        <x:v>Iakōb</x:v>
      </x:c>
      <x:c r="E30" s="20" t="str">
        <x:v>Jacob (i.e. Ja`akob), the progenitor of the Israelites</x:v>
      </x:c>
      <x:c r="F30" s="20" t="str">
        <x:v>人名</x:v>
      </x:c>
      <x:c r="G30" s="21"/>
      <x:c r="H30" s="21" t="str">
        <x:v>G2384</x:v>
      </x:c>
      <x:c r="I30" s="21" t="str">
        <x:v>Mounce 頻率延伸</x:v>
      </x:c>
    </x:row>
    <x:row r="31" ht="30" customHeight="1">
      <x:c r="A31" s="21" t="n">
        <x:v>517</x:v>
      </x:c>
      <x:c r="B31" s="21" t="n">
        <x:v>11</x:v>
      </x:c>
      <x:c r="C31" s="29" t="str">
        <x:v>Μαρία</x:v>
      </x:c>
      <x:c r="D31" s="27" t="str">
        <x:v>Maria</x:v>
      </x:c>
      <x:c r="E31" s="20" t="str">
        <x:v>Maria or Mariam (i.e. Mirjam), the name of six Christian females</x:v>
      </x:c>
      <x:c r="F31" s="20" t="str">
        <x:v>人名</x:v>
      </x:c>
      <x:c r="G31" s="21"/>
      <x:c r="H31" s="21" t="str">
        <x:v>G3137</x:v>
      </x:c>
      <x:c r="I31" s="21" t="str">
        <x:v>Mounce 頻率延伸</x:v>
      </x:c>
    </x:row>
    <x:row r="32" ht="30" customHeight="1">
      <x:c r="A32" s="21" t="n">
        <x:v>518</x:v>
      </x:c>
      <x:c r="B32" s="21" t="n">
        <x:v>11</x:v>
      </x:c>
      <x:c r="C32" s="29" t="str">
        <x:v>Μαριάμ</x:v>
      </x:c>
      <x:c r="D32" s="27" t="str">
        <x:v>Mariam</x:v>
      </x:c>
      <x:c r="E32" s="20" t="str"/>
      <x:c r="F32" s="20" t="str">
        <x:v>人名</x:v>
      </x:c>
      <x:c r="G32" s="21"/>
      <x:c r="H32" s="21" t="str"/>
      <x:c r="I32" s="21" t="str">
        <x:v>Mounce 頻率延伸</x:v>
      </x:c>
    </x:row>
    <x:row r="33" ht="30" customHeight="1">
      <x:c r="A33" s="21" t="n">
        <x:v>538</x:v>
      </x:c>
      <x:c r="B33" s="21" t="n">
        <x:v>11</x:v>
      </x:c>
      <x:c r="C33" s="29" t="str">
        <x:v>Αἴγυπτος</x:v>
      </x:c>
      <x:c r="D33" s="27" t="str">
        <x:v>Aiguptos</x:v>
      </x:c>
      <x:c r="E33" s="20" t="str">
        <x:v>Ægyptus, the land of the Nile</x:v>
      </x:c>
      <x:c r="F33" s="20" t="str">
        <x:v>地名</x:v>
      </x:c>
      <x:c r="G33" s="21"/>
      <x:c r="H33" s="21" t="str">
        <x:v>G125</x:v>
      </x:c>
      <x:c r="I33" s="21" t="str">
        <x:v>Mounce 頻率延伸</x:v>
      </x:c>
    </x:row>
    <x:row r="34" ht="30" customHeight="1">
      <x:c r="A34" s="21" t="n">
        <x:v>544</x:v>
      </x:c>
      <x:c r="B34" s="21" t="n">
        <x:v>11</x:v>
      </x:c>
      <x:c r="C34" s="29" t="str">
        <x:v>Ἕλλην</x:v>
      </x:c>
      <x:c r="D34" s="27" t="str">
        <x:v>Hellēn</x:v>
      </x:c>
      <x:c r="E34" s="20" t="str">
        <x:v>a Hellen (Grecian) or inhabitant of Hellas; by extension a Greek-speaking person, especially a non-Jew</x:v>
      </x:c>
      <x:c r="F34" s="20" t="str">
        <x:v>民族／國族</x:v>
      </x:c>
      <x:c r="G34" s="21"/>
      <x:c r="H34" s="21" t="str">
        <x:v>G1672</x:v>
      </x:c>
      <x:c r="I34" s="21" t="str">
        <x:v>Mounce 頻率延伸</x:v>
      </x:c>
    </x:row>
    <x:row r="35" ht="30" customHeight="1">
      <x:c r="A35" s="21" t="n">
        <x:v>570</x:v>
      </x:c>
      <x:c r="B35" s="21" t="n">
        <x:v>12</x:v>
      </x:c>
      <x:c r="C35" s="29" t="str">
        <x:v>Τιμόθεος</x:v>
      </x:c>
      <x:c r="D35" s="27" t="str">
        <x:v>Timotheos</x:v>
      </x:c>
      <x:c r="E35" s="20" t="str">
        <x:v>dear to God; Timotheus, a Christian</x:v>
      </x:c>
      <x:c r="F35" s="20" t="str">
        <x:v>人名</x:v>
      </x:c>
      <x:c r="G35" s="21"/>
      <x:c r="H35" s="21" t="str">
        <x:v>G5095</x:v>
      </x:c>
      <x:c r="I35" s="21" t="str">
        <x:v>Mounce 頻率延伸</x:v>
      </x:c>
    </x:row>
    <x:row r="36" ht="30" customHeight="1">
      <x:c r="A36" s="21" t="n">
        <x:v>597</x:v>
      </x:c>
      <x:c r="B36" s="21" t="n">
        <x:v>12</x:v>
      </x:c>
      <x:c r="C36" s="29" t="str">
        <x:v>Ἠσαΐας</x:v>
      </x:c>
      <x:c r="D36" s="27" t="str">
        <x:v>Ēsaias</x:v>
      </x:c>
      <x:c r="E36" s="20" t="str">
        <x:v>Hesaias (i.e. Jeshajah), an Israelite</x:v>
      </x:c>
      <x:c r="F36" s="20" t="str">
        <x:v>人名</x:v>
      </x:c>
      <x:c r="G36" s="21"/>
      <x:c r="H36" s="21" t="str">
        <x:v>G2268</x:v>
      </x:c>
      <x:c r="I36" s="21" t="str">
        <x:v>Mounce 頻率延伸</x:v>
      </x:c>
    </x:row>
    <x:row r="37" ht="30" customHeight="1">
      <x:c r="A37" s="21" t="n">
        <x:v>603</x:v>
      </x:c>
      <x:c r="B37" s="21" t="n">
        <x:v>13</x:v>
      </x:c>
      <x:c r="C37" s="29" t="str">
        <x:v>Μακεδονία</x:v>
      </x:c>
      <x:c r="D37" s="27" t="str">
        <x:v>Makedonia</x:v>
      </x:c>
      <x:c r="E37" s="20" t="str">
        <x:v>Macedonia, a region of Greece</x:v>
      </x:c>
      <x:c r="F37" s="20" t="str">
        <x:v>地名</x:v>
      </x:c>
      <x:c r="G37" s="21"/>
      <x:c r="H37" s="21" t="str">
        <x:v>G3109</x:v>
      </x:c>
      <x:c r="I37" s="21" t="str">
        <x:v>Mounce 頻率延伸</x:v>
      </x:c>
    </x:row>
    <x:row r="38" ht="30" customHeight="1">
      <x:c r="A38" s="21" t="n">
        <x:v>636</x:v>
      </x:c>
      <x:c r="B38" s="21" t="n">
        <x:v>13</x:v>
      </x:c>
      <x:c r="C38" s="29" t="str">
        <x:v>Ἰσαάκ</x:v>
      </x:c>
      <x:c r="D38" s="27" t="str">
        <x:v>Isaak</x:v>
      </x:c>
      <x:c r="E38" s="20" t="str">
        <x:v>Isaac (i.e. Jitschak), the son of Abraham</x:v>
      </x:c>
      <x:c r="F38" s="20" t="str">
        <x:v>人名</x:v>
      </x:c>
      <x:c r="G38" s="21"/>
      <x:c r="H38" s="21" t="str">
        <x:v>G2464</x:v>
      </x:c>
      <x:c r="I38" s="21" t="str">
        <x:v>Mounce 頻率延伸</x:v>
      </x:c>
    </x:row>
    <x:row r="39" ht="30" customHeight="1">
      <x:c r="A39" s="21" t="n">
        <x:v>670</x:v>
      </x:c>
      <x:c r="B39" s="21" t="n">
        <x:v>14</x:v>
      </x:c>
      <x:c r="C39" s="29" t="str">
        <x:v>Ἀντιόχεια</x:v>
      </x:c>
      <x:c r="D39" s="27" t="str">
        <x:v>Antiocheia</x:v>
      </x:c>
      <x:c r="E39" s="20" t="str">
        <x:v>Antiochia, a place in Syria</x:v>
      </x:c>
      <x:c r="F39" s="20" t="str">
        <x:v>地名</x:v>
      </x:c>
      <x:c r="G39" s="21"/>
      <x:c r="H39" s="21" t="str">
        <x:v>G490</x:v>
      </x:c>
      <x:c r="I39" s="21" t="str">
        <x:v>Mounce 頻率延伸</x:v>
      </x:c>
    </x:row>
    <x:row r="40" ht="30" customHeight="1">
      <x:c r="A40" s="21" t="n">
        <x:v>674</x:v>
      </x:c>
      <x:c r="B40" s="21" t="n">
        <x:v>14</x:v>
      </x:c>
      <x:c r="C40" s="29" t="str">
        <x:v>Ἀσία</x:v>
      </x:c>
      <x:c r="D40" s="27" t="str">
        <x:v>Asia</x:v>
      </x:c>
      <x:c r="E40" s="20" t="str">
        <x:v>Asia, i.e. Asia Minor, or (usually) only its western shore</x:v>
      </x:c>
      <x:c r="F40" s="20" t="str">
        <x:v>地名</x:v>
      </x:c>
      <x:c r="G40" s="21"/>
      <x:c r="H40" s="21" t="str">
        <x:v>G773</x:v>
      </x:c>
      <x:c r="I40" s="21" t="str">
        <x:v>Mounce 頻率延伸</x:v>
      </x:c>
    </x:row>
    <x:row r="41" ht="30" customHeight="1">
      <x:c r="A41" s="21" t="n">
        <x:v>713</x:v>
      </x:c>
      <x:c r="B41" s="21" t="n">
        <x:v>15</x:v>
      </x:c>
      <x:c r="C41" s="29" t="str">
        <x:v>Καισάρεια</x:v>
      </x:c>
      <x:c r="D41" s="27" t="str">
        <x:v>Kaisareia</x:v>
      </x:c>
      <x:c r="E41" s="20" t="str">
        <x:v>Cæsaria, the name of two places in Palestine</x:v>
      </x:c>
      <x:c r="F41" s="20" t="str">
        <x:v>地名</x:v>
      </x:c>
      <x:c r="G41" s="21"/>
      <x:c r="H41" s="21" t="str">
        <x:v>G2542</x:v>
      </x:c>
      <x:c r="I41" s="21" t="str">
        <x:v>Mounce 頻率延伸</x:v>
      </x:c>
    </x:row>
    <x:row r="42" ht="30" customHeight="1">
      <x:c r="A42" s="21" t="n">
        <x:v>751</x:v>
      </x:c>
      <x:c r="B42" s="21" t="n">
        <x:v>16</x:v>
      </x:c>
      <x:c r="C42" s="29" t="str">
        <x:v>Ἔφεσος</x:v>
      </x:c>
      <x:c r="D42" s="27" t="str">
        <x:v>Ephesos</x:v>
      </x:c>
      <x:c r="E42" s="20" t="str">
        <x:v>Ephesus, a city of Asia Minor</x:v>
      </x:c>
      <x:c r="F42" s="20" t="str">
        <x:v>地名</x:v>
      </x:c>
      <x:c r="G42" s="21"/>
      <x:c r="H42" s="21" t="str">
        <x:v>G2181</x:v>
      </x:c>
      <x:c r="I42" s="21" t="str">
        <x:v>Mounce 頻率延伸</x:v>
      </x:c>
    </x:row>
    <x:row r="43" ht="30" customHeight="1">
      <x:c r="A43" s="21" t="n">
        <x:v>755</x:v>
      </x:c>
      <x:c r="B43" s="21" t="n">
        <x:v>16</x:v>
      </x:c>
      <x:c r="C43" s="29" t="str">
        <x:v>Καφαρναούμ</x:v>
      </x:c>
      <x:c r="D43" s="27" t="str">
        <x:v>Kapharnaoum</x:v>
      </x:c>
      <x:c r="E43" s="20" t="str"/>
      <x:c r="F43" s="20" t="str">
        <x:v>地名</x:v>
      </x:c>
      <x:c r="G43" s="21"/>
      <x:c r="H43" s="21" t="str"/>
      <x:c r="I43" s="21" t="str">
        <x:v>Mounce 頻率延伸</x:v>
      </x:c>
    </x:row>
    <x:row r="44" ht="30" customHeight="1">
      <x:c r="A44" s="21" t="n">
        <x:v>781</x:v>
      </x:c>
      <x:c r="B44" s="21" t="n">
        <x:v>16</x:v>
      </x:c>
      <x:c r="C44" s="29" t="str">
        <x:v>Δαμασκός</x:v>
      </x:c>
      <x:c r="D44" s="27" t="str">
        <x:v>Damaskos</x:v>
      </x:c>
      <x:c r="E44" s="20" t="str">
        <x:v>Damascus, a city of Syria</x:v>
      </x:c>
      <x:c r="F44" s="20" t="str">
        <x:v>地名</x:v>
      </x:c>
      <x:c r="G44" s="21"/>
      <x:c r="H44" s="21" t="str">
        <x:v>G1154</x:v>
      </x:c>
      <x:c r="I44" s="21" t="str">
        <x:v>Mounce 頻率延伸</x:v>
      </x:c>
    </x:row>
    <x:row r="45" ht="30" customHeight="1">
      <x:c r="A45" s="21" t="n">
        <x:v>792</x:v>
      </x:c>
      <x:c r="B45" s="21" t="n">
        <x:v>16</x:v>
      </x:c>
      <x:c r="C45" s="29" t="str">
        <x:v>Ἰορδάνης</x:v>
      </x:c>
      <x:c r="D45" s="27" t="str">
        <x:v>Iordanēs</x:v>
      </x:c>
      <x:c r="E45" s="20" t="str">
        <x:v>the Jordanes (i.e. Jarden), a river of Palestine</x:v>
      </x:c>
      <x:c r="F45" s="20" t="str">
        <x:v>地名</x:v>
      </x:c>
      <x:c r="G45" s="21"/>
      <x:c r="H45" s="21" t="str">
        <x:v>G2446</x:v>
      </x:c>
      <x:c r="I45" s="21" t="str">
        <x:v>Mounce 頻率延伸</x:v>
      </x:c>
    </x:row>
    <x:row r="46" ht="30" customHeight="1">
      <x:c r="A46" s="21" t="n">
        <x:v>796</x:v>
      </x:c>
      <x:c r="B46" s="21" t="n">
        <x:v>16</x:v>
      </x:c>
      <x:c r="C46" s="29" t="str">
        <x:v>Λάζαρος</x:v>
      </x:c>
      <x:c r="D46" s="27" t="str">
        <x:v>Lazaros</x:v>
      </x:c>
      <x:c r="E46" s="20" t="str">
        <x:v>Lazarus (i.e. Elazar), the name of two Israelites (one imaginary)</x:v>
      </x:c>
      <x:c r="F46" s="20" t="str">
        <x:v>人名</x:v>
      </x:c>
      <x:c r="G46" s="21"/>
      <x:c r="H46" s="21" t="str">
        <x:v>G2976</x:v>
      </x:c>
      <x:c r="I46" s="21" t="str">
        <x:v>Mounce 頻率延伸</x:v>
      </x:c>
    </x:row>
    <x:row r="47" ht="30" customHeight="1">
      <x:c r="A47" s="21" t="n">
        <x:v>814</x:v>
      </x:c>
      <x:c r="B47" s="21" t="n">
        <x:v>17</x:v>
      </x:c>
      <x:c r="C47" s="29" t="str">
        <x:v>Σαῦλος</x:v>
      </x:c>
      <x:c r="D47" s="27" t="str">
        <x:v>Saulos</x:v>
      </x:c>
      <x:c r="E47" s="20" t="str">
        <x:v>Saulus (i.e. Shaul), the Jewish name of Paul</x:v>
      </x:c>
      <x:c r="F47" s="20" t="str">
        <x:v>人名</x:v>
      </x:c>
      <x:c r="G47" s="21"/>
      <x:c r="H47" s="21" t="str">
        <x:v>G4569</x:v>
      </x:c>
      <x:c r="I47" s="21" t="str">
        <x:v>Mounce 頻率延伸</x:v>
      </x:c>
    </x:row>
    <x:row r="48" ht="30" customHeight="1">
      <x:c r="A48" s="21" t="n">
        <x:v>864</x:v>
      </x:c>
      <x:c r="B48" s="21" t="n">
        <x:v>18</x:v>
      </x:c>
      <x:c r="C48" s="29" t="str">
        <x:v>Σαδδουκαῖος</x:v>
      </x:c>
      <x:c r="D48" s="27" t="str">
        <x:v>Saddoukaios</x:v>
      </x:c>
      <x:c r="E48" s="20" t="str">
        <x:v>a Sadducæan (i.e. Tsadokian), or follower of a certain heretical Israelite</x:v>
      </x:c>
      <x:c r="F48" s="20" t="str">
        <x:v>民族／國族</x:v>
      </x:c>
      <x:c r="G48" s="21"/>
      <x:c r="H48" s="21" t="str">
        <x:v>G4523</x:v>
      </x:c>
      <x:c r="I48" s="21" t="str">
        <x:v>Mounce 頻率延伸</x:v>
      </x:c>
    </x:row>
    <x:row r="49" ht="30" customHeight="1">
      <x:c r="A49" s="21" t="n">
        <x:v>875</x:v>
      </x:c>
      <x:c r="B49" s="21" t="n">
        <x:v>18</x:v>
      </x:c>
      <x:c r="C49" s="29" t="str">
        <x:v>Ἀνδρέας</x:v>
      </x:c>
      <x:c r="D49" s="27" t="str">
        <x:v>Andreas</x:v>
      </x:c>
      <x:c r="E49" s="20" t="str">
        <x:v>manly; Andreas, an Israelite</x:v>
      </x:c>
      <x:c r="F49" s="20" t="str">
        <x:v>人名</x:v>
      </x:c>
      <x:c r="G49" s="21"/>
      <x:c r="H49" s="21" t="str">
        <x:v>G406</x:v>
      </x:c>
      <x:c r="I49" s="21" t="str">
        <x:v>Mounce 頻率延伸</x:v>
      </x:c>
    </x:row>
    <x:row r="50" ht="30" customHeight="1">
      <x:c r="A50" s="21" t="n">
        <x:v>896</x:v>
      </x:c>
      <x:c r="B50" s="21" t="n">
        <x:v>18</x:v>
      </x:c>
      <x:c r="C50" s="29" t="str">
        <x:v>Μάρθα</x:v>
      </x:c>
      <x:c r="D50" s="27" t="str">
        <x:v>Martha</x:v>
      </x:c>
      <x:c r="E50" s="20" t="str">
        <x:v>Martha, a Christian woman</x:v>
      </x:c>
      <x:c r="F50" s="20" t="str">
        <x:v>人名</x:v>
      </x:c>
      <x:c r="G50" s="21"/>
      <x:c r="H50" s="21" t="str">
        <x:v>G3136</x:v>
      </x:c>
      <x:c r="I50" s="21" t="str">
        <x:v>Mounce 頻率延伸</x:v>
      </x:c>
    </x:row>
    <x:row r="51" ht="30" customHeight="1">
      <x:c r="A51" s="21" t="n">
        <x:v>897</x:v>
      </x:c>
      <x:c r="B51" s="21" t="n">
        <x:v>18</x:v>
      </x:c>
      <x:c r="C51" s="29" t="str">
        <x:v>Ναζωραῖος</x:v>
      </x:c>
      <x:c r="D51" s="27" t="str">
        <x:v>Nazōraios</x:v>
      </x:c>
      <x:c r="E51" s="20" t="str">
        <x:v>a Nazoræan, i.e. inhabitant of Nazareth; by extension, a Christian</x:v>
      </x:c>
      <x:c r="F51" s="20" t="str">
        <x:v>民族／國族</x:v>
      </x:c>
      <x:c r="G51" s="21"/>
      <x:c r="H51" s="21" t="str">
        <x:v>G3480</x:v>
      </x:c>
      <x:c r="I51" s="21" t="str">
        <x:v>Mounce 頻率延伸</x:v>
      </x:c>
    </x:row>
    <x:row r="52" ht="30" customHeight="1">
      <x:c r="A52" s="21" t="n">
        <x:v>906</x:v>
      </x:c>
      <x:c r="B52" s="21" t="n">
        <x:v>19</x:v>
      </x:c>
      <x:c r="C52" s="29" t="str">
        <x:v>Τίτος</x:v>
      </x:c>
      <x:c r="D52" s="27" t="str">
        <x:v>Titos</x:v>
      </x:c>
      <x:c r="E52" s="20" t="str">
        <x:v>Titus, a Christian</x:v>
      </x:c>
      <x:c r="F52" s="20" t="str">
        <x:v>人名</x:v>
      </x:c>
      <x:c r="G52" s="21"/>
      <x:c r="H52" s="21" t="str">
        <x:v>G5103</x:v>
      </x:c>
      <x:c r="I52" s="21" t="str">
        <x:v>Mounce 頻率延伸</x:v>
      </x:c>
    </x:row>
    <x:row r="53" ht="30" customHeight="1">
      <x:c r="A53" s="21" t="n">
        <x:v>910</x:v>
      </x:c>
      <x:c r="B53" s="21" t="n">
        <x:v>19</x:v>
      </x:c>
      <x:c r="C53" s="29" t="str">
        <x:v>Φῆστος</x:v>
      </x:c>
      <x:c r="D53" s="27" t="str">
        <x:v>Phēstos</x:v>
      </x:c>
      <x:c r="E53" s="20" t="str">
        <x:v>festal; Phestus (i.e. Festus), a Roman</x:v>
      </x:c>
      <x:c r="F53" s="20" t="str">
        <x:v>人名</x:v>
      </x:c>
      <x:c r="G53" s="21"/>
      <x:c r="H53" s="21" t="str">
        <x:v>G5347</x:v>
      </x:c>
      <x:c r="I53" s="21" t="str">
        <x:v>Mounce 頻率延伸</x:v>
      </x:c>
    </x:row>
    <x:row r="54" ht="30" customHeight="1">
      <x:c r="A54" s="21" t="n">
        <x:v>918</x:v>
      </x:c>
      <x:c r="B54" s="21" t="n">
        <x:v>19</x:v>
      </x:c>
      <x:c r="C54" s="29" t="str">
        <x:v>Βαβυλών</x:v>
      </x:c>
      <x:c r="D54" s="27" t="str">
        <x:v>Babulōn</x:v>
      </x:c>
      <x:c r="E54" s="20" t="str">
        <x:v>Babylon, the capitol of Chaldæa (literally or figuratively (as a type of tyranny))</x:v>
      </x:c>
      <x:c r="F54" s="20" t="str">
        <x:v>地名</x:v>
      </x:c>
      <x:c r="G54" s="21"/>
      <x:c r="H54" s="21" t="str">
        <x:v>G897</x:v>
      </x:c>
      <x:c r="I54" s="21" t="str">
        <x:v>Mounce 頻率延伸</x:v>
      </x:c>
    </x:row>
    <x:row r="55" ht="30" customHeight="1">
      <x:c r="A55" s="21" t="n">
        <x:v>921</x:v>
      </x:c>
      <x:c r="B55" s="21" t="n">
        <x:v>19</x:v>
      </x:c>
      <x:c r="C55" s="29" t="str">
        <x:v>Βηθανία</x:v>
      </x:c>
      <x:c r="D55" s="27" t="str">
        <x:v>Bēthania</x:v>
      </x:c>
      <x:c r="E55" s="20" t="str">
        <x:v>date-house; Beth-any, a place in Palestine</x:v>
      </x:c>
      <x:c r="F55" s="20" t="str">
        <x:v>地名</x:v>
      </x:c>
      <x:c r="G55" s="21"/>
      <x:c r="H55" s="21" t="str">
        <x:v>G963</x:v>
      </x:c>
      <x:c r="I55" s="21" t="str">
        <x:v>Mounce 頻率延伸</x:v>
      </x:c>
    </x:row>
    <x:row r="56" ht="30" customHeight="1">
      <x:c r="A56" s="21" t="n">
        <x:v>934</x:v>
      </x:c>
      <x:c r="B56" s="21" t="n">
        <x:v>19</x:v>
      </x:c>
      <x:c r="C56" s="29" t="str">
        <x:v>Ζεβεδαῖος</x:v>
      </x:c>
      <x:c r="D56" s="27" t="str">
        <x:v>Zebedaios</x:v>
      </x:c>
      <x:c r="E56" s="20" t="str">
        <x:v>Zebedæus, an Israelite</x:v>
      </x:c>
      <x:c r="F56" s="20" t="str">
        <x:v>人名</x:v>
      </x:c>
      <x:c r="G56" s="21"/>
      <x:c r="H56" s="21" t="str">
        <x:v>G2199</x:v>
      </x:c>
      <x:c r="I56" s="21" t="str">
        <x:v>Mounce 頻率延伸</x:v>
      </x:c>
    </x:row>
    <x:row r="57" ht="30" customHeight="1">
      <x:c r="A57" s="21" t="n">
        <x:v>943</x:v>
      </x:c>
      <x:c r="B57" s="21" t="n">
        <x:v>19</x:v>
      </x:c>
      <x:c r="C57" s="29" t="str">
        <x:v>Μαγδαληνή</x:v>
      </x:c>
      <x:c r="D57" s="27" t="str">
        <x:v>Magdalēnē</x:v>
      </x:c>
      <x:c r="E57" s="20" t="str">
        <x:v>a female Magdalene, i.e. inhabitant of Magdala</x:v>
      </x:c>
      <x:c r="F57" s="20" t="str">
        <x:v>民族／國族</x:v>
      </x:c>
      <x:c r="G57" s="21"/>
      <x:c r="H57" s="21" t="str">
        <x:v>G3094</x:v>
      </x:c>
      <x:c r="I57" s="21" t="str">
        <x:v>Mounce 頻率延伸</x:v>
      </x:c>
    </x:row>
    <x:row r="58" ht="30" customHeight="1">
      <x:c r="A58" s="21" t="n">
        <x:v>963</x:v>
      </x:c>
      <x:c r="B58" s="21" t="n">
        <x:v>20</x:v>
      </x:c>
      <x:c r="C58" s="29" t="str">
        <x:v>Ῥωμαῖος</x:v>
      </x:c>
      <x:c r="D58" s="27" t="str">
        <x:v>Rhōmaios</x:v>
      </x:c>
      <x:c r="E58" s="20" t="str">
        <x:v>Romæan, i.e. Roman (as noun)</x:v>
      </x:c>
      <x:c r="F58" s="20" t="str">
        <x:v>民族／國族</x:v>
      </x:c>
      <x:c r="G58" s="21"/>
      <x:c r="H58" s="21" t="str">
        <x:v>G4514</x:v>
      </x:c>
      <x:c r="I58" s="21" t="str">
        <x:v>Mounce 頻率延伸</x:v>
      </x:c>
    </x:row>
    <x:row r="59" ht="30" customHeight="1">
      <x:c r="A59" s="21" t="n">
        <x:v>965</x:v>
      </x:c>
      <x:c r="B59" s="21" t="n">
        <x:v>20</x:v>
      </x:c>
      <x:c r="C59" s="29" t="str">
        <x:v>Σίλας</x:v>
      </x:c>
      <x:c r="D59" s="27" t="str">
        <x:v>Silas</x:v>
      </x:c>
      <x:c r="E59" s="20" t="str">
        <x:v>Silas, a Christian</x:v>
      </x:c>
      <x:c r="F59" s="20" t="str">
        <x:v>人名</x:v>
      </x:c>
      <x:c r="G59" s="21"/>
      <x:c r="H59" s="21" t="str">
        <x:v>G4609</x:v>
      </x:c>
      <x:c r="I59" s="21" t="str">
        <x:v>Mounce 頻率延伸</x:v>
      </x:c>
    </x:row>
    <x:row r="60" ht="30" customHeight="1">
      <x:c r="A60" s="21" t="n">
        <x:v>966</x:v>
      </x:c>
      <x:c r="B60" s="21" t="n">
        <x:v>20</x:v>
      </x:c>
      <x:c r="C60" s="29" t="str">
        <x:v>Σολομῶν</x:v>
      </x:c>
      <x:c r="D60" s="27" t="str">
        <x:v>Solomōn</x:v>
      </x:c>
      <x:c r="E60" s="20" t="str">
        <x:v>Solomon (i.e. Shelomoh), the son of David</x:v>
      </x:c>
      <x:c r="F60" s="20" t="str">
        <x:v>人名</x:v>
      </x:c>
      <x:c r="G60" s="21"/>
      <x:c r="H60" s="21" t="str">
        <x:v>G4672</x:v>
      </x:c>
      <x:c r="I60" s="21" t="str">
        <x:v>Mounce 頻率延伸</x:v>
      </x:c>
    </x:row>
  </x:sheetData>
  <x:mergeCells>
    <x:mergeCell ref="A1:I1"/>
    <x:mergeCell ref="A2:I2"/>
  </x:mergeCells>
  <x:pageMargins left="0.7" right="0.7" top="0.75" bottom="0.75" header="0.3" footer="0.3"/>
  <x:tableParts count="1">
    <x:tablePart xmlns:r="http://schemas.openxmlformats.org/officeDocument/2006/relationships" r:id="R4fde80bb66af4bb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5" hidden="0" customWidth="1"/>
    <x:col min="2" max="2" width="20" hidden="0" customWidth="1"/>
    <x:col min="3" max="3" width="15" hidden="0" customWidth="1"/>
    <x:col min="4" max="4" width="34" hidden="0" customWidth="1"/>
    <x:col min="5" max="5" width="4" hidden="0" customWidth="1"/>
    <x:col min="6" max="6" width="12" hidden="0" customWidth="1"/>
    <x:col min="7" max="7" width="12" hidden="0" customWidth="1"/>
    <x:col min="8" max="8" width="12" hidden="0" customWidth="1"/>
    <x:col min="9" max="9" width="12" hidden="0" customWidth="1"/>
    <x:col min="10" max="10" width="22" hidden="0" customWidth="1"/>
  </x:cols>
  <x:sheetData>
    <x:row r="1" ht="26" customHeight="1">
      <x:c r="A1" s="4" t="str">
        <x:v>課本式音標／音譯規則</x:v>
      </x:c>
      <x:c r="B1" s="4" t="str">
        <x:v>課本式音標／音譯規則</x:v>
      </x:c>
      <x:c r="C1" s="4" t="str">
        <x:v>課本式音標／音譯規則</x:v>
      </x:c>
      <x:c r="D1" s="4" t="str">
        <x:v>課本式音標／音譯規則</x:v>
      </x:c>
      <x:c r="E1" s="4" t="str">
        <x:v>課本式音標／音譯規則</x:v>
      </x:c>
      <x:c r="F1" s="4" t="str">
        <x:v>課本式音標／音譯規則</x:v>
      </x:c>
      <x:c r="G1" s="4" t="str">
        <x:v>課本式音標／音譯規則</x:v>
      </x:c>
      <x:c r="H1" s="4" t="str">
        <x:v>課本式音標／音譯規則</x:v>
      </x:c>
      <x:c r="I1" s="4" t="str">
        <x:v>課本式音標／音譯規則</x:v>
      </x:c>
      <x:c r="J1" s="4" t="str">
        <x:v>課本式音標／音譯規則</x:v>
      </x:c>
    </x:row>
    <x:row r="2" ht="26" customHeight="1">
      <x:c r="A2" s="7" t="str">
        <x:v>音譯是輔助辨音與查字的拉丁字母層；原文母音、重音與線上朗讀仍分開保存。</x:v>
      </x:c>
      <x:c r="B2" s="7" t="str">
        <x:v>音譯是輔助辨音與查字的拉丁字母層；原文母音、重音與線上朗讀仍分開保存。</x:v>
      </x:c>
      <x:c r="C2" s="7" t="str">
        <x:v>音譯是輔助辨音與查字的拉丁字母層；原文母音、重音與線上朗讀仍分開保存。</x:v>
      </x:c>
      <x:c r="D2" s="7" t="str">
        <x:v>音譯是輔助辨音與查字的拉丁字母層；原文母音、重音與線上朗讀仍分開保存。</x:v>
      </x:c>
      <x:c r="E2" s="7" t="str">
        <x:v>音譯是輔助辨音與查字的拉丁字母層；原文母音、重音與線上朗讀仍分開保存。</x:v>
      </x:c>
      <x:c r="F2" s="7" t="str">
        <x:v>音譯是輔助辨音與查字的拉丁字母層；原文母音、重音與線上朗讀仍分開保存。</x:v>
      </x:c>
      <x:c r="G2" s="7" t="str">
        <x:v>音譯是輔助辨音與查字的拉丁字母層；原文母音、重音與線上朗讀仍分開保存。</x:v>
      </x:c>
      <x:c r="H2" s="7" t="str">
        <x:v>音譯是輔助辨音與查字的拉丁字母層；原文母音、重音與線上朗讀仍分開保存。</x:v>
      </x:c>
      <x:c r="I2" s="7" t="str">
        <x:v>音譯是輔助辨音與查字的拉丁字母層；原文母音、重音與線上朗讀仍分開保存。</x:v>
      </x:c>
      <x:c r="J2" s="7" t="str">
        <x:v>音譯是輔助辨音與查字的拉丁字母層；原文母音、重音與線上朗讀仍分開保存。</x:v>
      </x:c>
    </x:row>
    <x:row r="3" ht="26" customHeight="1"/>
    <x:row r="4" ht="26" customHeight="1">
      <x:c r="A4" s="13" t="str">
        <x:v>Pratico／Van Pelt BBH2｜希伯來文</x:v>
      </x:c>
      <x:c r="B4" s="13" t="str">
        <x:v>Pratico／Van Pelt BBH2｜希伯來文</x:v>
      </x:c>
      <x:c r="C4" s="13" t="str">
        <x:v>Pratico／Van Pelt BBH2｜希伯來文</x:v>
      </x:c>
      <x:c r="D4" s="13" t="str">
        <x:v>Pratico／Van Pelt BBH2｜希伯來文</x:v>
      </x:c>
      <x:c r="F4" s="13" t="str">
        <x:v>William D. Mounce｜標準／Erasmian 希臘文</x:v>
      </x:c>
      <x:c r="G4" s="13" t="str">
        <x:v>William D. Mounce｜標準／Erasmian 希臘文</x:v>
      </x:c>
      <x:c r="H4" s="13" t="str">
        <x:v>William D. Mounce｜標準／Erasmian 希臘文</x:v>
      </x:c>
      <x:c r="I4" s="13" t="str">
        <x:v>William D. Mounce｜標準／Erasmian 希臘文</x:v>
      </x:c>
      <x:c r="J4" s="13" t="str">
        <x:v>William D. Mounce｜標準／Erasmian 希臘文</x:v>
      </x:c>
    </x:row>
    <x:row r="5" ht="26" customHeight="1">
      <x:c r="A5" s="13" t="str">
        <x:v>類別</x:v>
      </x:c>
      <x:c r="B5" s="13" t="str">
        <x:v>原文／符號</x:v>
      </x:c>
      <x:c r="C5" s="13" t="str">
        <x:v>音譯</x:v>
      </x:c>
      <x:c r="D5" s="13" t="str">
        <x:v>備註</x:v>
      </x:c>
      <x:c r="F5" s="13" t="str">
        <x:v>字母</x:v>
      </x:c>
      <x:c r="G5" s="13" t="str">
        <x:v>音譯</x:v>
      </x:c>
      <x:c r="H5" s="13" t="str">
        <x:v>字母</x:v>
      </x:c>
      <x:c r="I5" s="13" t="str">
        <x:v>音譯</x:v>
      </x:c>
      <x:c r="J5" s="13" t="str">
        <x:v>發音提醒</x:v>
      </x:c>
    </x:row>
    <x:row r="6" ht="26" customHeight="1">
      <x:c r="A6" s="16" t="str">
        <x:v>輔音</x:v>
      </x:c>
      <x:c r="B6" s="17" t="str">
        <x:v>א ב ג ד ה ו ז ח ט י</x:v>
      </x:c>
      <x:c r="C6" s="16" t="str">
        <x:v>ʾ b g d h w z ḥ ṭ y</x:v>
      </x:c>
      <x:c r="D6" s="16" t="str">
        <x:v>Begadkephat 無 dagesh 以線標記</x:v>
      </x:c>
      <x:c r="F6" s="55" t="str">
        <x:v>α</x:v>
      </x:c>
      <x:c r="G6" s="16" t="str">
        <x:v>a</x:v>
      </x:c>
      <x:c r="H6" s="55" t="str">
        <x:v>ν</x:v>
      </x:c>
      <x:c r="I6" s="16" t="str">
        <x:v>n</x:v>
      </x:c>
      <x:c r="J6" s="16" t="str">
        <x:v>α：father</x:v>
      </x:c>
    </x:row>
    <x:row r="7" ht="26" customHeight="1">
      <x:c r="A7" s="16" t="str">
        <x:v>輔音</x:v>
      </x:c>
      <x:c r="B7" s="17" t="str">
        <x:v>כ ל מ נ ס ע פ צ ק ר</x:v>
      </x:c>
      <x:c r="C7" s="16" t="str">
        <x:v>k l m n s ʿ p ṣ q r</x:v>
      </x:c>
      <x:c r="D7" s="16" t="str">
        <x:v>原文仍依完整附點顯示</x:v>
      </x:c>
      <x:c r="F7" s="55" t="str">
        <x:v>β</x:v>
      </x:c>
      <x:c r="G7" s="16" t="str">
        <x:v>b</x:v>
      </x:c>
      <x:c r="H7" s="55" t="str">
        <x:v>ξ</x:v>
      </x:c>
      <x:c r="I7" s="16" t="str">
        <x:v>x</x:v>
      </x:c>
      <x:c r="J7" s="16" t="str">
        <x:v>γ＋γ/κ/χ/ξ → n</x:v>
      </x:c>
    </x:row>
    <x:row r="8" ht="26" customHeight="1">
      <x:c r="A8" s="16" t="str">
        <x:v>輔音</x:v>
      </x:c>
      <x:c r="B8" s="17" t="str">
        <x:v>שׂ שׁ ת</x:v>
      </x:c>
      <x:c r="C8" s="16" t="str">
        <x:v>ś š t</x:v>
      </x:c>
      <x:c r="D8" s="16" t="str">
        <x:v>Sin／Shin 分列</x:v>
      </x:c>
      <x:c r="F8" s="55" t="str">
        <x:v>γ</x:v>
      </x:c>
      <x:c r="G8" s="16" t="str">
        <x:v>g</x:v>
      </x:c>
      <x:c r="H8" s="55" t="str">
        <x:v>ο</x:v>
      </x:c>
      <x:c r="I8" s="16" t="str">
        <x:v>o</x:v>
      </x:c>
      <x:c r="J8" s="16" t="str">
        <x:v>ο：not</x:v>
      </x:c>
    </x:row>
    <x:row r="9" ht="26" customHeight="1">
      <x:c r="A9" s="16" t="str">
        <x:v>長母音</x:v>
      </x:c>
      <x:c r="B9" s="17" t="str">
        <x:v>בָּ  בֵּ  בֹּ</x:v>
      </x:c>
      <x:c r="C9" s="16" t="str">
        <x:v>ā ē ō</x:v>
      </x:c>
      <x:c r="D9" s="16" t="str">
        <x:v>Qamets／Tsere／Holem</x:v>
      </x:c>
      <x:c r="F9" s="55" t="str">
        <x:v>δ</x:v>
      </x:c>
      <x:c r="G9" s="16" t="str">
        <x:v>d</x:v>
      </x:c>
      <x:c r="H9" s="55" t="str">
        <x:v>π</x:v>
      </x:c>
      <x:c r="I9" s="16" t="str">
        <x:v>p</x:v>
      </x:c>
      <x:c r="J9" s="16" t="str">
        <x:v>粗氣符號加 h</x:v>
      </x:c>
    </x:row>
    <x:row r="10" ht="26" customHeight="1">
      <x:c r="A10" s="16" t="str">
        <x:v>短母音</x:v>
      </x:c>
      <x:c r="B10" s="17" t="str">
        <x:v>בַּ  בֶּ  בִּ  בָּ  בֻּ</x:v>
      </x:c>
      <x:c r="C10" s="16" t="str">
        <x:v>a e i o u</x:v>
      </x:c>
      <x:c r="D10" s="16" t="str">
        <x:v>o 為 qamets-hatuf</x:v>
      </x:c>
      <x:c r="F10" s="55" t="str">
        <x:v>ε</x:v>
      </x:c>
      <x:c r="G10" s="16" t="str">
        <x:v>e</x:v>
      </x:c>
      <x:c r="H10" s="55" t="str">
        <x:v>ρ</x:v>
      </x:c>
      <x:c r="I10" s="16" t="str">
        <x:v>r</x:v>
      </x:c>
      <x:c r="J10" s="16" t="str">
        <x:v>粗氣 ρ → rh</x:v>
      </x:c>
    </x:row>
    <x:row r="11" ht="26" customHeight="1">
      <x:c r="A11" s="16" t="str">
        <x:v>複合 shewa</x:v>
      </x:c>
      <x:c r="B11" s="17" t="str">
        <x:v>אֲ  אֱ  אֳ</x:v>
      </x:c>
      <x:c r="C11" s="16" t="str">
        <x:v>ă ĕ ŏ</x:v>
      </x:c>
      <x:c r="D11" s="16" t="str">
        <x:v>Hateph vowels</x:v>
      </x:c>
      <x:c r="F11" s="55" t="str">
        <x:v>ζ</x:v>
      </x:c>
      <x:c r="G11" s="16" t="str">
        <x:v>z</x:v>
      </x:c>
      <x:c r="H11" s="55" t="str">
        <x:v>σ/ς</x:v>
      </x:c>
      <x:c r="I11" s="16" t="str">
        <x:v>s</x:v>
      </x:c>
      <x:c r="J11" s="16" t="str"/>
    </x:row>
    <x:row r="12" ht="26" customHeight="1">
      <x:c r="A12" s="16" t="str">
        <x:v>有聲 shewa</x:v>
      </x:c>
      <x:c r="B12" s="17" t="str">
        <x:v>בְּ</x:v>
      </x:c>
      <x:c r="C12" s="16" t="str">
        <x:v>ə</x:v>
      </x:c>
      <x:c r="D12" s="16" t="str">
        <x:v>靜音 shewa 不轉寫</x:v>
      </x:c>
      <x:c r="F12" s="55" t="str">
        <x:v>η</x:v>
      </x:c>
      <x:c r="G12" s="16" t="str">
        <x:v>ē</x:v>
      </x:c>
      <x:c r="H12" s="55" t="str">
        <x:v>τ</x:v>
      </x:c>
      <x:c r="I12" s="16" t="str">
        <x:v>t</x:v>
      </x:c>
      <x:c r="J12" s="16" t="str">
        <x:v>η：obey</x:v>
      </x:c>
    </x:row>
    <x:row r="13" ht="26" customHeight="1">
      <x:c r="A13" s="16" t="str">
        <x:v>母音字母</x:v>
      </x:c>
      <x:c r="B13" s="17" t="str">
        <x:v>בוֹ  בוּ  בִי  בֵי／בֶי</x:v>
      </x:c>
      <x:c r="C13" s="16" t="str">
        <x:v>ô û î ê</x:v>
      </x:c>
      <x:c r="D13" s="16" t="str">
        <x:v>不可把 וּ 誤判為無母音</x:v>
      </x:c>
      <x:c r="F13" s="55" t="str">
        <x:v>θ</x:v>
      </x:c>
      <x:c r="G13" s="16" t="str">
        <x:v>th</x:v>
      </x:c>
      <x:c r="H13" s="55" t="str">
        <x:v>υ</x:v>
      </x:c>
      <x:c r="I13" s="16" t="str">
        <x:v>u/y</x:v>
      </x:c>
      <x:c r="J13" s="16" t="str">
        <x:v>德語 ü 類</x:v>
      </x:c>
    </x:row>
    <x:row r="14" ht="26" customHeight="1">
      <x:c r="A14" s="16" t="str">
        <x:v>尾 ה 母音</x:v>
      </x:c>
      <x:c r="B14" s="17" t="str">
        <x:v>בָה  בֵה／בֶה  בֹה</x:v>
      </x:c>
      <x:c r="C14" s="16" t="str">
        <x:v>â ê ô</x:v>
      </x:c>
      <x:c r="D14" s="16" t="str">
        <x:v>mappiq ה 例外</x:v>
      </x:c>
      <x:c r="F14" s="55" t="str">
        <x:v>ι</x:v>
      </x:c>
      <x:c r="G14" s="16" t="str">
        <x:v>i</x:v>
      </x:c>
      <x:c r="H14" s="55" t="str">
        <x:v>φ</x:v>
      </x:c>
      <x:c r="I14" s="16" t="str">
        <x:v>ph</x:v>
      </x:c>
      <x:c r="J14" s="16" t="str"/>
    </x:row>
    <x:row r="15" ht="26" customHeight="1">
      <x:c r="A15" s="16" t="str">
        <x:v>特殊</x:v>
      </x:c>
      <x:c r="B15" s="17" t="str">
        <x:v>יְהוָה</x:v>
      </x:c>
      <x:c r="C15" s="16" t="str">
        <x:v>yhwh</x:v>
      </x:c>
      <x:c r="D15" s="16" t="str">
        <x:v>朗讀須另依 qere／教學政策處理</x:v>
      </x:c>
      <x:c r="F15" s="55" t="str">
        <x:v>κ</x:v>
      </x:c>
      <x:c r="G15" s="16" t="str">
        <x:v>k</x:v>
      </x:c>
      <x:c r="H15" s="55" t="str">
        <x:v>χ</x:v>
      </x:c>
      <x:c r="I15" s="16" t="str">
        <x:v>ch</x:v>
      </x:c>
      <x:c r="J15" s="16" t="str">
        <x:v>loch</x:v>
      </x:c>
    </x:row>
    <x:row r="16" ht="26" customHeight="1">
      <x:c r="F16" s="55" t="str">
        <x:v>λ</x:v>
      </x:c>
      <x:c r="G16" s="16" t="str">
        <x:v>l</x:v>
      </x:c>
      <x:c r="H16" s="55" t="str">
        <x:v>ψ</x:v>
      </x:c>
      <x:c r="I16" s="16" t="str">
        <x:v>ps</x:v>
      </x:c>
      <x:c r="J16" s="16" t="str"/>
    </x:row>
    <x:row r="17" ht="26" customHeight="1">
      <x:c r="F17" s="55" t="str">
        <x:v>μ</x:v>
      </x:c>
      <x:c r="G17" s="16" t="str">
        <x:v>m</x:v>
      </x:c>
      <x:c r="H17" s="55" t="str">
        <x:v>ω</x:v>
      </x:c>
      <x:c r="I17" s="16" t="str">
        <x:v>ō</x:v>
      </x:c>
      <x:c r="J17" s="16" t="str">
        <x:v>ω：tone</x:v>
      </x:c>
    </x:row>
    <x:row r="18" ht="26" customHeight="1"/>
    <x:row r="19" ht="26" customHeight="1">
      <x:c r="A19" s="13" t="str">
        <x:v>核對來源</x:v>
      </x:c>
      <x:c r="B19" s="13" t="str">
        <x:v>核對來源</x:v>
      </x:c>
      <x:c r="C19" s="13" t="str">
        <x:v>核對來源</x:v>
      </x:c>
      <x:c r="D19" s="13" t="str">
        <x:v>核對來源</x:v>
      </x:c>
      <x:c r="E19" s="13" t="str">
        <x:v>核對來源</x:v>
      </x:c>
      <x:c r="F19" s="13" t="str">
        <x:v>核對來源</x:v>
      </x:c>
      <x:c r="G19" s="13" t="str">
        <x:v>核對來源</x:v>
      </x:c>
      <x:c r="H19" s="13" t="str">
        <x:v>核對來源</x:v>
      </x:c>
      <x:c r="I19" s="13" t="str">
        <x:v>核對來源</x:v>
      </x:c>
      <x:c r="J19" s="13" t="str">
        <x:v>核對來源</x:v>
      </x:c>
    </x:row>
    <x:row r="20" ht="26" customHeight="1">
      <x:c r="A20" s="16" t="str">
        <x:v>BBH2 consonants</x:v>
      </x:c>
      <x:c r="B20" s="20" t="str">
        <x:v>https://hebrewsyntax.org/bbh2new/01_overheads_color.pdf</x:v>
      </x:c>
      <x:c r="C20" s="20"/>
      <x:c r="D20" s="20"/>
      <x:c r="E20" s="20"/>
      <x:c r="F20" s="20"/>
      <x:c r="G20" s="20"/>
      <x:c r="H20" s="20"/>
      <x:c r="I20" s="20"/>
      <x:c r="J20" s="20"/>
    </x:row>
    <x:row r="21" ht="26" customHeight="1">
      <x:c r="A21" s="16" t="str">
        <x:v>BBH2 vowels</x:v>
      </x:c>
      <x:c r="B21" s="20" t="str">
        <x:v>https://hebrewsyntax.org/bbh2new/02_overheads_color.pdf</x:v>
      </x:c>
      <x:c r="C21" s="20"/>
      <x:c r="D21" s="20"/>
      <x:c r="E21" s="20"/>
      <x:c r="F21" s="20"/>
      <x:c r="G21" s="20"/>
      <x:c r="H21" s="20"/>
      <x:c r="I21" s="20"/>
      <x:c r="J21" s="20"/>
    </x:row>
    <x:row r="22" ht="26" customHeight="1">
      <x:c r="A22" s="16" t="str">
        <x:v>Mounce Greek alphabet</x:v>
      </x:c>
      <x:c r="B22" s="20" t="str">
        <x:v>https://www.billmounce.com/greek-alphabet</x:v>
      </x:c>
      <x:c r="C22" s="20"/>
      <x:c r="D22" s="20"/>
      <x:c r="E22" s="20"/>
      <x:c r="F22" s="20"/>
      <x:c r="G22" s="20"/>
      <x:c r="H22" s="20"/>
      <x:c r="I22" s="20"/>
      <x:c r="J22" s="20"/>
    </x:row>
    <x:row r="23" ht="26" customHeight="1">
      <x:c r="A23" s="16" t="str">
        <x:v>Mounce Erasmian summary</x:v>
      </x:c>
      <x:c r="B23" s="20" t="str">
        <x:v>https://bbg.billmounce.com/Alphabet%20%28Erasmian%29.pdf</x:v>
      </x:c>
      <x:c r="C23" s="20"/>
      <x:c r="D23" s="20"/>
      <x:c r="E23" s="20"/>
      <x:c r="F23" s="20"/>
      <x:c r="G23" s="20"/>
      <x:c r="H23" s="20"/>
      <x:c r="I23" s="20"/>
      <x:c r="J23" s="20"/>
    </x:row>
    <x:row r="24" ht="26" customHeight="1">
      <x:c r="A24" s="16" t="str">
        <x:v>Mounce word audio example</x:v>
      </x:c>
      <x:c r="B24" s="20" t="str">
        <x:v>https://www.billmounce.com/greekvocabulary/aggelos</x:v>
      </x:c>
      <x:c r="C24" s="20"/>
      <x:c r="D24" s="20"/>
      <x:c r="E24" s="20"/>
      <x:c r="F24" s="20"/>
      <x:c r="G24" s="20"/>
      <x:c r="H24" s="20"/>
      <x:c r="I24" s="20"/>
      <x:c r="J24" s="20"/>
    </x:row>
  </x:sheetData>
  <x:mergeCells>
    <x:mergeCell ref="A1:J1"/>
    <x:mergeCell ref="A2:J2"/>
    <x:mergeCell ref="A4:D4"/>
    <x:mergeCell ref="F4:J4"/>
    <x:mergeCell ref="A19:J19"/>
    <x:mergeCell ref="B20:J20"/>
    <x:mergeCell ref="B21:J21"/>
    <x:mergeCell ref="B22:J22"/>
    <x:mergeCell ref="B23:J23"/>
    <x:mergeCell ref="B24:J24"/>
  </x:mergeCells>
  <x:pageMargins left="0.7" right="0.7" top="0.75" bottom="0.75" header="0.3" footer="0.3"/>
</x:worksheet>
</file>